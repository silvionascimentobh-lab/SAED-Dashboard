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0" documentId="13_ncr:1_{6A2CC3E2-FAFB-4D8F-B284-5E8FB5045DFE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L4" i="20" s="1"/>
  <c r="E4" i="28" a="1"/>
  <c r="E4" i="28" s="1"/>
  <c r="E5" i="28" a="1"/>
  <c r="E5" i="28" s="1"/>
  <c r="E6" i="28" a="1"/>
  <c r="E6" i="28" s="1"/>
  <c r="E7" i="28" a="1"/>
  <c r="E7" i="28" s="1"/>
  <c r="E8" i="28" a="1"/>
  <c r="E8" i="28" s="1"/>
  <c r="E9" i="28" a="1"/>
  <c r="E9" i="28"/>
  <c r="E10" i="28" a="1"/>
  <c r="E10" i="28" s="1"/>
  <c r="E11" i="28" a="1"/>
  <c r="E11" i="28"/>
  <c r="E12" i="28" a="1"/>
  <c r="E12" i="28"/>
  <c r="E13" i="28" a="1"/>
  <c r="E13" i="28"/>
  <c r="E14" i="28" a="1"/>
  <c r="E14" i="28" s="1"/>
  <c r="E15" i="28" a="1"/>
  <c r="E15" i="28" s="1"/>
  <c r="E16" i="28" a="1"/>
  <c r="E16" i="28" s="1"/>
  <c r="E17" i="28" a="1"/>
  <c r="E17" i="28" s="1"/>
  <c r="E18" i="28" a="1"/>
  <c r="E18" i="28" s="1"/>
  <c r="E19" i="28" a="1"/>
  <c r="E19" i="28"/>
  <c r="E20" i="28" a="1"/>
  <c r="E20" i="28" s="1"/>
  <c r="E21" i="28" a="1"/>
  <c r="E21" i="28"/>
  <c r="E22" i="28" a="1"/>
  <c r="E22" i="28" s="1"/>
  <c r="E23" i="28" a="1"/>
  <c r="E23" i="28" s="1"/>
  <c r="E24" i="28" a="1"/>
  <c r="E24" i="28" s="1"/>
  <c r="E25" i="28" a="1"/>
  <c r="E25" i="28" s="1"/>
  <c r="E26" i="28" a="1"/>
  <c r="E26" i="28" s="1"/>
  <c r="E27" i="28" a="1"/>
  <c r="E27" i="28" s="1"/>
  <c r="E28" i="28" a="1"/>
  <c r="E28" i="28" s="1"/>
  <c r="E29" i="28" a="1"/>
  <c r="E29" i="28"/>
  <c r="E30" i="28" a="1"/>
  <c r="E30" i="28" s="1"/>
  <c r="E31" i="28" a="1"/>
  <c r="E31" i="28"/>
  <c r="E32" i="28" a="1"/>
  <c r="E32" i="28" s="1"/>
  <c r="E33" i="28" a="1"/>
  <c r="E33" i="28"/>
  <c r="E34" i="28" a="1"/>
  <c r="E34" i="28" s="1"/>
  <c r="E35" i="28" a="1"/>
  <c r="E35" i="28" s="1"/>
  <c r="E36" i="28" a="1"/>
  <c r="E36" i="28" s="1"/>
  <c r="E37" i="28" a="1"/>
  <c r="E37" i="28" s="1"/>
  <c r="E38" i="28" a="1"/>
  <c r="E38" i="28" s="1"/>
  <c r="E39" i="28" a="1"/>
  <c r="E39" i="28"/>
  <c r="E40" i="28" a="1"/>
  <c r="E40" i="28" s="1"/>
  <c r="E41" i="28" a="1"/>
  <c r="E41" i="28"/>
  <c r="E42" i="28" a="1"/>
  <c r="E42" i="28"/>
  <c r="E43" i="28" a="1"/>
  <c r="E43" i="28" s="1"/>
  <c r="E44" i="28" a="1"/>
  <c r="E44" i="28" s="1"/>
  <c r="E45" i="28" a="1"/>
  <c r="E45" i="28" s="1"/>
  <c r="E46" i="28" a="1"/>
  <c r="E46" i="28" s="1"/>
  <c r="E47" i="28" a="1"/>
  <c r="E47" i="28" s="1"/>
  <c r="E48" i="28" a="1"/>
  <c r="E48" i="28" s="1"/>
  <c r="E49" i="28" a="1"/>
  <c r="E49" i="28"/>
  <c r="E50" i="28" a="1"/>
  <c r="E50" i="28" s="1"/>
  <c r="E51" i="28" a="1"/>
  <c r="E51" i="28" s="1"/>
  <c r="E52" i="28" a="1"/>
  <c r="E52" i="28" s="1"/>
  <c r="E53" i="28" a="1"/>
  <c r="E53" i="28" s="1"/>
  <c r="E54" i="28" a="1"/>
  <c r="E54" i="28" s="1"/>
  <c r="E55" i="28" a="1"/>
  <c r="E55" i="28" s="1"/>
  <c r="E56" i="28" a="1"/>
  <c r="E56" i="28" s="1"/>
  <c r="E57" i="28" a="1"/>
  <c r="E57" i="28" s="1"/>
  <c r="E58" i="28" a="1"/>
  <c r="E58" i="28" s="1"/>
  <c r="E59" i="28" a="1"/>
  <c r="E59" i="28"/>
  <c r="E60" i="28" a="1"/>
  <c r="E60" i="28" s="1"/>
  <c r="E61" i="28" a="1"/>
  <c r="E61" i="28" s="1"/>
  <c r="E62" i="28" a="1"/>
  <c r="E62" i="28" s="1"/>
  <c r="E63" i="28" a="1"/>
  <c r="E63" i="28"/>
  <c r="E64" i="28" a="1"/>
  <c r="E64" i="28" s="1"/>
  <c r="E65" i="28" a="1"/>
  <c r="E65" i="28" s="1"/>
  <c r="E66" i="28" a="1"/>
  <c r="E66" i="28" s="1"/>
  <c r="E67" i="28" a="1"/>
  <c r="E67" i="28" s="1"/>
  <c r="E68" i="28" a="1"/>
  <c r="E68" i="28" s="1"/>
  <c r="E69" i="28" a="1"/>
  <c r="E69" i="28"/>
  <c r="E70" i="28" a="1"/>
  <c r="E70" i="28" s="1"/>
  <c r="E71" i="28" a="1"/>
  <c r="E71" i="28" s="1"/>
  <c r="E72" i="28" a="1"/>
  <c r="E72" i="28" s="1"/>
  <c r="E73" i="28" a="1"/>
  <c r="E73" i="28"/>
  <c r="E74" i="28" a="1"/>
  <c r="E74" i="28" s="1"/>
  <c r="E75" i="28" a="1"/>
  <c r="E75" i="28" s="1"/>
  <c r="E76" i="28" a="1"/>
  <c r="E76" i="28" s="1"/>
  <c r="E77" i="28" a="1"/>
  <c r="E77" i="28" s="1"/>
  <c r="E78" i="28" a="1"/>
  <c r="E78" i="28" s="1"/>
  <c r="E79" i="28" a="1"/>
  <c r="E79" i="28"/>
  <c r="E80" i="28" a="1"/>
  <c r="E80" i="28" s="1"/>
  <c r="E81" i="28" a="1"/>
  <c r="E81" i="28" s="1"/>
  <c r="E82" i="28" a="1"/>
  <c r="E82" i="28" s="1"/>
  <c r="E83" i="28" a="1"/>
  <c r="E83" i="28" s="1"/>
  <c r="E84" i="28" a="1"/>
  <c r="E84" i="28" s="1"/>
  <c r="E85" i="28" a="1"/>
  <c r="E85" i="28" s="1"/>
  <c r="E86" i="28" a="1"/>
  <c r="E86" i="28" s="1"/>
  <c r="E87" i="28" a="1"/>
  <c r="E87" i="28" s="1"/>
  <c r="E88" i="28" a="1"/>
  <c r="E88" i="28" s="1"/>
  <c r="E89" i="28" a="1"/>
  <c r="E89" i="28"/>
  <c r="E90" i="28" a="1"/>
  <c r="E90" i="28" s="1"/>
  <c r="E91" i="28" a="1"/>
  <c r="E91" i="28" s="1"/>
  <c r="E92" i="28" a="1"/>
  <c r="E92" i="28" s="1"/>
  <c r="E93" i="28" a="1"/>
  <c r="E93" i="28" s="1"/>
  <c r="E94" i="28" a="1"/>
  <c r="E94" i="28" s="1"/>
  <c r="E95" i="28" a="1"/>
  <c r="E95" i="28" s="1"/>
  <c r="E96" i="28" a="1"/>
  <c r="E96" i="28" s="1"/>
  <c r="E97" i="28" a="1"/>
  <c r="E97" i="28" s="1"/>
  <c r="E98" i="28" a="1"/>
  <c r="E98" i="28" s="1"/>
  <c r="E99" i="28" a="1"/>
  <c r="E99" i="28"/>
  <c r="E100" i="28" a="1"/>
  <c r="E100" i="28" s="1"/>
  <c r="E101" i="28" a="1"/>
  <c r="E101" i="28" s="1"/>
  <c r="E102" i="28" a="1"/>
  <c r="E102" i="28" s="1"/>
  <c r="E103" i="28" a="1"/>
  <c r="E103" i="28" s="1"/>
  <c r="E104" i="28" a="1"/>
  <c r="E104" i="28" s="1"/>
  <c r="E105" i="28" a="1"/>
  <c r="E105" i="28" s="1"/>
  <c r="E106" i="28" a="1"/>
  <c r="E106" i="28" s="1"/>
  <c r="E107" i="28" a="1"/>
  <c r="E107" i="28" s="1"/>
  <c r="E108" i="28" a="1"/>
  <c r="E108" i="28" s="1"/>
  <c r="E109" i="28" a="1"/>
  <c r="E109" i="28" s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6" i="29" l="1"/>
  <c r="S4" i="29"/>
  <c r="S3" i="29"/>
  <c r="S8" i="29"/>
  <c r="S7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R4" i="20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<sst xmlns="http://schemas.openxmlformats.org/spreadsheetml/2006/main" count="7191" uniqueCount="3164">
  <si>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</si>
  <si>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</si>
  <si>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</si>
  <si>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</si>
  <si>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</si>
  <si>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</si>
  <si>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</si>
  <si>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</si>
  <si>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</si>
  <si>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</si>
  <si>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</si>
  <si>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</si>
  <si>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</si>
  <si>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</si>
  <si>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</si>
  <si>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</si>
  <si>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</si>
  <si>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</si>
  <si>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</si>
  <si>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</si>
  <si>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</si>
  <si>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</si>
  <si>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</si>
  <si>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</si>
  <si>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</si>
  <si>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</si>
  <si>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</si>
  <si>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</si>
  <si>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</si>
  <si>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</si>
  <si>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</si>
  <si>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</si>
  <si>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</si>
  <si>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</si>
  <si>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</si>
  <si>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</si>
  <si>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</si>
  <si>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</si>
  <si>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</si>
  <si>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</si>
  <si>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</si>
  <si>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</si>
  <si>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</si>
  <si>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</si>
  <si>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</si>
  <si>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</si>
  <si>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</si>
  <si>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</si>
  <si>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</si>
  <si>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</si>
  <si>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</si>
  <si>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</si>
  <si>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</si>
  <si>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</si>
  <si>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</si>
  <si>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</si>
  <si>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</si>
  <si>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</si>
  <si>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</si>
  <si>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</si>
  <si>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</si>
  <si>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</si>
  <si>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</si>
  <si>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</si>
  <si>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</si>
  <si>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</si>
  <si>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</si>
  <si>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</si>
  <si>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</si>
  <si>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</si>
  <si>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</si>
  <si>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</si>
  <si>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</si>
  <si>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</si>
  <si>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</si>
  <si>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</si>
  <si>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</si>
  <si>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</si>
  <si>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</si>
  <si>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</si>
  <si>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</si>
  <si>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</si>
  <si>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</si>
  <si>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</si>
  <si>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</si>
  <si>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</si>
  <si>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</si>
  <si>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</si>
  <si>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</si>
  <si>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</si>
  <si>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</si>
  <si>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</si>
  <si>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</si>
  <si>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</si>
  <si>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</si>
  <si>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</si>
  <si>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</si>
  <si>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</si>
  <si>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</si>
  <si>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</si>
  <si>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</si>
  <si>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</si>
  <si>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</si>
  <si>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</si>
  <si>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</si>
  <si>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</si>
  <si>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</si>
  <si>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</si>
  <si>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</si>
  <si>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</si>
  <si>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</si>
  <si>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</si>
  <si>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</si>
  <si>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</si>
  <si>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</si>
  <si>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</si>
  <si>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</si>
  <si>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</si>
  <si>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</si>
  <si>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</si>
  <si>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</si>
  <si>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</si>
  <si>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</si>
  <si>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</si>
  <si>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</si>
  <si>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</si>
  <si>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</si>
  <si>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</si>
  <si>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</si>
  <si>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</si>
  <si>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</si>
  <si>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</si>
  <si>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</si>
  <si>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</si>
  <si>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</si>
  <si>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</si>
  <si>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</si>
  <si>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</si>
  <si>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</si>
  <si>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</si>
  <si>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</si>
  <si>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</si>
  <si>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</si>
  <si>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</si>
  <si>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</si>
  <si>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</si>
  <si>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</si>
  <si>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</si>
  <si>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</si>
  <si>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</si>
  <si>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</si>
  <si>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</si>
  <si>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</si>
  <si>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</si>
  <si>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</si>
  <si>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</si>
  <si>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</si>
  <si>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</si>
  <si>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</si>
  <si>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</si>
  <si>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</si>
  <si>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</si>
  <si>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</si>
  <si>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</si>
  <si>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</si>
  <si>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</si>
  <si>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</si>
  <si>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</si>
  <si>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</si>
  <si>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</si>
  <si>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</si>
  <si>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</si>
  <si>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</si>
  <si>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</si>
  <si>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</si>
  <si>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</si>
  <si>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</si>
  <si>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</si>
  <si>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</si>
  <si>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</si>
  <si>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</si>
  <si>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</si>
  <si>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</si>
  <si>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</si>
  <si>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</si>
  <si>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</si>
  <si>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</si>
  <si>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</si>
  <si>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</si>
  <si>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</si>
  <si>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</si>
  <si>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</si>
  <si>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</si>
  <si>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</si>
  <si>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</si>
  <si>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</si>
  <si>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</si>
  <si>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</si>
  <si>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</si>
  <si>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</si>
  <si>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</si>
  <si>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</si>
  <si>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</si>
  <si>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</si>
  <si>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</si>
  <si>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</si>
  <si>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</si>
  <si>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</si>
  <si>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</si>
  <si>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</si>
  <si>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</si>
  <si>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</si>
  <si>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</si>
  <si>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</si>
  <si>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</si>
  <si>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</si>
  <si>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</si>
  <si>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</si>
  <si>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</si>
  <si>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</si>
  <si>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</si>
  <si>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</si>
  <si>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</si>
  <si>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</si>
  <si>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</si>
  <si>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</si>
  <si>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</si>
  <si>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</si>
  <si>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</si>
  <si>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</si>
  <si>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</si>
  <si>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</si>
  <si>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</si>
  <si>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</si>
  <si>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</si>
  <si>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</si>
  <si>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</si>
  <si>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</si>
  <si>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</si>
  <si>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</si>
  <si>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</si>
  <si>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</si>
  <si>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</si>
  <si>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</si>
  <si>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</si>
  <si>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</si>
  <si>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</si>
  <si>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</si>
  <si>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</si>
  <si>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</si>
  <si>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</si>
  <si>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</si>
  <si>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</si>
  <si>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</si>
  <si>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</si>
  <si>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</si>
  <si>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</si>
  <si>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</si>
  <si>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</si>
  <si>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</si>
  <si>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</si>
  <si>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</si>
  <si>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</si>
  <si>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</si>
  <si>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</si>
  <si>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</si>
  <si>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</si>
  <si>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</si>
  <si>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</si>
  <si>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</si>
  <si>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</si>
  <si>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</si>
  <si>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</si>
  <si>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</si>
  <si>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</si>
  <si>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</si>
  <si>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</si>
  <si>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</si>
  <si>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</si>
  <si>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</si>
  <si>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</si>
  <si>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</si>
  <si>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</si>
  <si>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</si>
  <si>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</si>
  <si>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</si>
  <si>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</si>
  <si>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</si>
  <si>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</si>
  <si>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</si>
  <si>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</si>
  <si>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</si>
  <si>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</si>
  <si>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</si>
  <si>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</si>
  <si>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</si>
  <si>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</si>
  <si>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</si>
  <si>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</si>
  <si>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</si>
  <si>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</si>
  <si>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</si>
  <si>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</si>
  <si>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</si>
  <si>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</si>
  <si>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</si>
  <si>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</si>
  <si>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</si>
  <si>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</si>
  <si>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</si>
  <si>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</si>
  <si>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</si>
  <si>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</si>
  <si>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</si>
  <si>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</si>
  <si>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</si>
  <si>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</si>
  <si>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</si>
  <si>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</si>
  <si>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</si>
  <si>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</si>
  <si>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</si>
  <si>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</si>
  <si>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</si>
  <si>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</si>
  <si>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</si>
  <si>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</si>
  <si>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</si>
  <si>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</si>
  <si>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</si>
  <si>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</si>
  <si>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</si>
  <si>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</si>
  <si>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</si>
  <si>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</si>
  <si>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</si>
  <si>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</si>
  <si>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</si>
  <si>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</si>
  <si>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</si>
  <si>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</si>
  <si>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</si>
  <si>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</si>
  <si>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</si>
  <si>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</si>
  <si>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</si>
  <si>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</si>
  <si>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</si>
  <si>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</si>
  <si>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</si>
  <si>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</si>
  <si>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</si>
  <si>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</si>
  <si>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</si>
  <si>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</si>
  <si>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</si>
  <si>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</si>
  <si>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</si>
  <si>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</si>
  <si>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</si>
  <si>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</si>
  <si>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</si>
  <si>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</si>
  <si>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</si>
  <si>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</si>
  <si>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</si>
  <si>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</si>
  <si>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</si>
  <si>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</si>
  <si>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</si>
  <si>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</si>
  <si>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</si>
  <si>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</si>
  <si>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</si>
  <si>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</si>
  <si>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</si>
  <si>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</si>
  <si>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</si>
  <si>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</si>
  <si>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</si>
  <si>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</si>
  <si>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</si>
  <si>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</si>
  <si>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</si>
  <si>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</si>
  <si>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</si>
  <si>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</si>
  <si>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</si>
  <si>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</si>
  <si>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</si>
  <si>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</si>
  <si>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</si>
  <si>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</si>
  <si>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</si>
  <si>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</si>
  <si>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</si>
  <si>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</si>
  <si>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</si>
  <si>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</si>
  <si>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</si>
  <si>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</si>
  <si>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</si>
  <si>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</si>
  <si>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</si>
  <si>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</si>
  <si>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</si>
  <si>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</si>
  <si>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</si>
  <si>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</si>
  <si>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</si>
  <si>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</si>
  <si>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</si>
  <si>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</si>
  <si>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</si>
  <si>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</si>
  <si>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</si>
  <si>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</si>
  <si>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</si>
  <si>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</si>
  <si>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</si>
  <si>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</si>
  <si>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</si>
  <si>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</si>
  <si>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</si>
  <si>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</si>
  <si>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</si>
  <si>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</si>
  <si>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</si>
  <si>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</si>
  <si>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</si>
  <si>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</si>
  <si>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</si>
  <si>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</si>
  <si>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</si>
  <si>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</si>
  <si>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</si>
  <si>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</si>
  <si>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</si>
  <si>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</si>
  <si>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</si>
  <si>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</si>
  <si>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</si>
  <si>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</si>
  <si>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</si>
  <si>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</si>
  <si>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</si>
  <si>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</si>
  <si>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</si>
  <si>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</si>
  <si>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</si>
  <si>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</si>
  <si>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</si>
  <si>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</si>
  <si>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</si>
  <si>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</si>
  <si>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</si>
  <si>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</si>
  <si>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</si>
  <si>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</si>
  <si>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</si>
  <si>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</si>
  <si>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</si>
  <si>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</si>
  <si>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</si>
  <si>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</si>
  <si>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</si>
  <si>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</si>
  <si>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</si>
  <si>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</si>
  <si>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</si>
  <si>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</si>
  <si>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</si>
  <si>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</si>
  <si>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</si>
  <si>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</si>
  <si>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</si>
  <si>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</si>
  <si>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</si>
  <si>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</si>
  <si>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</si>
  <si>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</si>
  <si>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</si>
  <si>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</si>
  <si>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</si>
  <si>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</si>
  <si>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</si>
  <si>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</si>
  <si>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</si>
  <si>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</si>
  <si>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</si>
  <si>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</si>
  <si>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</si>
  <si>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</si>
  <si>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</si>
  <si>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</si>
  <si>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</si>
  <si>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</si>
  <si>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</si>
  <si>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</si>
  <si>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</si>
  <si>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</si>
  <si>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</si>
  <si>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</si>
  <si>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</si>
  <si>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</si>
  <si>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</si>
  <si>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</si>
  <si>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</si>
  <si>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</si>
  <si>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</si>
  <si>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</si>
  <si>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</si>
  <si>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</si>
  <si>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</si>
  <si>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</si>
  <si>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</si>
  <si>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</si>
  <si>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</si>
  <si>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</si>
  <si>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</si>
  <si>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</si>
  <si>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</si>
  <si>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</si>
  <si>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</si>
  <si>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</si>
  <si>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</si>
  <si>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</si>
  <si>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</si>
  <si>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</si>
  <si>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</si>
  <si>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</si>
  <si>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</si>
  <si>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</si>
  <si>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</si>
  <si>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</si>
  <si>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</si>
  <si>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</si>
  <si>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</si>
  <si>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</si>
  <si>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</si>
  <si>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</si>
  <si>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</si>
  <si>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</si>
  <si>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</si>
  <si>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</si>
  <si>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</si>
  <si>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</si>
  <si>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</si>
  <si>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</si>
  <si>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</si>
  <si>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</si>
  <si>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</si>
  <si>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</si>
  <si>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</si>
  <si>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</si>
  <si>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</si>
  <si>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</si>
  <si>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</si>
  <si>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</si>
  <si>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</si>
  <si>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</si>
  <si>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</si>
  <si>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</si>
  <si>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</si>
  <si>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</si>
  <si>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</si>
  <si>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</si>
  <si>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</si>
  <si>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</si>
  <si>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</si>
  <si>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</si>
  <si>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</si>
  <si>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</si>
  <si>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</si>
  <si>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</si>
  <si>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</si>
  <si>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</si>
  <si>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</si>
  <si>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</si>
  <si>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</si>
  <si>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</si>
  <si>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</si>
  <si>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</si>
  <si>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</si>
  <si>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</si>
  <si>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</si>
  <si>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</si>
  <si>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</si>
  <si>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</si>
  <si>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</si>
  <si>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</si>
  <si>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</si>
  <si>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</si>
  <si>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</si>
  <si>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</si>
  <si>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</si>
  <si>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</si>
  <si>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</si>
  <si>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</si>
  <si>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</si>
  <si>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</si>
  <si>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</si>
  <si>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</si>
  <si>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</si>
  <si>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</si>
  <si>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</si>
  <si>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</si>
  <si>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</si>
  <si>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</si>
  <si>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</si>
  <si>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</si>
  <si>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</si>
  <si>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</si>
  <si>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</si>
  <si>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</si>
  <si>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</si>
  <si>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</si>
  <si>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</si>
  <si>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</si>
  <si>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</si>
  <si>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</si>
  <si>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</si>
  <si>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</si>
  <si>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</si>
  <si>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</si>
  <si>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</si>
  <si>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</si>
  <si>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</si>
  <si>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</si>
  <si>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</si>
  <si>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</si>
  <si>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</si>
  <si>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</si>
  <si>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</si>
  <si>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</si>
  <si>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</si>
  <si>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</si>
  <si>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</si>
  <si>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</si>
  <si>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</si>
  <si>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</si>
  <si>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</si>
  <si>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</si>
  <si>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</si>
  <si>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</si>
  <si>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</si>
  <si>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</si>
  <si>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</si>
  <si>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</si>
  <si>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</si>
  <si>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</si>
  <si>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</si>
  <si>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</si>
  <si>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</si>
  <si>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</si>
  <si>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</si>
  <si>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</si>
  <si>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</si>
  <si>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</si>
  <si>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</si>
  <si>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</si>
  <si>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</si>
  <si>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</si>
  <si>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</si>
  <si>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</si>
  <si>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</si>
  <si>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</si>
  <si>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</si>
  <si>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</si>
  <si>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</si>
  <si>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</si>
  <si>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</si>
  <si>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</si>
  <si>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</si>
  <si>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</si>
  <si>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</si>
  <si>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</si>
  <si>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</si>
  <si>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</si>
  <si>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</si>
  <si>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</si>
  <si>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</si>
  <si>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</si>
  <si>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</si>
  <si>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</si>
  <si>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</si>
  <si>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</si>
  <si>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</si>
  <si>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</si>
  <si>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</si>
  <si>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</si>
  <si>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</si>
  <si>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</si>
  <si>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</si>
  <si>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</si>
  <si>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</si>
  <si>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</si>
  <si>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</si>
  <si>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</si>
  <si>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</si>
  <si>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</si>
  <si>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</si>
  <si>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</si>
  <si>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</si>
  <si>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</si>
  <si>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</si>
  <si>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</si>
  <si>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</si>
  <si>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</si>
  <si>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</si>
  <si>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</si>
  <si>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</si>
  <si>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</si>
  <si>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</si>
  <si>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</si>
  <si>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</si>
  <si>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</si>
  <si>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</si>
  <si>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</si>
  <si>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</si>
  <si>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</si>
  <si>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</si>
  <si>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</si>
  <si>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</si>
  <si>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</si>
  <si>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</si>
  <si>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</si>
  <si>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</si>
  <si>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</si>
  <si>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</si>
  <si>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</si>
  <si>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</si>
  <si>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</si>
  <si>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</si>
  <si>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</si>
  <si>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</si>
  <si>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</si>
  <si>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</si>
  <si>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</si>
  <si>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</si>
  <si>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</si>
  <si>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</si>
  <si>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</si>
  <si>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</si>
  <si>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</si>
  <si>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</si>
  <si>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</si>
  <si>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</si>
  <si>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</si>
  <si>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</si>
  <si>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</si>
  <si>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</si>
  <si>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</si>
  <si>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</si>
  <si>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</si>
  <si>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</si>
  <si>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</si>
  <si>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</si>
  <si>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</si>
  <si>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</si>
  <si>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</si>
  <si>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</si>
  <si>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</si>
  <si>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</si>
  <si>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</si>
  <si>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</si>
  <si>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</si>
  <si>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</si>
  <si>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</si>
  <si>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</si>
  <si>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</si>
  <si>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</si>
  <si>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</si>
  <si>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</si>
  <si>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</si>
  <si>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</si>
  <si>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</si>
  <si>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</si>
  <si>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</si>
  <si>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</si>
  <si>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</si>
  <si>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</si>
  <si>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</si>
  <si>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</si>
  <si>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</si>
  <si>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</si>
  <si>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</si>
  <si>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</si>
  <si>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</si>
  <si>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</si>
  <si>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</si>
  <si>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</si>
  <si>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</si>
  <si>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</si>
  <si>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</si>
  <si>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</si>
  <si>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</si>
  <si>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</si>
  <si>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</si>
  <si>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</si>
  <si>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</si>
  <si>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</si>
  <si>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</si>
  <si>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</si>
  <si>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</si>
  <si>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</si>
  <si>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</si>
  <si>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</si>
  <si>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</si>
  <si>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</si>
  <si>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</si>
  <si>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</si>
  <si>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</si>
  <si>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</si>
  <si>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</si>
  <si>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</si>
  <si>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</si>
  <si>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</si>
  <si>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</si>
  <si>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</si>
  <si>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</si>
  <si>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</si>
  <si>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</si>
  <si>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</si>
  <si>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</si>
  <si>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</si>
  <si>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</si>
  <si>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</si>
  <si>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</si>
  <si>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</si>
  <si>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</si>
  <si>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</si>
  <si>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</si>
  <si>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</si>
  <si>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</si>
  <si>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</si>
  <si>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</si>
  <si>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</si>
  <si>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</si>
  <si>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</si>
  <si>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</si>
  <si>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</si>
  <si>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</si>
  <si>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</si>
  <si>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</si>
  <si>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</si>
  <si>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</si>
  <si>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</si>
  <si>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</si>
  <si>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</si>
  <si>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</si>
  <si>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</si>
  <si>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</si>
  <si>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</si>
  <si>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</si>
  <si>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</si>
  <si>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</si>
  <si>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</si>
  <si>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</si>
  <si>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</si>
  <si>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</si>
  <si>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</si>
  <si>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</si>
  <si>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</si>
  <si>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</si>
  <si>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</si>
  <si>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</si>
  <si>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</si>
  <si>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</si>
  <si>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</si>
  <si>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</si>
  <si>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</si>
  <si>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</si>
  <si>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</si>
  <si>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</si>
  <si>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</si>
  <si>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</si>
  <si>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</si>
  <si>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</si>
  <si>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</si>
  <si>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</si>
  <si>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</si>
  <si>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</si>
  <si>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</si>
  <si>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</si>
  <si>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</si>
  <si>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</si>
  <si>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</si>
  <si>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</si>
  <si>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</si>
  <si>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</si>
  <si>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</si>
  <si>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</si>
  <si>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</si>
  <si>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</si>
  <si>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</si>
  <si>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</si>
  <si>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</si>
  <si>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</si>
  <si>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</si>
  <si>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</si>
  <si>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</si>
  <si>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</si>
  <si>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</si>
  <si>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</si>
  <si>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</si>
  <si>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</si>
  <si>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</si>
  <si>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</si>
  <si>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</si>
  <si>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</si>
  <si>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</si>
  <si>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</si>
  <si>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</si>
  <si>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</si>
  <si>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</si>
  <si>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</si>
  <si>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</si>
  <si>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</si>
  <si>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</si>
  <si>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</si>
  <si>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</si>
  <si>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</si>
  <si>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</si>
  <si>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</si>
  <si>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</si>
  <si>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</si>
  <si>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</si>
  <si>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</si>
  <si>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</si>
  <si>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</si>
  <si>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</si>
  <si>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</si>
  <si>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</si>
  <si>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</si>
  <si>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</si>
  <si>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</si>
  <si>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</si>
  <si>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</si>
  <si>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</si>
  <si>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</si>
  <si>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</si>
  <si>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</si>
  <si>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</si>
  <si>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</si>
  <si>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</si>
  <si>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</si>
  <si>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</si>
  <si>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</si>
  <si>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</si>
  <si>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</si>
  <si>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</si>
  <si>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</si>
  <si>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</si>
  <si>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</si>
  <si>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</si>
  <si>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</si>
  <si>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</si>
  <si>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</si>
  <si>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</si>
  <si>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</si>
  <si>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</si>
  <si>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</si>
  <si>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</si>
  <si>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</si>
  <si>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</si>
  <si>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</si>
  <si>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</si>
  <si>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</si>
  <si>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</si>
  <si>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</si>
  <si>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</si>
  <si>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</si>
  <si>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</si>
  <si>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</si>
  <si>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</si>
  <si>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</si>
  <si>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</si>
  <si>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</si>
  <si>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</si>
  <si>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</si>
  <si>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</si>
  <si>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</si>
  <si>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</si>
  <si>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</si>
  <si>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</si>
  <si>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</si>
  <si>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</si>
  <si>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</si>
  <si>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</si>
  <si>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</si>
  <si>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</si>
  <si>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</si>
  <si>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</si>
  <si>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</si>
  <si>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</si>
  <si>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</si>
  <si>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</si>
  <si>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</si>
  <si>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</si>
  <si>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</si>
  <si>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</si>
  <si>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</si>
  <si>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</si>
  <si>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</si>
  <si>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</si>
  <si>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</si>
  <si>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</si>
  <si>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</si>
  <si>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</si>
  <si>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</si>
  <si>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</si>
  <si>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</si>
  <si>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</si>
  <si>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</si>
  <si>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</si>
  <si>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</si>
  <si>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</si>
  <si>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</si>
  <si>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</si>
  <si>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</si>
  <si>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</si>
  <si>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</si>
  <si>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</si>
  <si>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</si>
  <si>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</si>
  <si>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</si>
  <si>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</si>
  <si>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</si>
  <si>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</si>
  <si>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</si>
  <si>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</si>
  <si>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</si>
  <si>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</si>
  <si>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</si>
  <si>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</si>
  <si>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</si>
  <si>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</si>
  <si>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</si>
  <si>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</si>
  <si>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</si>
  <si>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</si>
  <si>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</si>
  <si>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</si>
  <si>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</si>
  <si>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</si>
  <si>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</si>
  <si>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</si>
  <si>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</si>
  <si>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</si>
  <si>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</si>
  <si>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</si>
  <si>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</si>
  <si>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</si>
  <si>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</si>
  <si>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</si>
  <si>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</si>
  <si>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</si>
  <si>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</si>
  <si>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</si>
  <si>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</si>
  <si>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</si>
  <si>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</si>
  <si>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</si>
  <si>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</si>
  <si>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</si>
  <si>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</si>
  <si>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</si>
  <si>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</si>
  <si>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</si>
  <si>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</si>
  <si>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</si>
  <si>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</si>
  <si>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</si>
  <si>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</si>
  <si>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</si>
  <si>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</si>
  <si>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</si>
  <si>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</si>
  <si>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</si>
  <si>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</si>
  <si>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</si>
  <si>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</si>
  <si>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</si>
  <si>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</si>
  <si>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</si>
  <si>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</si>
  <si>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</si>
  <si>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</si>
  <si>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</si>
  <si>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</si>
  <si>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</si>
  <si>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</si>
  <si>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</si>
  <si>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</si>
  <si>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</si>
  <si>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</si>
  <si>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</si>
  <si>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</si>
  <si>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</si>
  <si>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</si>
  <si>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</si>
  <si>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</si>
  <si>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</si>
  <si>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</si>
  <si>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</si>
  <si>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</si>
  <si>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</si>
  <si>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</si>
  <si>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</si>
  <si>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</si>
  <si>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</si>
  <si>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</si>
  <si>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</si>
  <si>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</si>
  <si>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</si>
  <si>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</si>
  <si>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</si>
  <si>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</si>
  <si>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</si>
  <si>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</si>
  <si>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</si>
  <si>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</si>
  <si>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</si>
  <si>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</si>
  <si>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</si>
  <si>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</si>
  <si>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</si>
  <si>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</si>
  <si>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</si>
  <si>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</si>
  <si>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</si>
  <si>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</si>
  <si>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</si>
  <si>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</si>
  <si>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</si>
  <si>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</si>
  <si>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</si>
  <si>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</si>
  <si>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</si>
  <si>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</si>
  <si>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</si>
  <si>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</si>
  <si>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</si>
  <si>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</si>
  <si>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</si>
  <si>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</si>
  <si>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</si>
  <si>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</si>
  <si>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</si>
  <si>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</si>
  <si>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</si>
  <si>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</si>
  <si>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</si>
  <si>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</si>
  <si>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</si>
  <si>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</si>
  <si>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</si>
  <si>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</si>
  <si>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</si>
  <si>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</si>
  <si>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</si>
  <si>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</si>
  <si>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</si>
  <si>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</si>
  <si>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</si>
  <si>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</si>
  <si>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</si>
  <si>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</si>
  <si>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</si>
  <si>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</si>
  <si>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</si>
  <si>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</si>
  <si>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</si>
  <si>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</si>
  <si>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</si>
  <si>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</si>
  <si>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</si>
  <si>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</si>
  <si>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</si>
  <si>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</si>
  <si>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</si>
  <si>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</si>
  <si>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</si>
  <si>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</si>
  <si>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</si>
  <si>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</si>
  <si>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</si>
  <si>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</si>
  <si>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</si>
  <si>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</si>
  <si>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</si>
  <si>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</si>
  <si>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</si>
  <si>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</si>
  <si>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</si>
  <si>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</si>
  <si>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</si>
  <si>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</si>
  <si>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</si>
  <si>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</si>
  <si>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</si>
  <si>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</si>
  <si>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</si>
  <si>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</si>
  <si>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</si>
  <si>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</si>
  <si>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</si>
  <si>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</si>
  <si>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</si>
  <si>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</si>
  <si>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</si>
  <si>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</si>
  <si>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</si>
  <si>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</si>
  <si>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</si>
  <si>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</si>
  <si>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</si>
  <si>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</si>
  <si>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</si>
  <si>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</si>
  <si>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</si>
  <si>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</si>
  <si>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</si>
  <si>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</si>
  <si>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</si>
  <si>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</si>
  <si>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</si>
  <si>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</si>
  <si>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</si>
  <si>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</si>
  <si>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</si>
  <si>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</si>
  <si>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</si>
  <si>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</si>
  <si>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</si>
  <si>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</si>
  <si>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</si>
  <si>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</si>
  <si>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</si>
  <si>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</si>
  <si>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</si>
  <si>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</si>
  <si>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</si>
  <si>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</si>
  <si>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</si>
  <si>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</si>
  <si>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</si>
  <si>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</si>
  <si>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</si>
  <si>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</si>
  <si>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</si>
  <si>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</si>
  <si>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</si>
  <si>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</si>
  <si>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</si>
  <si>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</si>
  <si>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</si>
  <si>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</si>
  <si>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</si>
  <si>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</si>
  <si>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</si>
  <si>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</si>
  <si>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</si>
  <si>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</si>
  <si>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</si>
  <si>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</si>
  <si>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</si>
  <si>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</si>
  <si>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</si>
  <si>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</si>
  <si>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</si>
  <si>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</si>
  <si>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</si>
  <si>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</si>
  <si>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</si>
  <si>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</si>
  <si>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</si>
  <si>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</si>
  <si>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</si>
  <si>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</si>
  <si>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</si>
  <si>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</si>
  <si>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</si>
  <si>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</si>
  <si>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</si>
  <si>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</si>
  <si>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</si>
  <si>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</si>
  <si>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</si>
  <si>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</si>
  <si>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</si>
  <si>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</si>
  <si>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</si>
  <si>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</si>
  <si>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</si>
  <si>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</si>
  <si>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</si>
  <si>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</si>
  <si>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</si>
  <si>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</si>
  <si>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</si>
  <si>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</si>
  <si>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</si>
  <si>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</si>
  <si>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</si>
  <si>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</si>
  <si>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</si>
  <si>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</si>
  <si>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</si>
  <si>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</si>
  <si>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</si>
  <si>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</si>
  <si>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</si>
  <si>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</si>
  <si>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</si>
  <si>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</si>
  <si>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</si>
  <si>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</si>
  <si>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</si>
  <si>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</si>
  <si>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</si>
  <si>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</si>
  <si>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</si>
  <si>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</si>
  <si>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</si>
  <si>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</si>
  <si>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</si>
  <si>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</si>
  <si>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</si>
  <si>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</si>
  <si>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</si>
  <si>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</si>
  <si>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</si>
  <si>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</si>
  <si>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</si>
  <si>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</si>
  <si>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</si>
  <si>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</si>
  <si>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</si>
  <si>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</si>
  <si>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</si>
  <si>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</si>
  <si>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</si>
  <si>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</si>
  <si>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</si>
  <si>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</si>
  <si>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</si>
  <si>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</si>
  <si>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</si>
  <si>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</si>
  <si>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</si>
  <si>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</si>
  <si>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</si>
  <si>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</si>
  <si>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</si>
  <si>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</si>
  <si>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</si>
  <si>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</si>
  <si>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</si>
  <si>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</si>
  <si>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</si>
  <si>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</si>
  <si>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</si>
  <si>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</si>
  <si>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</si>
  <si>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</si>
  <si>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</si>
  <si>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</si>
  <si>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</si>
  <si>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</si>
  <si>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</si>
  <si>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</si>
  <si>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</si>
  <si>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</si>
  <si>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</si>
  <si>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</si>
  <si>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</si>
  <si>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</si>
  <si>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</si>
  <si>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</si>
  <si>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</si>
  <si>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</si>
  <si>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</si>
  <si>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</si>
  <si>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</si>
  <si>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</si>
  <si>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</si>
  <si>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</si>
  <si>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</si>
  <si>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</si>
  <si>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</si>
  <si>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</si>
  <si>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</si>
  <si>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</si>
  <si>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</si>
  <si>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</si>
  <si>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</si>
  <si>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</si>
  <si>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</si>
  <si>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</si>
  <si>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</si>
  <si>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</si>
  <si>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</si>
  <si>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</si>
  <si>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</si>
  <si>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</si>
  <si>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</si>
  <si>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</si>
  <si>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</si>
  <si>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</si>
  <si>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</si>
  <si>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</si>
  <si>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</si>
  <si>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</si>
  <si>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</si>
  <si>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</si>
  <si>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</si>
  <si>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</si>
  <si>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</si>
  <si>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</si>
  <si>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</si>
  <si>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</si>
  <si>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</si>
  <si>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</si>
  <si>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</si>
  <si>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</si>
  <si>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</si>
  <si>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</si>
  <si>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</si>
  <si>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</si>
  <si>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</si>
  <si>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</si>
  <si>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</si>
  <si>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</si>
  <si>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</si>
  <si>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</si>
  <si>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</si>
  <si>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</si>
  <si>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</si>
  <si>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</si>
  <si>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</si>
  <si>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</si>
  <si>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</si>
  <si>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</si>
  <si>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</si>
  <si>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</si>
  <si>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</si>
  <si>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</si>
  <si>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</si>
  <si>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</si>
  <si>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</si>
  <si>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</si>
  <si>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</si>
  <si>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</si>
  <si>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</si>
  <si>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</si>
  <si>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</si>
  <si>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</si>
  <si>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</si>
  <si>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</si>
  <si>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</si>
  <si>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</si>
  <si>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</si>
  <si>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</si>
  <si>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</si>
  <si>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</si>
  <si>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</si>
  <si>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</si>
  <si>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</si>
  <si>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</si>
  <si>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</si>
  <si>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</si>
  <si>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</si>
  <si>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</si>
  <si>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</si>
  <si>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</si>
  <si>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</si>
  <si>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</si>
  <si>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</si>
  <si>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</si>
  <si>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</si>
  <si>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</si>
  <si>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</si>
  <si>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</si>
  <si>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</si>
  <si>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</si>
  <si>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</si>
  <si>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</si>
  <si>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</si>
  <si>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</si>
  <si>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</si>
  <si>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</si>
  <si>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</si>
  <si>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</si>
  <si>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</si>
  <si>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</si>
  <si>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</si>
  <si>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</si>
  <si>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</si>
  <si>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</si>
  <si>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</si>
  <si>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</si>
  <si>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</si>
  <si>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</si>
  <si>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</si>
  <si>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</si>
  <si>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</si>
  <si>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</si>
  <si>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</si>
  <si>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</si>
  <si>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</si>
  <si>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</si>
  <si>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</si>
  <si>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</si>
  <si>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</si>
  <si>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</si>
  <si>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</si>
  <si>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</si>
  <si>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</si>
  <si>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</si>
  <si>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</si>
  <si>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</si>
  <si>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</si>
  <si>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</si>
  <si>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</si>
  <si>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</si>
  <si>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</si>
  <si>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</si>
  <si>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</si>
  <si>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</si>
  <si>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</si>
  <si>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</si>
  <si>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</si>
  <si>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</si>
  <si>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</si>
  <si>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</si>
  <si>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</si>
  <si>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</si>
  <si>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</si>
  <si>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</si>
  <si>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</si>
  <si>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</si>
  <si>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</si>
  <si>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</si>
  <si>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</si>
  <si>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</si>
  <si>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</si>
  <si>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</si>
  <si>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</si>
  <si>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</si>
  <si>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</si>
  <si>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</si>
  <si>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</si>
  <si>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</si>
  <si>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</si>
  <si>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</si>
  <si>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</si>
  <si>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</si>
  <si>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</si>
  <si>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</si>
  <si>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</si>
  <si>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</si>
  <si>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</si>
  <si>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</si>
  <si>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</si>
  <si>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</si>
  <si>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</si>
  <si>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</si>
  <si>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</si>
  <si>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</si>
  <si>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</si>
  <si>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</si>
  <si>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</si>
  <si>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</si>
  <si>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</si>
  <si>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</si>
  <si>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</si>
  <si>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</si>
  <si>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</si>
  <si>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</si>
  <si>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</si>
  <si>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</si>
  <si>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</si>
  <si>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</si>
  <si>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</si>
  <si>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</si>
  <si>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</si>
  <si>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</si>
  <si>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</si>
  <si>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</si>
  <si>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</si>
  <si>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</si>
  <si>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</si>
  <si>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</si>
  <si>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</si>
  <si>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</si>
  <si>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</si>
  <si>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</si>
  <si>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</si>
  <si>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</si>
  <si>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</si>
  <si>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</si>
  <si>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</si>
  <si>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</si>
  <si>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</si>
  <si>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</si>
  <si>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</si>
  <si>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</si>
  <si>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</si>
  <si>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</si>
  <si>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</si>
  <si>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</si>
  <si>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</si>
  <si>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</si>
  <si>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</si>
  <si>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</si>
  <si>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</si>
  <si>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</si>
  <si>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</si>
  <si>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</si>
  <si>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</si>
  <si>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</si>
  <si>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</si>
  <si>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</si>
  <si>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</si>
  <si>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</si>
  <si>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</si>
  <si>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</si>
  <si>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</si>
  <si>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</si>
  <si>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</si>
  <si>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</si>
  <si>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</si>
  <si>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</si>
  <si>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</si>
  <si>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</si>
  <si>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</si>
  <si>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</si>
  <si>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</si>
  <si>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</si>
  <si>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</si>
  <si>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</si>
  <si>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</si>
  <si>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</si>
  <si>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</si>
  <si>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</si>
  <si>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</si>
  <si>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</si>
  <si>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</si>
  <si>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</si>
  <si>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</si>
  <si>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</si>
  <si>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</si>
  <si>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</si>
  <si>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</si>
  <si>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</si>
  <si>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</si>
  <si>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</si>
  <si>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</si>
  <si>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</si>
  <si>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</si>
  <si>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</si>
  <si>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</si>
  <si>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</si>
  <si>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</si>
  <si>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</si>
  <si>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</si>
  <si>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</si>
  <si>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</si>
  <si>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</si>
  <si>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</si>
  <si>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</si>
  <si>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</si>
  <si>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</si>
  <si>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</si>
  <si>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</si>
  <si>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</si>
  <si>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</si>
  <si>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</si>
  <si>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</si>
  <si>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</si>
  <si>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</si>
  <si>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</si>
  <si>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</si>
  <si>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</si>
  <si>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</si>
  <si>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</si>
  <si>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</si>
  <si>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</si>
  <si>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</si>
  <si>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</si>
  <si>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</si>
  <si>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</si>
  <si>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</si>
  <si>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</si>
  <si>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</si>
  <si>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</si>
  <si>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</si>
  <si>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</si>
  <si>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</si>
  <si>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</si>
  <si>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</si>
  <si>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</si>
  <si>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</si>
  <si>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</si>
  <si>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</si>
  <si>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</si>
  <si>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</si>
  <si>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</si>
  <si>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</si>
  <si>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</si>
  <si>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</si>
  <si>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</si>
  <si>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</si>
  <si>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</si>
  <si>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</si>
  <si>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</si>
  <si>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</si>
  <si>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</si>
  <si>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</si>
  <si>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</si>
  <si>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</si>
  <si>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</si>
  <si>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</si>
  <si>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</si>
  <si>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</si>
  <si>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</si>
  <si>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</si>
  <si>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</si>
  <si>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</si>
  <si>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</si>
  <si>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</si>
  <si>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</si>
  <si>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</si>
  <si>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</si>
  <si>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</si>
  <si>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</si>
  <si>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</si>
  <si>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</si>
  <si>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</si>
  <si>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</si>
  <si>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</si>
  <si>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</si>
  <si>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</si>
  <si>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</si>
  <si>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</si>
  <si>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</si>
  <si>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</si>
  <si>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</si>
  <si>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</si>
  <si>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</si>
  <si>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</si>
  <si>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</si>
  <si>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</si>
  <si>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</si>
  <si>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</si>
  <si>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</si>
  <si>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</si>
  <si>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</si>
  <si>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</si>
  <si>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</si>
  <si>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</si>
  <si>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</si>
  <si>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</si>
  <si>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</si>
  <si>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</si>
  <si>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</si>
  <si>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</si>
  <si>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</si>
  <si>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</si>
  <si>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</si>
  <si>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</si>
  <si>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</si>
  <si>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</si>
  <si>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</si>
  <si>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</si>
  <si>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</si>
  <si>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</si>
  <si>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</si>
  <si>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</si>
  <si>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</si>
  <si>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</si>
  <si>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</si>
  <si>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</si>
  <si>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</si>
  <si>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</si>
  <si>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</si>
  <si>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</si>
  <si>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</si>
  <si>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</si>
  <si>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</si>
  <si>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</si>
  <si>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</si>
  <si>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</si>
  <si>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</si>
  <si>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</si>
  <si>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</si>
  <si>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</si>
  <si>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</si>
  <si>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</si>
  <si>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</si>
  <si>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</si>
  <si>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</si>
  <si>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</si>
  <si>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</si>
  <si>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</si>
  <si>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</si>
  <si>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</si>
  <si>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</si>
  <si>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</si>
  <si>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</si>
  <si>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</si>
  <si>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</si>
  <si>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</si>
  <si>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</si>
  <si>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</si>
  <si>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</si>
  <si>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</si>
  <si>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</si>
  <si>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</si>
  <si>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</si>
  <si>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</si>
  <si>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</si>
  <si>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</si>
  <si>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</si>
  <si>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</si>
  <si>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</si>
  <si>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</si>
  <si>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</si>
  <si>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</si>
  <si>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</si>
  <si>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</si>
  <si>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</si>
  <si>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</si>
  <si>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</si>
  <si>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</si>
  <si>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</si>
  <si>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</si>
  <si>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</si>
  <si>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</si>
  <si>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</si>
  <si>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</si>
  <si>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</si>
  <si>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</si>
  <si>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</si>
  <si>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</si>
  <si>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</si>
  <si>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</si>
  <si>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</si>
  <si>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</si>
  <si>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</si>
  <si>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</si>
  <si>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</si>
  <si>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</si>
  <si>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</si>
  <si>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</si>
  <si>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</si>
  <si>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</si>
  <si>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</si>
  <si>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</si>
  <si>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</si>
  <si>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</si>
  <si>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</si>
  <si>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</si>
  <si>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</si>
  <si>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</si>
  <si>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</si>
  <si>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</si>
  <si>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</si>
  <si>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</si>
  <si>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</si>
  <si>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</si>
  <si>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</si>
  <si>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</si>
  <si>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</si>
  <si>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</si>
  <si>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</si>
  <si>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</si>
  <si>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</si>
  <si>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</si>
  <si>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</si>
  <si>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</si>
  <si>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</si>
  <si>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</si>
  <si>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</si>
  <si>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</si>
  <si>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</si>
  <si>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</si>
  <si>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</si>
  <si>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</si>
  <si>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</si>
  <si>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</si>
  <si>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</si>
  <si>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</si>
  <si>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</si>
  <si>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</si>
  <si>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</si>
  <si>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</si>
  <si>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</si>
  <si>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</si>
  <si>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</si>
  <si>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</si>
  <si>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</si>
  <si>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</si>
  <si>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</si>
  <si>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</si>
  <si>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</si>
  <si>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</si>
  <si>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</si>
  <si>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</si>
  <si>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</si>
  <si>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</si>
  <si>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</si>
  <si>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</si>
  <si>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</si>
  <si>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</si>
  <si>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</si>
  <si>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</si>
  <si>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</si>
  <si>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</si>
  <si>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</si>
  <si>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</si>
  <si>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</si>
  <si>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</si>
  <si>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</si>
  <si>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</si>
  <si>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</si>
  <si>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</si>
  <si>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</si>
  <si>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</si>
  <si>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</si>
  <si>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</si>
  <si>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</si>
  <si>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</si>
  <si>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</si>
  <si>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</si>
  <si>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</si>
  <si>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</si>
  <si>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</si>
  <si>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</si>
  <si>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</si>
  <si>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</si>
  <si>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</si>
  <si>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</si>
  <si>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</si>
  <si>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</si>
  <si>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</si>
  <si>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</si>
  <si>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</si>
  <si>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</si>
  <si>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</si>
  <si>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</si>
  <si>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</si>
  <si>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</si>
  <si>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</si>
  <si>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</si>
  <si>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</si>
  <si>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</si>
  <si>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</si>
  <si>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</si>
  <si>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</si>
  <si>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</si>
  <si>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</si>
  <si>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</si>
  <si>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</si>
  <si>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</si>
  <si>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</si>
  <si>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</si>
  <si>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</si>
  <si>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</si>
  <si>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</si>
  <si>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</si>
  <si>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</si>
  <si>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</si>
  <si>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</si>
  <si>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</si>
  <si>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</si>
  <si>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</si>
  <si>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</si>
  <si>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</si>
  <si>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</si>
  <si>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</si>
  <si>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</si>
  <si>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</si>
  <si>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</si>
  <si>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</si>
  <si>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</si>
  <si>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</si>
  <si>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</si>
  <si>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</si>
  <si>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</si>
  <si>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</si>
  <si>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</si>
  <si>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</si>
  <si>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</si>
  <si>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</si>
  <si>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</si>
  <si>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</si>
  <si>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</si>
  <si>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</si>
  <si>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</si>
  <si>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</si>
  <si>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</si>
  <si>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</si>
  <si>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</si>
  <si>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</si>
  <si>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</si>
  <si>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</si>
  <si>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</si>
  <si>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</si>
  <si>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</si>
  <si>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</si>
  <si>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</si>
  <si>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</si>
  <si>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</si>
  <si>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</si>
  <si>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</si>
  <si>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</si>
  <si>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</si>
  <si>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</si>
  <si>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</si>
  <si>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</si>
  <si>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</si>
  <si>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</si>
  <si>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</si>
  <si>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</si>
  <si>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</si>
  <si>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</si>
  <si>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</si>
  <si>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</si>
  <si>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</si>
  <si>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</si>
  <si>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</si>
  <si>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</si>
  <si>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</si>
  <si>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</si>
  <si>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</si>
  <si>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</si>
  <si>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</si>
  <si>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</si>
  <si>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</si>
  <si>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</si>
  <si>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</si>
  <si>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</si>
  <si>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</si>
  <si>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</si>
  <si>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</si>
  <si>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</si>
  <si>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</si>
  <si>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</si>
  <si>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</si>
  <si>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</si>
  <si>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</si>
  <si>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</si>
  <si>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</si>
  <si>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</si>
  <si>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</si>
  <si>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</si>
  <si>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</si>
  <si>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</si>
  <si>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</si>
  <si>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</si>
  <si>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</si>
  <si>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</si>
  <si>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</si>
  <si>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</si>
  <si>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</si>
  <si>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</si>
  <si>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</si>
  <si>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</si>
  <si>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</si>
  <si>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</si>
  <si>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</si>
  <si>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</si>
  <si>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</si>
  <si>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</si>
  <si>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</si>
  <si>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</si>
  <si>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</si>
  <si>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</si>
  <si>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</si>
  <si>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</si>
  <si>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</si>
  <si>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</si>
  <si>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</si>
  <si>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</si>
  <si>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</si>
  <si>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</si>
  <si>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</si>
  <si>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</si>
  <si>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</si>
  <si>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</si>
  <si>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</si>
  <si>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</si>
  <si>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</si>
  <si>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</si>
  <si>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</si>
  <si>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</si>
  <si>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</si>
  <si>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</si>
  <si>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</si>
  <si>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</si>
  <si>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</si>
  <si>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</si>
  <si>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</si>
  <si>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</si>
  <si>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</si>
  <si>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</si>
  <si>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</si>
  <si>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</si>
  <si>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</si>
  <si>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</si>
  <si>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</si>
  <si>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</si>
  <si>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</si>
  <si>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</si>
  <si>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</si>
  <si>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</si>
  <si>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</si>
  <si>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</si>
  <si>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</si>
  <si>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</si>
  <si>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</si>
  <si>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</si>
  <si>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</si>
  <si>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</si>
  <si>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</si>
  <si>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</si>
  <si>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</si>
  <si>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</si>
  <si>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</si>
  <si>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</si>
  <si>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</si>
  <si>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</si>
  <si>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</si>
  <si>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</si>
  <si>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</si>
  <si>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</si>
  <si>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</si>
  <si>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</si>
  <si>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</si>
  <si>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</si>
  <si>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</si>
  <si>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</si>
  <si>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</si>
  <si>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</si>
  <si>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</si>
  <si>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</si>
  <si>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</si>
  <si>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</si>
  <si>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</si>
  <si>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</si>
  <si>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</si>
  <si>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</si>
  <si>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</si>
  <si>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</si>
  <si>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</si>
  <si>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</si>
  <si>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</si>
  <si>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</si>
  <si>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</si>
  <si>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</si>
  <si>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</si>
  <si>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</si>
  <si>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</si>
  <si>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</si>
  <si>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</si>
  <si>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</si>
  <si>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</si>
  <si>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</si>
  <si>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</si>
  <si>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</si>
  <si>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</si>
  <si>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</si>
  <si>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</si>
  <si>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</si>
  <si>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</si>
  <si>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</si>
  <si>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</si>
  <si>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</si>
  <si>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</si>
  <si>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</si>
  <si>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</si>
  <si>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</si>
  <si>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</si>
  <si>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</si>
  <si>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</si>
  <si>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</si>
  <si>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</si>
  <si>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</si>
  <si>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</si>
  <si>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</si>
  <si>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</si>
  <si>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</si>
  <si>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</si>
  <si>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</si>
  <si>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</si>
  <si>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</si>
  <si>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</si>
  <si>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</si>
  <si>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</si>
  <si>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</si>
  <si>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</si>
  <si>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</si>
  <si>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</si>
  <si>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</si>
  <si>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</si>
  <si>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</si>
  <si>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</si>
  <si>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</si>
  <si>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</si>
  <si>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</si>
  <si>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</si>
  <si>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</si>
  <si>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</si>
  <si>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</si>
  <si>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</si>
  <si>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</si>
  <si>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</si>
  <si>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</si>
  <si>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</si>
  <si>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</si>
  <si>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</si>
  <si>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</si>
  <si>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</si>
  <si>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</si>
  <si>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</si>
  <si>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</si>
  <si>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</si>
  <si>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</si>
  <si>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</si>
  <si>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</si>
  <si>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</si>
  <si>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</si>
  <si>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</si>
  <si>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</si>
  <si>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</si>
  <si>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</si>
  <si>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</si>
  <si>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</si>
  <si>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</si>
  <si>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</si>
  <si>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</si>
  <si>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</si>
  <si>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</si>
  <si>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</si>
  <si>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</si>
  <si>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</si>
  <si>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</si>
  <si>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</si>
  <si>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</si>
  <si>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</si>
  <si>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</si>
  <si>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</si>
  <si>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</si>
  <si>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</si>
  <si>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</si>
  <si>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</si>
  <si>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</si>
  <si>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</si>
  <si>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</si>
  <si>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</si>
  <si>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</si>
  <si>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</si>
  <si>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</si>
  <si>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</si>
  <si>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</si>
  <si>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</si>
  <si>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</si>
  <si>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</si>
  <si>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</si>
  <si>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</si>
  <si>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</si>
  <si>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</si>
  <si>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</si>
  <si>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</si>
  <si>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</si>
  <si>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</si>
  <si>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</si>
  <si>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</si>
  <si>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</si>
  <si>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</si>
  <si>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</si>
  <si>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</si>
  <si>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</si>
  <si>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</si>
  <si>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</si>
  <si>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</si>
  <si>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</si>
  <si>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</si>
  <si>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</si>
  <si>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</si>
  <si>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</si>
  <si>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</si>
  <si>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</si>
  <si>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</si>
  <si>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</si>
  <si>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</si>
  <si>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</si>
  <si>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</si>
  <si>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</si>
  <si>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</si>
  <si>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</si>
  <si>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</si>
  <si>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</si>
  <si>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</si>
  <si>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</si>
  <si>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</si>
  <si>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</si>
  <si>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</si>
  <si>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</si>
  <si>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</si>
  <si>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</si>
  <si>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</si>
  <si>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</si>
  <si>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</si>
  <si>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</si>
  <si>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</si>
  <si>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</si>
  <si>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</si>
  <si>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</si>
  <si>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</si>
  <si>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</si>
  <si>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</si>
  <si>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</si>
  <si>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</si>
  <si>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</si>
  <si>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</si>
  <si>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</si>
  <si>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</si>
  <si>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</si>
  <si>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</si>
  <si>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</si>
  <si>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</si>
  <si>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</si>
  <si>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</si>
  <si>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</si>
  <si>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</si>
  <si>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</si>
  <si>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</si>
  <si>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</si>
  <si>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</si>
  <si>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</si>
  <si>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</si>
  <si>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</si>
  <si>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</si>
  <si>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</si>
  <si>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</si>
  <si>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</si>
  <si>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</si>
  <si>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</si>
  <si>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</si>
  <si>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</si>
  <si>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</si>
  <si>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</si>
  <si>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</si>
  <si>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</si>
  <si>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</si>
  <si>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</si>
  <si>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</si>
  <si>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</si>
  <si>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</si>
  <si>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</si>
  <si>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</si>
  <si>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</si>
  <si>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</si>
  <si>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</si>
  <si>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</si>
  <si>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</si>
  <si>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</si>
  <si>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</si>
  <si>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</si>
  <si>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</si>
  <si>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</si>
  <si>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</si>
  <si>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</si>
  <si>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</si>
  <si>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</si>
  <si>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</si>
  <si>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</si>
  <si>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</si>
  <si>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</si>
  <si>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</si>
  <si>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</si>
  <si>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</si>
  <si>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</si>
  <si>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</si>
  <si>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</si>
  <si>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</si>
  <si>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</si>
  <si>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</si>
  <si>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</si>
  <si>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</si>
  <si>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</si>
  <si>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</si>
  <si>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</si>
  <si>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</si>
  <si>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</si>
  <si>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</si>
  <si>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</si>
  <si>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</si>
  <si>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</si>
  <si>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</si>
  <si>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</si>
  <si>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</si>
  <si>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</si>
  <si>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</si>
  <si>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</si>
  <si>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</si>
  <si>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</si>
  <si>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</si>
  <si>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</si>
  <si>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</si>
  <si>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</si>
  <si>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</si>
  <si>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</si>
  <si>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</si>
  <si>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</si>
  <si>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</si>
  <si>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</si>
  <si>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</si>
  <si>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</si>
  <si>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</si>
  <si>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</si>
  <si>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</si>
  <si>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</si>
  <si>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</si>
  <si>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</si>
  <si>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</si>
  <si>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</si>
  <si>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</si>
  <si>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</si>
  <si>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</si>
  <si>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</si>
  <si>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</si>
  <si>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</si>
  <si>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</si>
  <si>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</si>
  <si>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</si>
  <si>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</si>
  <si>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</si>
  <si>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</si>
  <si>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</si>
  <si>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</si>
  <si>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</si>
  <si>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</si>
  <si>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</si>
  <si>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</si>
  <si>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</si>
  <si>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</si>
  <si>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</si>
  <si>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</si>
  <si>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</si>
  <si>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</si>
  <si>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</si>
  <si>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</si>
  <si>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</si>
  <si>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</si>
  <si>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</si>
  <si>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</si>
  <si>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</si>
  <si>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</si>
  <si>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</si>
  <si>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</si>
  <si>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</si>
  <si>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</si>
  <si>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</si>
  <si>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</si>
  <si>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</si>
  <si>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</si>
  <si>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</si>
  <si>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</si>
  <si>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</si>
  <si>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</si>
  <si>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</si>
  <si>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</si>
  <si>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</si>
  <si>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</si>
  <si>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</si>
  <si>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</si>
  <si>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</si>
  <si>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</si>
  <si>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</si>
  <si>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</si>
  <si>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</si>
  <si>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</si>
  <si>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</si>
  <si>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</si>
  <si>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</si>
  <si>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</si>
  <si>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</si>
  <si>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</si>
  <si>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</si>
  <si>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</si>
  <si>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</si>
  <si>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</si>
  <si>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</si>
  <si>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</si>
  <si>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</si>
  <si>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</si>
  <si>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</si>
  <si>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</si>
  <si>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</si>
  <si>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</si>
  <si>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</si>
  <si>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</si>
  <si>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</si>
  <si>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</si>
  <si>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</si>
  <si>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</si>
  <si>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</si>
  <si>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</si>
  <si>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</si>
  <si>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</si>
  <si>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</si>
  <si>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</si>
  <si>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</si>
  <si>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</si>
  <si>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</si>
  <si>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</si>
  <si>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</si>
  <si>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</si>
  <si>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</si>
  <si>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</si>
  <si>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</si>
  <si>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</si>
  <si>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</si>
  <si>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</si>
  <si>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</si>
  <si>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</si>
  <si>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</si>
  <si>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</si>
  <si>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</si>
  <si>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</si>
  <si>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</si>
  <si>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</si>
  <si>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</si>
  <si>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</si>
  <si>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</si>
  <si>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</si>
  <si>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</si>
  <si>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</si>
  <si>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</si>
  <si>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</si>
  <si>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</si>
  <si>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</si>
  <si>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</si>
  <si>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</si>
  <si>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</si>
  <si>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</si>
  <si>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</si>
  <si>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</si>
  <si>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</si>
  <si>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</si>
  <si>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</si>
  <si>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</si>
  <si>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</si>
  <si>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</si>
  <si>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</si>
  <si>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</si>
  <si>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</si>
  <si>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</si>
  <si>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</si>
  <si>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</si>
  <si>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</si>
  <si>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</si>
  <si>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</si>
  <si>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</si>
  <si>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</si>
  <si>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</si>
  <si>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</si>
  <si>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</si>
  <si>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</si>
  <si>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</si>
  <si>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</si>
  <si>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</si>
  <si>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</si>
  <si>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</si>
  <si>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</si>
  <si>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</si>
  <si>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</si>
  <si>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</si>
  <si>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</si>
  <si>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</si>
  <si>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</si>
  <si>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</si>
  <si>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</si>
  <si>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</si>
  <si>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</si>
  <si>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</si>
  <si>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</si>
  <si>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</si>
  <si>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</si>
  <si>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</si>
  <si>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</si>
  <si>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</si>
  <si>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</si>
  <si>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</si>
  <si>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</si>
  <si>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</si>
  <si>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</si>
  <si>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</si>
  <si>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</si>
  <si>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</si>
  <si>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</si>
  <si>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</si>
  <si>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</si>
  <si>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</si>
  <si>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</si>
  <si>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</si>
  <si>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</si>
  <si>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</si>
  <si>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</si>
  <si>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</si>
  <si>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</si>
  <si>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</si>
  <si>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</si>
  <si>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</si>
  <si>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</si>
  <si>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</si>
  <si>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</si>
  <si>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</si>
  <si>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</si>
  <si>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</si>
  <si>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</si>
  <si>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</si>
  <si>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</si>
  <si>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</si>
  <si>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</si>
  <si>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</si>
  <si>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</si>
  <si>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</si>
  <si>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</si>
  <si>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</si>
  <si>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</si>
  <si>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</si>
  <si>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</si>
  <si>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</si>
  <si>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</si>
  <si>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</si>
  <si>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</si>
  <si>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</si>
  <si>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</si>
  <si>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</si>
  <si>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</si>
  <si>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</si>
  <si>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</si>
  <si>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</si>
  <si>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</si>
  <si>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</si>
  <si>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</si>
  <si>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</si>
  <si>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</si>
  <si>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</si>
  <si>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</si>
  <si>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</si>
  <si>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</si>
  <si>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</si>
  <si>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</si>
  <si>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</si>
  <si>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</si>
  <si>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</si>
  <si>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</si>
  <si>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</si>
  <si>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</si>
  <si>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</si>
  <si>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</si>
  <si>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</si>
  <si>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</si>
  <si>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</si>
  <si>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</si>
  <si>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</si>
  <si>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</si>
  <si>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</si>
  <si>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</si>
  <si>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</si>
  <si>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</si>
  <si>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</si>
  <si>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</si>
  <si>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</si>
  <si>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</si>
  <si>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</si>
  <si>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</si>
  <si>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</si>
  <si>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</si>
  <si>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</si>
  <si>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</si>
  <si>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</si>
  <si>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</si>
  <si>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</si>
  <si>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</si>
  <si>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</si>
  <si>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</si>
  <si>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</si>
  <si>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</si>
  <si>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</si>
  <si>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</si>
  <si>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</si>
  <si>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</si>
  <si>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</si>
  <si>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</si>
  <si>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</si>
  <si>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</si>
  <si>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</si>
  <si>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</si>
  <si>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</si>
  <si>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</si>
  <si>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</si>
  <si>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</si>
  <si>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</si>
  <si>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</si>
  <si>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</si>
  <si>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</si>
  <si>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</si>
  <si>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</si>
  <si>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</si>
  <si>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</si>
  <si>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</si>
  <si>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</si>
  <si>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</si>
  <si>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</si>
  <si>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</si>
  <si>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</si>
  <si>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</si>
  <si>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</si>
  <si>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</si>
  <si>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</si>
  <si>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</si>
  <si>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</si>
  <si>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</si>
  <si>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</si>
  <si>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</si>
  <si>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</si>
  <si>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</si>
  <si>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</si>
  <si>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</si>
  <si>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</si>
  <si>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</si>
  <si>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</si>
  <si>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</si>
  <si>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</si>
  <si>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</si>
  <si>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</si>
  <si>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</si>
  <si>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</si>
  <si>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</si>
  <si>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</si>
  <si>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</si>
  <si>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</si>
  <si>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</si>
  <si>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</si>
  <si>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</si>
  <si>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</si>
  <si>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</si>
  <si>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</si>
  <si>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</si>
  <si>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</si>
  <si>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</si>
  <si>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</si>
  <si>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</si>
  <si>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</si>
  <si>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</si>
  <si>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</si>
  <si>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</si>
  <si>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</si>
  <si>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</si>
  <si>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</si>
  <si>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</si>
  <si>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</si>
  <si>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</si>
  <si>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</si>
  <si>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</si>
  <si>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</si>
  <si>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</si>
  <si>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</si>
  <si>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</si>
  <si>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</si>
  <si>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</si>
  <si>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</si>
  <si>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</si>
  <si>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</si>
  <si>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</si>
  <si>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</si>
  <si>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</si>
  <si>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</si>
  <si>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</si>
  <si>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</si>
  <si>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</si>
  <si>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</si>
  <si>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</si>
  <si>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</si>
  <si>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</si>
  <si>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</si>
  <si>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</si>
  <si>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</si>
  <si>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</si>
  <si>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</si>
  <si>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</si>
  <si>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</si>
  <si>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</si>
  <si>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</si>
  <si>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</si>
  <si>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</si>
  <si>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</si>
  <si>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</si>
  <si>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</si>
  <si>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</si>
  <si>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</si>
  <si>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</si>
  <si>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</si>
  <si>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</si>
  <si>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</si>
  <si>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</si>
  <si>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</si>
  <si>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</si>
  <si>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</si>
  <si>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</si>
  <si>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</si>
  <si>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</si>
  <si>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</si>
  <si>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</si>
  <si>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</si>
  <si>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</si>
  <si>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</si>
  <si>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</si>
  <si>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</si>
  <si>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</si>
  <si>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</si>
  <si>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</si>
  <si>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</si>
  <si>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</si>
  <si>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</si>
  <si>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</si>
  <si>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</si>
  <si>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</si>
  <si>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</si>
  <si>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</si>
  <si>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</si>
  <si>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</si>
  <si>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</si>
  <si>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</si>
  <si>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</si>
  <si>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</si>
  <si>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</si>
  <si>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</si>
  <si>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</si>
  <si>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</si>
  <si>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</si>
  <si>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</si>
  <si>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</si>
  <si>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</si>
  <si>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</si>
  <si>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</si>
  <si>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</si>
  <si>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</si>
  <si>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</si>
  <si>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</si>
  <si>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</si>
  <si>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</si>
  <si>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</si>
  <si>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</si>
  <si>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</si>
  <si>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</si>
  <si>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</si>
  <si>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</si>
  <si>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</si>
  <si>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</si>
  <si>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</si>
  <si>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</si>
  <si>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</si>
  <si>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</si>
  <si>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</si>
  <si>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</si>
  <si>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</si>
  <si>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</si>
  <si>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</si>
  <si>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</si>
  <si>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</si>
  <si>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</si>
  <si>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</si>
  <si>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</si>
  <si>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</si>
  <si>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</si>
  <si>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</si>
  <si>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</si>
  <si>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</si>
  <si>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</si>
  <si>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</si>
  <si>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</si>
  <si>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</si>
  <si>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</si>
  <si>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</si>
  <si>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</si>
  <si>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</si>
  <si>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</si>
  <si>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</si>
  <si>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</si>
  <si>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</si>
  <si>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</si>
  <si>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</si>
  <si>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</si>
  <si>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</si>
  <si>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</si>
  <si>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</si>
  <si>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</si>
  <si>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</si>
  <si>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</si>
  <si>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</si>
  <si>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</si>
  <si>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</si>
  <si>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</si>
  <si>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</si>
  <si>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</si>
  <si>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</si>
  <si>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</si>
  <si>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</si>
  <si>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</si>
  <si>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</si>
  <si>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</si>
  <si>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</si>
  <si>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</si>
  <si>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</si>
  <si>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</si>
  <si>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</si>
  <si>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</si>
  <si>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</si>
  <si>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</si>
  <si>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</si>
  <si>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</si>
  <si>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</si>
  <si>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</si>
  <si>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</si>
  <si>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</si>
  <si>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</si>
  <si>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</si>
  <si>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</si>
  <si>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</si>
  <si>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</si>
  <si>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</si>
  <si>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</si>
  <si>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</si>
  <si>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</si>
  <si>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</si>
  <si>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</si>
  <si>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</si>
  <si>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</si>
  <si>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</si>
  <si>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</si>
  <si>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</si>
  <si>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</si>
  <si>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</si>
  <si>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</si>
  <si>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</si>
  <si>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</si>
  <si>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</si>
  <si>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</si>
  <si>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</si>
  <si>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</si>
  <si>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</si>
  <si>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</si>
  <si>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</si>
  <si>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</si>
  <si>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</si>
  <si>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</si>
  <si>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</si>
  <si>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</si>
  <si>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</si>
  <si>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</si>
  <si>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</si>
  <si>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</si>
  <si>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</si>
  <si>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</si>
  <si>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</si>
  <si>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</si>
  <si>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</si>
  <si>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</si>
  <si>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</si>
  <si>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</si>
  <si>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</si>
  <si>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</si>
  <si>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</si>
  <si>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</si>
  <si>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</si>
  <si>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</si>
  <si>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</si>
  <si>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</si>
  <si>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</si>
  <si>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</si>
  <si>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</si>
  <si>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</si>
  <si>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</si>
  <si>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</si>
  <si>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</si>
  <si>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</si>
  <si>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</si>
  <si>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</si>
  <si>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</si>
  <si>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</si>
  <si>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</si>
  <si>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</si>
  <si>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</si>
  <si>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</si>
  <si>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</si>
  <si>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</si>
  <si>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</si>
  <si>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</si>
  <si>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</si>
  <si>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</si>
  <si>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</si>
  <si>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</si>
  <si>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</si>
  <si>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</si>
  <si>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</si>
  <si>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</si>
  <si>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</si>
  <si>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</si>
  <si>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</si>
  <si>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</si>
  <si>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</si>
  <si>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</si>
  <si>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</si>
  <si>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</si>
  <si>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</si>
  <si>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</si>
  <si>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</si>
  <si>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</si>
  <si>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</si>
  <si>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</si>
  <si>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</si>
  <si>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</si>
  <si>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</si>
  <si>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</si>
  <si>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</si>
  <si>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</si>
  <si>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</si>
  <si>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</si>
  <si>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</si>
  <si>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</si>
  <si>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</si>
  <si>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</si>
  <si>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</si>
  <si>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</si>
  <si>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</si>
  <si>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</si>
  <si>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</si>
  <si>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</si>
  <si>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</si>
  <si>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</si>
  <si>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</si>
  <si>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</si>
  <si>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</si>
  <si>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</si>
  <si>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</si>
  <si>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</si>
  <si>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</si>
  <si>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</si>
  <si>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</si>
  <si>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</si>
  <si>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</si>
  <si>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</si>
  <si>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</si>
  <si>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</si>
  <si>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</si>
  <si>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</si>
  <si>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</si>
  <si>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</si>
  <si>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</si>
  <si>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</si>
  <si>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</si>
  <si>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</si>
  <si>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</si>
  <si>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</si>
  <si>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</si>
  <si>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</si>
  <si>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</si>
  <si>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</si>
  <si>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</si>
  <si>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</si>
  <si>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</si>
  <si>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</si>
  <si>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</si>
  <si>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</si>
  <si>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</si>
  <si>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</si>
  <si>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</si>
  <si>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</si>
  <si>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</si>
  <si>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</si>
  <si>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</si>
  <si>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</si>
  <si>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</si>
  <si>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</si>
  <si>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</si>
  <si>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</si>
  <si>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</si>
  <si>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</si>
  <si>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</si>
  <si>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</si>
  <si>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</si>
  <si>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</si>
  <si>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</si>
  <si>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</si>
  <si>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</si>
  <si>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</si>
  <si>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</si>
  <si>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</si>
  <si>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</si>
  <si>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</si>
  <si>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</si>
  <si>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</si>
  <si>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</si>
  <si>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</si>
  <si>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</si>
  <si>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</si>
  <si>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</si>
  <si>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</si>
  <si>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</si>
  <si>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</si>
  <si>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</si>
  <si>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</si>
  <si>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</si>
  <si>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</si>
  <si>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</si>
  <si>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</si>
  <si>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</si>
  <si>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</si>
  <si>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</si>
  <si>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</si>
  <si>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</si>
  <si>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</si>
  <si>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</si>
  <si>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</si>
  <si>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</si>
  <si>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</si>
  <si>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</si>
  <si>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</si>
  <si>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</si>
  <si>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</si>
  <si>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</si>
  <si>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</si>
  <si>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</si>
  <si>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</si>
  <si>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</si>
  <si>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</si>
  <si>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</si>
  <si>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</si>
  <si>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</si>
  <si>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</si>
  <si>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</si>
  <si>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</si>
  <si>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</si>
  <si>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</si>
  <si>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</si>
  <si>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</si>
  <si>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</si>
  <si>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</si>
  <si>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</si>
  <si>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</si>
  <si>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</si>
  <si>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</si>
  <si>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</si>
  <si>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</si>
  <si>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Alerta Duplicidade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</si>
</sst>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49" fontId="48" fillId="0" borderId="0" xfId="0" applyNumberFormat="1" applyFont="1" applyAlignment="1">
      <alignment horizontal="center" vertical="center"/>
    </xf>
    <xf numFmtId="14" fontId="48" fillId="0" borderId="0" xfId="0" applyNumberFormat="1" applyFont="1" applyAlignment="1">
      <alignment horizontal="center"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0" dataDxfId="49" totalsRowDxfId="48" totalsRowBorderDxfId="47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606" activePane="bottomLeft" state="frozen"/>
      <selection pane="bottomLeft" activeCell="C724" sqref="C724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22.5" customHeight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22.5" customHeight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22.5" customHeight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22.5" customHeight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22.5" customHeight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22.5" customHeight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22.5" customHeight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22.5" customHeight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22.5" customHeight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22.5" customHeight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22.5" customHeight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22.5" customHeight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22.5" customHeight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22.5" customHeight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22.5" customHeight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22.5" customHeight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22.5" customHeight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22.5" customHeight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22.5" customHeight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22.5" customHeight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22.5" customHeight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22.5" customHeight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22.5" customHeight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22.5" customHeight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22.5" customHeight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22.5" customHeight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22.5" customHeight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22.5" customHeight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22.5" customHeight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22.5" customHeight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22.5" customHeight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22.5" customHeight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22.5" customHeight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22.5" customHeight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22.5" customHeight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22.5" customHeight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22.5" customHeight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22.5" customHeight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22.5" customHeight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22.5" customHeight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22.5" customHeight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22.5" customHeight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22.5" customHeight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22.5" customHeight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22.5" customHeight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22.5" customHeight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22.5" customHeight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22.5" customHeight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22.5" customHeight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22.5" customHeight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22.5" customHeight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22.5" customHeight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22.5" customHeight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22.5" customHeight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22.5" customHeight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22.5" customHeight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22.5" customHeight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22.5" customHeight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22.5" customHeight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22.5" customHeight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22.5" customHeight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22.5" customHeight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22.5" customHeight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22.5" customHeight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22.5" customHeight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22.5" customHeight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22.5" customHeight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22.5" customHeight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22.5" customHeight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22.5" customHeight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22.5" customHeight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22.5" customHeight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22.5" customHeight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22.5" customHeight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22.5" customHeight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22.5" customHeight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22.5" customHeight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22.5" customHeight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22.5" customHeight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22.5" customHeight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22.5" customHeight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22.5" customHeight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22.5" customHeight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22.5" customHeight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22.5" customHeight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22.5" customHeight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22.5" customHeight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22.5" customHeight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22.5" customHeight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22.5" customHeight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22.5" customHeight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22.5" customHeight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22.5" customHeight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22.5" customHeight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22.5" customHeight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22.5" customHeight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22.5" customHeight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22.5" customHeight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22.5" customHeight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22.5" customHeight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22.5" customHeight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22.5" customHeight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22.5" customHeight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22.5" customHeight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22.5" customHeight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22.5" customHeight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22.5" customHeight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22.5" customHeight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22.5" customHeight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22.5" customHeight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22.5" customHeight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22.5" customHeight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22.5" customHeight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22.5" customHeight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22.5" customHeight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22.5" customHeight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22.5" customHeight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22.5" customHeight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22.5" customHeight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22.5" customHeight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22.5" customHeight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22.5" customHeight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22.5" customHeight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22.5" customHeight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22.5" customHeight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22.5" customHeight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22.5" customHeight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22.5" customHeight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22.5" customHeight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22.5" customHeight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22.5" customHeight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22.5" customHeight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22.5" customHeight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22.5" customHeight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22.5" customHeight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22.5" customHeight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22.5" customHeight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22.5" customHeight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22.5" customHeight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22.5" customHeight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22.5" customHeight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22.5" customHeight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22.5" customHeight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22.5" customHeight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22.5" customHeight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22.5" customHeight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22.5" customHeight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22.5" customHeight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22.5" customHeight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22.5" customHeight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22.5" customHeight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22.5" customHeight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22.5" customHeight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22.5" customHeight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22.5" customHeight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22.5" customHeight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22.5" customHeight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22.5" customHeight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22.5" customHeight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22.5" customHeight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22.5" customHeight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22.5" customHeight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22.5" customHeight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22.5" customHeight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22.5" customHeight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22.5" customHeight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22.5" customHeight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22.5" customHeight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22.5" customHeight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22.5" customHeight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22.5" customHeight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22.5" customHeight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22.5" customHeight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22.5" customHeight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22.5" customHeight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22.5" customHeight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22.5" customHeight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22.5" customHeight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22.5" customHeight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22.5" customHeight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22.5" customHeight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22.5" customHeight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22.5" customHeight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22.5" customHeight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22.5" customHeight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22.5" customHeight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22.5" customHeight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22.5" customHeight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22.5" customHeight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22.5" customHeight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22.5" customHeight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22.5" customHeight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22.5" customHeight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22.5" customHeight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22.5" customHeight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22.5" customHeight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22.5" customHeight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22.5" customHeight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22.5" customHeight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22.5" customHeight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22.5" customHeight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22.5" customHeight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22.5" customHeight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22.5" customHeight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22.5" customHeight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22.5" customHeight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22.5" customHeight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22.5" customHeight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22.5" customHeight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22.5" customHeight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22.5" customHeight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22.5" customHeight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22.5" customHeight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22.5" customHeight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22.5" customHeight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22.5" customHeight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22.5" customHeight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22.5" customHeight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22.5" customHeight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22.5" customHeight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22.5" customHeight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22.5" customHeight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22.5" customHeight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22.5" customHeight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22.5" customHeight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22.5" customHeight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22.5" customHeight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22.5" customHeight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22.5" customHeight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22.5" customHeight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22.5" customHeight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22.5" customHeight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22.5" customHeight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22.5" customHeight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22.5" customHeight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22.5" customHeight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22.5" customHeight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22.5" customHeight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22.5" customHeight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22.5" customHeight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22.5" customHeight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22.5" customHeight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22.5" customHeight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22.5" customHeight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22.5" customHeight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22.5" customHeight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22.5" customHeight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22.5" customHeight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22.5" customHeight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22.5" customHeight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22.5" customHeight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22.5" customHeight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22.5" customHeight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22.5" customHeight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22.5" customHeight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22.5" customHeight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22.5" customHeight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22.5" customHeight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22.5" customHeight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22.5" customHeight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22.5" customHeight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22.5" customHeight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22.5" customHeight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22.5" customHeight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22.5" customHeight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22.5" customHeight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22.5" customHeight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22.5" customHeight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22.5" customHeight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22.5" customHeight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22.5" customHeight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22.5" customHeight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22.5" customHeight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22.5" customHeight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22.5" customHeight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22.5" customHeight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22.5" customHeight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22.5" customHeight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22.5" customHeight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22.5" customHeight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22.5" customHeight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22.5" customHeight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22.5" customHeight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22.5" customHeight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22.5" customHeight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22.5" customHeight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22.5" customHeight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22.5" customHeight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22.5" customHeight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22.5" customHeight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22.5" customHeight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22.5" customHeight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22.5" customHeight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22.5" customHeight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22.5" customHeight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22.5" customHeight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22.5" customHeight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22.5" customHeight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22.5" customHeight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22.5" customHeight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22.5" customHeight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22.5" customHeight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22.5" customHeight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22.5" customHeight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22.5" customHeight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22.5" customHeight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22.5" customHeight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22.5" customHeight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22.5" customHeight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22.5" customHeight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22.5" customHeight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22.5" customHeight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22.5" customHeight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22.5" customHeight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22.5" customHeight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22.5" customHeight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22.5" customHeight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22.5" customHeight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22.5" customHeight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22.5" customHeight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22.5" customHeight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22.5" customHeight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22.5" customHeight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22.5" customHeight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22.5" customHeight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22.5" customHeight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22.5" customHeight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22.5" customHeight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22.5" customHeight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22.5" customHeight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22.5" customHeight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22.5" customHeight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22.5" customHeight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22.5" customHeight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22.5" customHeight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22.5" customHeight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22.5" customHeight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22.5" customHeight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22.5" customHeight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22.5" customHeight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22.5" customHeight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22.5" customHeight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22.5" customHeight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22.5" customHeight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22.5" customHeight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22.5" customHeight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22.5" customHeight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22.5" customHeight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22.5" customHeight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22.5" customHeight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22.5" customHeight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22.5" customHeight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22.5" customHeight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22.5" customHeight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22.5" customHeight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22.5" customHeight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22.5" customHeight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22.5" customHeight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22.5" customHeight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22.5" customHeight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22.5" customHeight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22.5" customHeight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22.5" customHeight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22.5" customHeight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22.5" customHeight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22.5" customHeight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22.5" customHeight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22.5" customHeight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22.5" customHeight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22.5" customHeight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22.5" customHeight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22.5" customHeight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22.5" customHeight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22.5" customHeight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22.5" customHeight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22.5" customHeight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22.5" customHeight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22.5" customHeight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22.5" customHeight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22.5" customHeight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22.5" customHeight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22.5" customHeight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22.5" customHeight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449" si="6">SUM(O386:Q386)</f>
        <v>49</v>
      </c>
      <c r="S386" s="127">
        <v>2</v>
      </c>
      <c r="T386" s="130" t="s">
        <v>1622</v>
      </c>
    </row>
    <row r="387" spans="1:20" ht="22.5" customHeight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22.5" customHeight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22.5" customHeight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22.5" customHeight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22.5" customHeight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22.5" customHeight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22.5" customHeight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22.5" customHeight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22.5" customHeight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22.5" customHeight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22.5" customHeight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22.5" customHeight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22.5" customHeight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22.5" customHeight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22.5" customHeight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22.5" customHeight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22.5" customHeight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22.5" customHeight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22.5" customHeight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22.5" customHeight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22.5" customHeight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22.5" customHeight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22.5" customHeight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22.5" customHeight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22.5" customHeight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22.5" customHeight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22.5" customHeight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22.5" customHeight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22.5" customHeight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22.5" customHeight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22.5" customHeight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22.5" customHeight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22.5" customHeight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22.5" customHeight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22.5" customHeight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22.5" customHeight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22.5" customHeight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22.5" customHeight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22.5" customHeight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22.5" customHeight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22.5" customHeight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22.5" customHeight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22.5" customHeight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22.5" customHeight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22.5" customHeight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22.5" customHeight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22.5" customHeight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22.5" customHeight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22.5" customHeight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22.5" customHeight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22.5" customHeight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22.5" customHeight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22.5" customHeight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22.5" customHeight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22.5" customHeight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22.5" customHeight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22.5" customHeight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22.5" customHeight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22.5" customHeight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22.5" customHeight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22.5" customHeight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22.5" customHeight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22.5" customHeight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22.5" customHeight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22.5" customHeight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22.5" customHeight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22.5" customHeight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22.5" customHeight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22.5" customHeight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22.5" customHeight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22.5" customHeight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22.5" customHeight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22.5" customHeight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22.5" customHeight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22.5" customHeight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22.5" customHeight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22.5" customHeight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22.5" customHeight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22.5" customHeight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2786</v>
      </c>
    </row>
    <row r="466" spans="1:20" ht="22.5" customHeight="1" x14ac:dyDescent="0.25">
      <c r="A466" s="137" t="s">
        <v>1921</v>
      </c>
      <c r="B466" s="127">
        <v>2024</v>
      </c>
      <c r="C466" s="127" t="s">
        <v>22</v>
      </c>
      <c r="D466" s="127" t="s">
        <v>1922</v>
      </c>
      <c r="E466" s="128" t="s">
        <v>1923</v>
      </c>
      <c r="F466" s="129" t="s">
        <v>88</v>
      </c>
      <c r="G466" s="130" t="s">
        <v>75</v>
      </c>
      <c r="H466" s="131" t="s">
        <v>1924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22.5" customHeight="1" x14ac:dyDescent="0.25">
      <c r="A467" s="137" t="s">
        <v>1925</v>
      </c>
      <c r="B467" s="127">
        <v>2024</v>
      </c>
      <c r="C467" s="127" t="s">
        <v>22</v>
      </c>
      <c r="D467" s="127" t="s">
        <v>1922</v>
      </c>
      <c r="E467" s="128" t="s">
        <v>1926</v>
      </c>
      <c r="F467" s="150" t="s">
        <v>24</v>
      </c>
      <c r="G467" s="130" t="s">
        <v>75</v>
      </c>
      <c r="H467" s="131" t="s">
        <v>1927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22.5" customHeight="1" x14ac:dyDescent="0.25">
      <c r="A468" s="137" t="s">
        <v>1928</v>
      </c>
      <c r="B468" s="127">
        <v>2024</v>
      </c>
      <c r="C468" s="127" t="s">
        <v>22</v>
      </c>
      <c r="D468" s="127" t="s">
        <v>1929</v>
      </c>
      <c r="E468" s="128" t="s">
        <v>1930</v>
      </c>
      <c r="F468" s="129" t="s">
        <v>24</v>
      </c>
      <c r="G468" s="130" t="s">
        <v>42</v>
      </c>
      <c r="H468" s="131" t="s">
        <v>1931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1932</v>
      </c>
    </row>
    <row r="469" spans="1:20" ht="22.5" customHeight="1" x14ac:dyDescent="0.25">
      <c r="A469" s="137" t="s">
        <v>1933</v>
      </c>
      <c r="B469" s="127">
        <v>2024</v>
      </c>
      <c r="C469" s="127" t="s">
        <v>22</v>
      </c>
      <c r="D469" s="127" t="s">
        <v>1784</v>
      </c>
      <c r="E469" s="128" t="s">
        <v>1934</v>
      </c>
      <c r="F469" s="129" t="s">
        <v>24</v>
      </c>
      <c r="G469" s="130" t="s">
        <v>464</v>
      </c>
      <c r="H469" s="131" t="s">
        <v>1935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22.5" customHeight="1" x14ac:dyDescent="0.25">
      <c r="A470" s="137" t="s">
        <v>1936</v>
      </c>
      <c r="B470" s="127">
        <v>2024</v>
      </c>
      <c r="C470" s="127" t="s">
        <v>22</v>
      </c>
      <c r="D470" s="127" t="s">
        <v>1784</v>
      </c>
      <c r="E470" s="128" t="s">
        <v>1937</v>
      </c>
      <c r="F470" s="129" t="s">
        <v>24</v>
      </c>
      <c r="G470" s="130" t="s">
        <v>464</v>
      </c>
      <c r="H470" s="131" t="s">
        <v>1938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22.5" customHeight="1" x14ac:dyDescent="0.25">
      <c r="A471" s="137" t="s">
        <v>1939</v>
      </c>
      <c r="B471" s="127">
        <v>2024</v>
      </c>
      <c r="C471" s="127" t="s">
        <v>22</v>
      </c>
      <c r="D471" s="127" t="s">
        <v>1940</v>
      </c>
      <c r="E471" s="128" t="s">
        <v>1941</v>
      </c>
      <c r="F471" s="129" t="s">
        <v>69</v>
      </c>
      <c r="G471" s="130" t="s">
        <v>79</v>
      </c>
      <c r="H471" s="131" t="s">
        <v>1942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22.5" customHeight="1" x14ac:dyDescent="0.25">
      <c r="A472" s="137" t="s">
        <v>1943</v>
      </c>
      <c r="B472" s="127">
        <v>2024</v>
      </c>
      <c r="C472" s="127" t="s">
        <v>22</v>
      </c>
      <c r="D472" s="127" t="s">
        <v>1944</v>
      </c>
      <c r="E472" s="128" t="s">
        <v>1945</v>
      </c>
      <c r="F472" s="129" t="s">
        <v>69</v>
      </c>
      <c r="G472" s="130" t="s">
        <v>79</v>
      </c>
      <c r="H472" s="131" t="s">
        <v>1946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1947</v>
      </c>
    </row>
    <row r="473" spans="1:20" ht="22.5" customHeight="1" x14ac:dyDescent="0.25">
      <c r="A473" s="137" t="s">
        <v>1948</v>
      </c>
      <c r="B473" s="127">
        <v>2024</v>
      </c>
      <c r="C473" s="127" t="s">
        <v>22</v>
      </c>
      <c r="D473" s="127" t="s">
        <v>1949</v>
      </c>
      <c r="E473" s="128" t="s">
        <v>1950</v>
      </c>
      <c r="F473" s="129" t="s">
        <v>69</v>
      </c>
      <c r="G473" s="130" t="s">
        <v>79</v>
      </c>
      <c r="H473" s="131" t="s">
        <v>1951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1952</v>
      </c>
    </row>
    <row r="474" spans="1:20" ht="22.5" customHeight="1" x14ac:dyDescent="0.25">
      <c r="A474" s="137" t="s">
        <v>1953</v>
      </c>
      <c r="B474" s="127">
        <v>2024</v>
      </c>
      <c r="C474" s="127" t="s">
        <v>22</v>
      </c>
      <c r="D474" s="127" t="s">
        <v>1954</v>
      </c>
      <c r="E474" s="128" t="s">
        <v>1955</v>
      </c>
      <c r="F474" s="129" t="s">
        <v>69</v>
      </c>
      <c r="G474" s="130" t="s">
        <v>79</v>
      </c>
      <c r="H474" s="131" t="s">
        <v>1956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1957</v>
      </c>
    </row>
    <row r="475" spans="1:20" ht="22.5" customHeight="1" x14ac:dyDescent="0.25">
      <c r="A475" s="137" t="s">
        <v>1958</v>
      </c>
      <c r="B475" s="127">
        <v>2024</v>
      </c>
      <c r="C475" s="127" t="s">
        <v>22</v>
      </c>
      <c r="D475" s="127" t="s">
        <v>1959</v>
      </c>
      <c r="E475" s="128" t="s">
        <v>1960</v>
      </c>
      <c r="F475" s="129" t="s">
        <v>24</v>
      </c>
      <c r="G475" s="130" t="s">
        <v>42</v>
      </c>
      <c r="H475" s="131" t="s">
        <v>1961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1962</v>
      </c>
    </row>
    <row r="476" spans="1:20" ht="22.5" customHeight="1" x14ac:dyDescent="0.25">
      <c r="A476" s="137" t="s">
        <v>1963</v>
      </c>
      <c r="B476" s="127">
        <v>2024</v>
      </c>
      <c r="C476" s="127" t="s">
        <v>22</v>
      </c>
      <c r="D476" s="127" t="s">
        <v>1964</v>
      </c>
      <c r="E476" s="128" t="s">
        <v>1965</v>
      </c>
      <c r="F476" s="129" t="s">
        <v>69</v>
      </c>
      <c r="G476" s="130" t="s">
        <v>79</v>
      </c>
      <c r="H476" s="131" t="s">
        <v>1966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1967</v>
      </c>
    </row>
    <row r="477" spans="1:20" ht="22.5" customHeight="1" x14ac:dyDescent="0.25">
      <c r="A477" s="137" t="s">
        <v>1968</v>
      </c>
      <c r="B477" s="127">
        <v>2024</v>
      </c>
      <c r="C477" s="127" t="s">
        <v>22</v>
      </c>
      <c r="D477" s="127" t="s">
        <v>1969</v>
      </c>
      <c r="E477" s="128" t="s">
        <v>1970</v>
      </c>
      <c r="F477" s="129" t="s">
        <v>69</v>
      </c>
      <c r="G477" s="130" t="s">
        <v>79</v>
      </c>
      <c r="H477" s="131" t="s">
        <v>1971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22.5" customHeight="1" x14ac:dyDescent="0.25">
      <c r="A478" s="137" t="s">
        <v>1972</v>
      </c>
      <c r="B478" s="127">
        <v>2024</v>
      </c>
      <c r="C478" s="127" t="s">
        <v>22</v>
      </c>
      <c r="D478" s="127" t="s">
        <v>1973</v>
      </c>
      <c r="E478" s="128" t="s">
        <v>1974</v>
      </c>
      <c r="F478" s="129" t="s">
        <v>24</v>
      </c>
      <c r="G478" s="130" t="s">
        <v>25</v>
      </c>
      <c r="H478" s="131" t="s">
        <v>1975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2786</v>
      </c>
    </row>
    <row r="479" spans="1:20" ht="22.5" customHeight="1" x14ac:dyDescent="0.25">
      <c r="A479" s="137" t="s">
        <v>1976</v>
      </c>
      <c r="B479" s="127">
        <v>2024</v>
      </c>
      <c r="C479" s="127" t="s">
        <v>22</v>
      </c>
      <c r="D479" s="127" t="s">
        <v>1977</v>
      </c>
      <c r="E479" s="128" t="s">
        <v>1978</v>
      </c>
      <c r="F479" s="129" t="s">
        <v>88</v>
      </c>
      <c r="G479" s="130" t="s">
        <v>79</v>
      </c>
      <c r="H479" s="131" t="s">
        <v>1979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1980</v>
      </c>
    </row>
    <row r="480" spans="1:20" ht="22.5" customHeight="1" x14ac:dyDescent="0.25">
      <c r="A480" s="137" t="s">
        <v>1981</v>
      </c>
      <c r="B480" s="127">
        <v>2024</v>
      </c>
      <c r="C480" s="127" t="s">
        <v>22</v>
      </c>
      <c r="D480" s="127" t="s">
        <v>1982</v>
      </c>
      <c r="E480" s="128" t="s">
        <v>1983</v>
      </c>
      <c r="F480" s="129" t="s">
        <v>69</v>
      </c>
      <c r="G480" s="130" t="s">
        <v>79</v>
      </c>
      <c r="H480" s="131" t="s">
        <v>1984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22.5" customHeight="1" x14ac:dyDescent="0.25">
      <c r="A481" s="137" t="s">
        <v>1985</v>
      </c>
      <c r="B481" s="127">
        <v>2024</v>
      </c>
      <c r="C481" s="127" t="s">
        <v>22</v>
      </c>
      <c r="D481" s="127" t="s">
        <v>1789</v>
      </c>
      <c r="E481" s="128" t="s">
        <v>1986</v>
      </c>
      <c r="F481" s="129" t="s">
        <v>24</v>
      </c>
      <c r="G481" s="130" t="s">
        <v>42</v>
      </c>
      <c r="H481" s="131" t="s">
        <v>1987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1988</v>
      </c>
    </row>
    <row r="482" spans="1:20" ht="22.5" customHeight="1" x14ac:dyDescent="0.25">
      <c r="A482" s="137" t="s">
        <v>1989</v>
      </c>
      <c r="B482" s="127">
        <v>2024</v>
      </c>
      <c r="C482" s="127" t="s">
        <v>22</v>
      </c>
      <c r="D482" s="127" t="s">
        <v>1990</v>
      </c>
      <c r="E482" s="128" t="s">
        <v>1991</v>
      </c>
      <c r="F482" s="129" t="s">
        <v>24</v>
      </c>
      <c r="G482" s="130" t="s">
        <v>42</v>
      </c>
      <c r="H482" s="131" t="s">
        <v>1992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1993</v>
      </c>
    </row>
    <row r="483" spans="1:20" ht="22.5" customHeight="1" x14ac:dyDescent="0.25">
      <c r="A483" s="137" t="s">
        <v>1994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1995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22.5" customHeight="1" x14ac:dyDescent="0.25">
      <c r="A484" s="137" t="s">
        <v>1996</v>
      </c>
      <c r="B484" s="127">
        <v>2024</v>
      </c>
      <c r="C484" s="127" t="s">
        <v>22</v>
      </c>
      <c r="D484" s="127" t="s">
        <v>1969</v>
      </c>
      <c r="E484" s="128" t="s">
        <v>1997</v>
      </c>
      <c r="F484" s="129" t="s">
        <v>69</v>
      </c>
      <c r="G484" s="130" t="s">
        <v>79</v>
      </c>
      <c r="H484" s="131" t="s">
        <v>1998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22.5" customHeight="1" x14ac:dyDescent="0.25">
      <c r="A485" s="137" t="s">
        <v>1999</v>
      </c>
      <c r="B485" s="127">
        <v>2024</v>
      </c>
      <c r="C485" s="127" t="s">
        <v>22</v>
      </c>
      <c r="D485" s="127" t="s">
        <v>1784</v>
      </c>
      <c r="E485" s="128" t="s">
        <v>2000</v>
      </c>
      <c r="F485" s="129" t="s">
        <v>24</v>
      </c>
      <c r="G485" s="130" t="s">
        <v>464</v>
      </c>
      <c r="H485" s="131" t="s">
        <v>2001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22.5" customHeight="1" x14ac:dyDescent="0.25">
      <c r="A486" s="137" t="s">
        <v>2002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2003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22.5" customHeight="1" x14ac:dyDescent="0.25">
      <c r="A487" s="137" t="s">
        <v>2004</v>
      </c>
      <c r="B487" s="127">
        <v>2024</v>
      </c>
      <c r="C487" s="127" t="s">
        <v>22</v>
      </c>
      <c r="D487" s="127" t="s">
        <v>2005</v>
      </c>
      <c r="E487" s="128" t="s">
        <v>2006</v>
      </c>
      <c r="F487" s="129" t="s">
        <v>24</v>
      </c>
      <c r="G487" s="130" t="s">
        <v>36</v>
      </c>
      <c r="H487" s="131" t="s">
        <v>2007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22.5" customHeight="1" x14ac:dyDescent="0.25">
      <c r="A488" s="137" t="s">
        <v>2008</v>
      </c>
      <c r="B488" s="127">
        <v>2024</v>
      </c>
      <c r="C488" s="127" t="s">
        <v>22</v>
      </c>
      <c r="D488" s="127" t="s">
        <v>1784</v>
      </c>
      <c r="E488" s="128" t="s">
        <v>2009</v>
      </c>
      <c r="F488" s="129" t="s">
        <v>24</v>
      </c>
      <c r="G488" s="130" t="s">
        <v>464</v>
      </c>
      <c r="H488" s="131" t="s">
        <v>2010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22.5" customHeight="1" x14ac:dyDescent="0.25">
      <c r="A489" s="137" t="s">
        <v>2011</v>
      </c>
      <c r="B489" s="151">
        <v>2024</v>
      </c>
      <c r="C489" s="152" t="s">
        <v>22</v>
      </c>
      <c r="D489" s="152" t="s">
        <v>1703</v>
      </c>
      <c r="E489" s="153" t="s">
        <v>2012</v>
      </c>
      <c r="F489" s="129" t="s">
        <v>69</v>
      </c>
      <c r="G489" s="154" t="s">
        <v>79</v>
      </c>
      <c r="H489" s="155" t="s">
        <v>2013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22.5" customHeight="1" x14ac:dyDescent="0.25">
      <c r="A490" s="137" t="s">
        <v>2014</v>
      </c>
      <c r="B490" s="127">
        <v>2024</v>
      </c>
      <c r="C490" s="152" t="s">
        <v>22</v>
      </c>
      <c r="D490" s="152" t="s">
        <v>1977</v>
      </c>
      <c r="E490" s="153" t="s">
        <v>2015</v>
      </c>
      <c r="F490" s="161" t="s">
        <v>88</v>
      </c>
      <c r="G490" s="154" t="s">
        <v>79</v>
      </c>
      <c r="H490" s="155" t="s">
        <v>2013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1980</v>
      </c>
    </row>
    <row r="491" spans="1:20" ht="22.5" customHeight="1" x14ac:dyDescent="0.25">
      <c r="A491" s="137" t="s">
        <v>2016</v>
      </c>
      <c r="B491" s="127">
        <v>2024</v>
      </c>
      <c r="C491" s="152" t="s">
        <v>22</v>
      </c>
      <c r="D491" s="152" t="s">
        <v>2017</v>
      </c>
      <c r="E491" s="153" t="s">
        <v>2018</v>
      </c>
      <c r="F491" s="161" t="s">
        <v>24</v>
      </c>
      <c r="G491" s="154" t="s">
        <v>75</v>
      </c>
      <c r="H491" s="155" t="s">
        <v>2019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2020</v>
      </c>
    </row>
    <row r="492" spans="1:20" ht="22.5" customHeight="1" x14ac:dyDescent="0.25">
      <c r="A492" s="137" t="s">
        <v>2021</v>
      </c>
      <c r="B492" s="127">
        <v>2024</v>
      </c>
      <c r="C492" s="152" t="s">
        <v>22</v>
      </c>
      <c r="D492" s="152" t="s">
        <v>2022</v>
      </c>
      <c r="E492" s="153" t="s">
        <v>2023</v>
      </c>
      <c r="F492" s="161" t="s">
        <v>69</v>
      </c>
      <c r="G492" s="154" t="s">
        <v>79</v>
      </c>
      <c r="H492" s="155" t="s">
        <v>2024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2025</v>
      </c>
    </row>
    <row r="493" spans="1:20" ht="22.5" customHeight="1" x14ac:dyDescent="0.25">
      <c r="A493" s="137" t="s">
        <v>2026</v>
      </c>
      <c r="B493" s="127">
        <v>2024</v>
      </c>
      <c r="C493" s="152" t="s">
        <v>22</v>
      </c>
      <c r="D493" s="152" t="s">
        <v>2027</v>
      </c>
      <c r="E493" s="153" t="s">
        <v>2028</v>
      </c>
      <c r="F493" s="161" t="s">
        <v>24</v>
      </c>
      <c r="G493" s="154" t="s">
        <v>371</v>
      </c>
      <c r="H493" s="155" t="s">
        <v>2029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22.5" customHeight="1" x14ac:dyDescent="0.25">
      <c r="A494" s="137" t="s">
        <v>2030</v>
      </c>
      <c r="B494" s="127">
        <v>2024</v>
      </c>
      <c r="C494" s="152" t="s">
        <v>22</v>
      </c>
      <c r="D494" s="152" t="s">
        <v>2031</v>
      </c>
      <c r="E494" s="153" t="s">
        <v>2032</v>
      </c>
      <c r="F494" s="161" t="s">
        <v>24</v>
      </c>
      <c r="G494" s="154" t="s">
        <v>206</v>
      </c>
      <c r="H494" s="155" t="s">
        <v>2033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2034</v>
      </c>
    </row>
    <row r="495" spans="1:20" ht="22.5" customHeight="1" x14ac:dyDescent="0.25">
      <c r="A495" s="137" t="s">
        <v>2035</v>
      </c>
      <c r="B495" s="127">
        <v>2024</v>
      </c>
      <c r="C495" s="152" t="s">
        <v>22</v>
      </c>
      <c r="D495" s="152" t="s">
        <v>2036</v>
      </c>
      <c r="E495" s="153" t="s">
        <v>2037</v>
      </c>
      <c r="F495" s="161" t="s">
        <v>24</v>
      </c>
      <c r="G495" s="154" t="s">
        <v>206</v>
      </c>
      <c r="H495" s="155" t="s">
        <v>2038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22.5" customHeight="1" x14ac:dyDescent="0.25">
      <c r="A496" s="137" t="s">
        <v>2039</v>
      </c>
      <c r="B496" s="127">
        <v>2024</v>
      </c>
      <c r="C496" s="152" t="s">
        <v>22</v>
      </c>
      <c r="D496" s="152" t="s">
        <v>2040</v>
      </c>
      <c r="E496" s="153" t="s">
        <v>2041</v>
      </c>
      <c r="F496" s="161" t="s">
        <v>24</v>
      </c>
      <c r="G496" s="154" t="s">
        <v>206</v>
      </c>
      <c r="H496" s="155" t="s">
        <v>2042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2043</v>
      </c>
    </row>
    <row r="497" spans="1:20" ht="22.5" customHeight="1" x14ac:dyDescent="0.25">
      <c r="A497" s="137" t="s">
        <v>2044</v>
      </c>
      <c r="B497" s="127">
        <v>2024</v>
      </c>
      <c r="C497" s="127" t="s">
        <v>22</v>
      </c>
      <c r="D497" s="152" t="s">
        <v>1929</v>
      </c>
      <c r="E497" s="153" t="s">
        <v>2045</v>
      </c>
      <c r="F497" s="161" t="s">
        <v>69</v>
      </c>
      <c r="G497" s="154" t="s">
        <v>79</v>
      </c>
      <c r="H497" s="155" t="s">
        <v>2046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1932</v>
      </c>
    </row>
    <row r="498" spans="1:20" ht="22.5" customHeight="1" x14ac:dyDescent="0.25">
      <c r="A498" s="137" t="s">
        <v>2047</v>
      </c>
      <c r="B498" s="127">
        <v>2024</v>
      </c>
      <c r="C498" s="127" t="s">
        <v>22</v>
      </c>
      <c r="D498" s="152" t="s">
        <v>1789</v>
      </c>
      <c r="E498" s="153" t="s">
        <v>2048</v>
      </c>
      <c r="F498" s="161" t="s">
        <v>24</v>
      </c>
      <c r="G498" s="154" t="s">
        <v>42</v>
      </c>
      <c r="H498" s="155" t="s">
        <v>2049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22.5" customHeight="1" x14ac:dyDescent="0.25">
      <c r="A499" s="137" t="s">
        <v>2050</v>
      </c>
      <c r="B499" s="127">
        <v>2024</v>
      </c>
      <c r="C499" s="127" t="s">
        <v>22</v>
      </c>
      <c r="D499" s="152" t="s">
        <v>2051</v>
      </c>
      <c r="E499" s="153" t="s">
        <v>2052</v>
      </c>
      <c r="F499" s="161" t="s">
        <v>88</v>
      </c>
      <c r="G499" s="154" t="s">
        <v>79</v>
      </c>
      <c r="H499" s="155" t="s">
        <v>2053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2054</v>
      </c>
    </row>
    <row r="500" spans="1:20" ht="22.5" customHeight="1" x14ac:dyDescent="0.25">
      <c r="A500" s="137" t="s">
        <v>2055</v>
      </c>
      <c r="B500" s="127">
        <v>2024</v>
      </c>
      <c r="C500" s="127" t="s">
        <v>22</v>
      </c>
      <c r="D500" s="152" t="s">
        <v>2056</v>
      </c>
      <c r="E500" s="153" t="s">
        <v>2057</v>
      </c>
      <c r="F500" s="161" t="s">
        <v>24</v>
      </c>
      <c r="G500" s="154" t="s">
        <v>206</v>
      </c>
      <c r="H500" s="155" t="s">
        <v>2058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2059</v>
      </c>
    </row>
    <row r="501" spans="1:20" ht="22.5" customHeight="1" x14ac:dyDescent="0.25">
      <c r="A501" s="137" t="s">
        <v>2060</v>
      </c>
      <c r="B501" s="127">
        <v>2024</v>
      </c>
      <c r="C501" s="127" t="s">
        <v>22</v>
      </c>
      <c r="D501" s="152" t="s">
        <v>1784</v>
      </c>
      <c r="E501" s="153" t="s">
        <v>2061</v>
      </c>
      <c r="F501" s="161" t="s">
        <v>24</v>
      </c>
      <c r="G501" s="154" t="s">
        <v>464</v>
      </c>
      <c r="H501" s="155" t="s">
        <v>2062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22.5" customHeight="1" x14ac:dyDescent="0.25">
      <c r="A502" s="137" t="s">
        <v>2063</v>
      </c>
      <c r="B502" s="127">
        <v>2024</v>
      </c>
      <c r="C502" s="127" t="s">
        <v>22</v>
      </c>
      <c r="D502" s="152" t="s">
        <v>2064</v>
      </c>
      <c r="E502" s="153" t="s">
        <v>2065</v>
      </c>
      <c r="F502" s="161" t="s">
        <v>69</v>
      </c>
      <c r="G502" s="154" t="s">
        <v>79</v>
      </c>
      <c r="H502" s="155" t="s">
        <v>2066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2067</v>
      </c>
    </row>
    <row r="503" spans="1:20" ht="22.5" customHeight="1" x14ac:dyDescent="0.25">
      <c r="A503" s="137" t="s">
        <v>2068</v>
      </c>
      <c r="B503" s="127">
        <v>2024</v>
      </c>
      <c r="C503" s="127" t="s">
        <v>22</v>
      </c>
      <c r="D503" s="151" t="s">
        <v>2069</v>
      </c>
      <c r="E503" s="153" t="s">
        <v>2070</v>
      </c>
      <c r="F503" s="161" t="s">
        <v>69</v>
      </c>
      <c r="G503" s="154" t="s">
        <v>79</v>
      </c>
      <c r="H503" s="155" t="s">
        <v>2071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22.5" customHeight="1" x14ac:dyDescent="0.25">
      <c r="A504" s="137" t="s">
        <v>2072</v>
      </c>
      <c r="B504" s="127">
        <v>2024</v>
      </c>
      <c r="C504" s="127" t="s">
        <v>22</v>
      </c>
      <c r="D504" s="152" t="s">
        <v>2073</v>
      </c>
      <c r="E504" s="153" t="s">
        <v>2074</v>
      </c>
      <c r="F504" s="161" t="s">
        <v>24</v>
      </c>
      <c r="G504" s="154" t="s">
        <v>36</v>
      </c>
      <c r="H504" s="155" t="s">
        <v>2075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22.5" customHeight="1" x14ac:dyDescent="0.25">
      <c r="A505" s="137" t="s">
        <v>2076</v>
      </c>
      <c r="B505" s="127">
        <v>2024</v>
      </c>
      <c r="C505" s="127" t="s">
        <v>22</v>
      </c>
      <c r="D505" s="127" t="s">
        <v>2077</v>
      </c>
      <c r="E505" s="153" t="s">
        <v>2078</v>
      </c>
      <c r="F505" s="161" t="s">
        <v>24</v>
      </c>
      <c r="G505" s="154" t="s">
        <v>206</v>
      </c>
      <c r="H505" s="131" t="s">
        <v>2079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2080</v>
      </c>
    </row>
    <row r="506" spans="1:20" ht="22.5" customHeight="1" x14ac:dyDescent="0.25">
      <c r="A506" s="137" t="s">
        <v>2081</v>
      </c>
      <c r="B506" s="127">
        <v>2024</v>
      </c>
      <c r="C506" s="127" t="s">
        <v>22</v>
      </c>
      <c r="D506" s="127" t="s">
        <v>1784</v>
      </c>
      <c r="E506" s="128" t="s">
        <v>2082</v>
      </c>
      <c r="F506" s="129" t="s">
        <v>24</v>
      </c>
      <c r="G506" s="130" t="s">
        <v>464</v>
      </c>
      <c r="H506" s="131" t="s">
        <v>2083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22.5" customHeight="1" x14ac:dyDescent="0.25">
      <c r="A507" s="137" t="s">
        <v>2084</v>
      </c>
      <c r="B507" s="127">
        <v>2024</v>
      </c>
      <c r="C507" s="127" t="s">
        <v>22</v>
      </c>
      <c r="D507" s="127" t="s">
        <v>2085</v>
      </c>
      <c r="E507" s="128" t="s">
        <v>2086</v>
      </c>
      <c r="F507" s="161" t="s">
        <v>24</v>
      </c>
      <c r="G507" s="154" t="s">
        <v>42</v>
      </c>
      <c r="H507" s="131" t="s">
        <v>2087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2088</v>
      </c>
    </row>
    <row r="508" spans="1:20" ht="22.5" customHeight="1" x14ac:dyDescent="0.25">
      <c r="A508" s="137" t="s">
        <v>2089</v>
      </c>
      <c r="B508" s="127">
        <v>2024</v>
      </c>
      <c r="C508" s="127" t="s">
        <v>22</v>
      </c>
      <c r="D508" s="127" t="s">
        <v>2090</v>
      </c>
      <c r="E508" s="128" t="s">
        <v>2091</v>
      </c>
      <c r="F508" s="129" t="s">
        <v>24</v>
      </c>
      <c r="G508" s="130" t="s">
        <v>464</v>
      </c>
      <c r="H508" s="131" t="s">
        <v>2087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22.5" customHeight="1" x14ac:dyDescent="0.25">
      <c r="A509" s="137" t="s">
        <v>2092</v>
      </c>
      <c r="B509" s="127">
        <v>2024</v>
      </c>
      <c r="C509" s="127" t="s">
        <v>22</v>
      </c>
      <c r="D509" s="127" t="s">
        <v>2093</v>
      </c>
      <c r="E509" s="162" t="s">
        <v>2094</v>
      </c>
      <c r="F509" s="129" t="s">
        <v>24</v>
      </c>
      <c r="G509" s="130" t="s">
        <v>206</v>
      </c>
      <c r="H509" s="131" t="s">
        <v>2087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2095</v>
      </c>
    </row>
    <row r="510" spans="1:20" ht="22.5" customHeight="1" x14ac:dyDescent="0.25">
      <c r="A510" s="137" t="s">
        <v>2096</v>
      </c>
      <c r="B510" s="127">
        <v>2024</v>
      </c>
      <c r="C510" s="127" t="s">
        <v>22</v>
      </c>
      <c r="D510" s="127" t="s">
        <v>1977</v>
      </c>
      <c r="E510" s="128" t="s">
        <v>2097</v>
      </c>
      <c r="F510" s="129" t="s">
        <v>88</v>
      </c>
      <c r="G510" s="130" t="s">
        <v>79</v>
      </c>
      <c r="H510" s="131" t="s">
        <v>2098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1980</v>
      </c>
    </row>
    <row r="511" spans="1:20" ht="22.5" customHeight="1" x14ac:dyDescent="0.25">
      <c r="A511" s="137" t="s">
        <v>2099</v>
      </c>
      <c r="B511" s="127">
        <v>2024</v>
      </c>
      <c r="C511" s="127" t="s">
        <v>22</v>
      </c>
      <c r="D511" s="127" t="s">
        <v>2100</v>
      </c>
      <c r="E511" s="162" t="s">
        <v>2101</v>
      </c>
      <c r="F511" s="129" t="s">
        <v>24</v>
      </c>
      <c r="G511" s="130" t="s">
        <v>206</v>
      </c>
      <c r="H511" s="131" t="s">
        <v>2102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2103</v>
      </c>
    </row>
    <row r="512" spans="1:20" ht="22.5" customHeight="1" x14ac:dyDescent="0.25">
      <c r="A512" s="137" t="s">
        <v>2104</v>
      </c>
      <c r="B512" s="127">
        <v>2024</v>
      </c>
      <c r="C512" s="127" t="s">
        <v>22</v>
      </c>
      <c r="D512" s="127" t="s">
        <v>2105</v>
      </c>
      <c r="E512" s="128" t="s">
        <v>2106</v>
      </c>
      <c r="F512" s="161" t="s">
        <v>69</v>
      </c>
      <c r="G512" s="130" t="s">
        <v>79</v>
      </c>
      <c r="H512" s="131" t="s">
        <v>2107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2108</v>
      </c>
    </row>
    <row r="513" spans="1:20" ht="22.5" customHeight="1" x14ac:dyDescent="0.25">
      <c r="A513" s="137" t="s">
        <v>2109</v>
      </c>
      <c r="B513" s="127">
        <v>2024</v>
      </c>
      <c r="C513" s="127" t="s">
        <v>22</v>
      </c>
      <c r="D513" s="127" t="s">
        <v>2110</v>
      </c>
      <c r="E513" s="128" t="s">
        <v>2111</v>
      </c>
      <c r="F513" s="161" t="s">
        <v>24</v>
      </c>
      <c r="G513" s="154" t="s">
        <v>42</v>
      </c>
      <c r="H513" s="131" t="s">
        <v>2112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2113</v>
      </c>
    </row>
    <row r="514" spans="1:20" ht="22.5" customHeight="1" x14ac:dyDescent="0.25">
      <c r="A514" s="137" t="s">
        <v>2114</v>
      </c>
      <c r="B514" s="127">
        <v>2024</v>
      </c>
      <c r="C514" s="127" t="s">
        <v>22</v>
      </c>
      <c r="D514" s="127" t="s">
        <v>2005</v>
      </c>
      <c r="E514" s="128" t="s">
        <v>2115</v>
      </c>
      <c r="F514" s="161" t="s">
        <v>24</v>
      </c>
      <c r="G514" s="154" t="s">
        <v>36</v>
      </c>
      <c r="H514" s="131" t="s">
        <v>2116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22.5" customHeight="1" x14ac:dyDescent="0.25">
      <c r="A515" s="137" t="s">
        <v>2117</v>
      </c>
      <c r="B515" s="127">
        <v>2024</v>
      </c>
      <c r="C515" s="127" t="s">
        <v>22</v>
      </c>
      <c r="D515" s="127" t="s">
        <v>2118</v>
      </c>
      <c r="E515" s="128" t="s">
        <v>2119</v>
      </c>
      <c r="F515" s="161" t="s">
        <v>88</v>
      </c>
      <c r="G515" s="154" t="s">
        <v>79</v>
      </c>
      <c r="H515" s="131" t="s">
        <v>2120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2121</v>
      </c>
    </row>
    <row r="516" spans="1:20" ht="22.5" customHeight="1" x14ac:dyDescent="0.25">
      <c r="A516" s="137" t="s">
        <v>2122</v>
      </c>
      <c r="B516" s="127">
        <v>2024</v>
      </c>
      <c r="C516" s="127" t="s">
        <v>22</v>
      </c>
      <c r="D516" s="127" t="s">
        <v>2123</v>
      </c>
      <c r="E516" s="128" t="s">
        <v>2124</v>
      </c>
      <c r="F516" s="161" t="s">
        <v>24</v>
      </c>
      <c r="G516" s="154" t="s">
        <v>42</v>
      </c>
      <c r="H516" s="131" t="s">
        <v>2125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22.5" customHeight="1" x14ac:dyDescent="0.25">
      <c r="A517" s="137" t="s">
        <v>2126</v>
      </c>
      <c r="B517" s="127">
        <v>2024</v>
      </c>
      <c r="C517" s="127" t="s">
        <v>22</v>
      </c>
      <c r="D517" s="127" t="s">
        <v>1784</v>
      </c>
      <c r="E517" s="128" t="s">
        <v>2127</v>
      </c>
      <c r="F517" s="161" t="s">
        <v>24</v>
      </c>
      <c r="G517" s="154" t="s">
        <v>464</v>
      </c>
      <c r="H517" s="131" t="s">
        <v>2128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2129</v>
      </c>
    </row>
    <row r="518" spans="1:20" ht="22.5" customHeight="1" x14ac:dyDescent="0.25">
      <c r="A518" s="137" t="s">
        <v>2130</v>
      </c>
      <c r="B518" s="127">
        <v>2024</v>
      </c>
      <c r="C518" s="127" t="s">
        <v>22</v>
      </c>
      <c r="D518" s="127" t="s">
        <v>2131</v>
      </c>
      <c r="E518" s="128" t="s">
        <v>2132</v>
      </c>
      <c r="F518" s="129" t="s">
        <v>69</v>
      </c>
      <c r="G518" s="154" t="s">
        <v>79</v>
      </c>
      <c r="H518" s="131" t="s">
        <v>2133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2134</v>
      </c>
    </row>
    <row r="519" spans="1:20" ht="22.5" customHeight="1" x14ac:dyDescent="0.25">
      <c r="A519" s="137" t="s">
        <v>2135</v>
      </c>
      <c r="B519" s="127">
        <v>2024</v>
      </c>
      <c r="C519" s="127" t="s">
        <v>22</v>
      </c>
      <c r="D519" s="127" t="s">
        <v>2136</v>
      </c>
      <c r="E519" s="128" t="s">
        <v>2137</v>
      </c>
      <c r="F519" s="161" t="s">
        <v>69</v>
      </c>
      <c r="G519" s="154" t="s">
        <v>79</v>
      </c>
      <c r="H519" s="131" t="s">
        <v>2138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22.5" customHeight="1" x14ac:dyDescent="0.25">
      <c r="A520" s="137" t="s">
        <v>2139</v>
      </c>
      <c r="B520" s="127">
        <v>2024</v>
      </c>
      <c r="C520" s="127" t="s">
        <v>22</v>
      </c>
      <c r="D520" s="127" t="s">
        <v>2140</v>
      </c>
      <c r="E520" s="128" t="s">
        <v>2141</v>
      </c>
      <c r="F520" s="161" t="s">
        <v>24</v>
      </c>
      <c r="G520" s="130" t="s">
        <v>42</v>
      </c>
      <c r="H520" s="131" t="s">
        <v>2142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22.5" customHeight="1" x14ac:dyDescent="0.25">
      <c r="A521" s="137" t="s">
        <v>2143</v>
      </c>
      <c r="B521" s="127">
        <v>2024</v>
      </c>
      <c r="C521" s="127" t="s">
        <v>22</v>
      </c>
      <c r="D521" s="127" t="s">
        <v>2144</v>
      </c>
      <c r="E521" s="128" t="s">
        <v>2145</v>
      </c>
      <c r="F521" s="161" t="s">
        <v>69</v>
      </c>
      <c r="G521" s="130" t="s">
        <v>79</v>
      </c>
      <c r="H521" s="131" t="s">
        <v>2146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22.5" customHeight="1" x14ac:dyDescent="0.25">
      <c r="A522" s="137" t="s">
        <v>2147</v>
      </c>
      <c r="B522" s="127">
        <v>2024</v>
      </c>
      <c r="C522" s="152" t="s">
        <v>22</v>
      </c>
      <c r="D522" s="127" t="s">
        <v>2148</v>
      </c>
      <c r="E522" s="128" t="s">
        <v>2149</v>
      </c>
      <c r="F522" s="129" t="s">
        <v>24</v>
      </c>
      <c r="G522" s="130" t="s">
        <v>42</v>
      </c>
      <c r="H522" s="131" t="s">
        <v>2150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22.5" customHeight="1" x14ac:dyDescent="0.25">
      <c r="A523" s="137" t="s">
        <v>2151</v>
      </c>
      <c r="B523" s="127">
        <v>2024</v>
      </c>
      <c r="C523" s="152" t="s">
        <v>22</v>
      </c>
      <c r="D523" s="127" t="s">
        <v>2123</v>
      </c>
      <c r="E523" s="128" t="s">
        <v>2152</v>
      </c>
      <c r="F523" s="161" t="s">
        <v>24</v>
      </c>
      <c r="G523" s="130" t="s">
        <v>42</v>
      </c>
      <c r="H523" s="131" t="s">
        <v>2150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2153</v>
      </c>
    </row>
    <row r="524" spans="1:20" ht="22.5" customHeight="1" x14ac:dyDescent="0.25">
      <c r="A524" s="137" t="s">
        <v>2154</v>
      </c>
      <c r="B524" s="127">
        <v>2024</v>
      </c>
      <c r="C524" s="127" t="s">
        <v>22</v>
      </c>
      <c r="D524" s="127" t="s">
        <v>1784</v>
      </c>
      <c r="E524" s="128" t="s">
        <v>2155</v>
      </c>
      <c r="F524" s="129" t="s">
        <v>24</v>
      </c>
      <c r="G524" s="130" t="s">
        <v>464</v>
      </c>
      <c r="H524" s="131" t="s">
        <v>2156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22.5" customHeight="1" x14ac:dyDescent="0.25">
      <c r="A525" s="137" t="s">
        <v>2157</v>
      </c>
      <c r="B525" s="127">
        <v>2024</v>
      </c>
      <c r="C525" s="127" t="s">
        <v>22</v>
      </c>
      <c r="D525" s="127" t="s">
        <v>2064</v>
      </c>
      <c r="E525" s="128" t="s">
        <v>2158</v>
      </c>
      <c r="F525" s="161" t="s">
        <v>69</v>
      </c>
      <c r="G525" s="130" t="s">
        <v>79</v>
      </c>
      <c r="H525" s="131" t="s">
        <v>2159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2160</v>
      </c>
    </row>
    <row r="526" spans="1:20" ht="22.5" customHeight="1" x14ac:dyDescent="0.25">
      <c r="A526" s="137" t="s">
        <v>2161</v>
      </c>
      <c r="B526" s="127">
        <v>2024</v>
      </c>
      <c r="C526" s="127" t="s">
        <v>22</v>
      </c>
      <c r="D526" s="127" t="s">
        <v>2069</v>
      </c>
      <c r="E526" s="128" t="s">
        <v>2162</v>
      </c>
      <c r="F526" s="129" t="s">
        <v>69</v>
      </c>
      <c r="G526" s="130" t="s">
        <v>79</v>
      </c>
      <c r="H526" s="131" t="s">
        <v>2159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22.5" customHeight="1" x14ac:dyDescent="0.25">
      <c r="A527" s="137" t="s">
        <v>2163</v>
      </c>
      <c r="B527" s="127">
        <v>2024</v>
      </c>
      <c r="C527" s="127" t="s">
        <v>22</v>
      </c>
      <c r="D527" s="127"/>
      <c r="E527" s="128" t="s">
        <v>2164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2165</v>
      </c>
    </row>
    <row r="528" spans="1:20" ht="22.5" customHeight="1" x14ac:dyDescent="0.25">
      <c r="A528" s="137" t="s">
        <v>2166</v>
      </c>
      <c r="B528" s="127">
        <v>2024</v>
      </c>
      <c r="C528" s="127" t="s">
        <v>22</v>
      </c>
      <c r="D528" s="127" t="s">
        <v>2167</v>
      </c>
      <c r="E528" s="128" t="s">
        <v>2168</v>
      </c>
      <c r="F528" s="129" t="s">
        <v>24</v>
      </c>
      <c r="G528" s="130" t="s">
        <v>42</v>
      </c>
      <c r="H528" s="131" t="s">
        <v>2169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2170</v>
      </c>
    </row>
    <row r="529" spans="1:20" ht="22.5" customHeight="1" x14ac:dyDescent="0.25">
      <c r="A529" s="137" t="s">
        <v>2171</v>
      </c>
      <c r="B529" s="127">
        <v>2024</v>
      </c>
      <c r="C529" s="127" t="s">
        <v>22</v>
      </c>
      <c r="D529" s="127" t="s">
        <v>2172</v>
      </c>
      <c r="E529" s="128" t="s">
        <v>2173</v>
      </c>
      <c r="F529" s="129" t="s">
        <v>24</v>
      </c>
      <c r="G529" s="130" t="s">
        <v>25</v>
      </c>
      <c r="H529" s="131" t="s">
        <v>2174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22.5" customHeight="1" x14ac:dyDescent="0.25">
      <c r="A530" s="137" t="s">
        <v>2175</v>
      </c>
      <c r="B530" s="127">
        <v>2024</v>
      </c>
      <c r="C530" s="127" t="s">
        <v>22</v>
      </c>
      <c r="D530" s="127" t="s">
        <v>2176</v>
      </c>
      <c r="E530" s="128" t="s">
        <v>2177</v>
      </c>
      <c r="F530" s="129" t="s">
        <v>69</v>
      </c>
      <c r="G530" s="130" t="s">
        <v>79</v>
      </c>
      <c r="H530" s="131" t="s">
        <v>2178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22.5" customHeight="1" x14ac:dyDescent="0.25">
      <c r="A531" s="137" t="s">
        <v>2179</v>
      </c>
      <c r="B531" s="127">
        <v>2024</v>
      </c>
      <c r="C531" s="127" t="s">
        <v>22</v>
      </c>
      <c r="D531" s="127" t="s">
        <v>1894</v>
      </c>
      <c r="E531" s="128" t="s">
        <v>2180</v>
      </c>
      <c r="F531" s="129" t="s">
        <v>69</v>
      </c>
      <c r="G531" s="130" t="s">
        <v>79</v>
      </c>
      <c r="H531" s="131" t="s">
        <v>2181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22.5" customHeight="1" x14ac:dyDescent="0.25">
      <c r="A532" s="137" t="s">
        <v>2182</v>
      </c>
      <c r="B532" s="127">
        <v>2024</v>
      </c>
      <c r="C532" s="127" t="s">
        <v>22</v>
      </c>
      <c r="D532" s="127" t="s">
        <v>2183</v>
      </c>
      <c r="E532" s="128" t="s">
        <v>2184</v>
      </c>
      <c r="F532" s="129" t="s">
        <v>24</v>
      </c>
      <c r="G532" s="130" t="s">
        <v>206</v>
      </c>
      <c r="H532" s="131" t="s">
        <v>2185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2186</v>
      </c>
    </row>
    <row r="533" spans="1:20" ht="22.5" customHeight="1" x14ac:dyDescent="0.25">
      <c r="A533" s="137" t="s">
        <v>2187</v>
      </c>
      <c r="B533" s="127">
        <v>2024</v>
      </c>
      <c r="C533" s="127" t="s">
        <v>22</v>
      </c>
      <c r="D533" s="127" t="s">
        <v>1784</v>
      </c>
      <c r="E533" s="128" t="s">
        <v>2188</v>
      </c>
      <c r="F533" s="129" t="s">
        <v>24</v>
      </c>
      <c r="G533" s="130" t="s">
        <v>464</v>
      </c>
      <c r="H533" s="131" t="s">
        <v>2189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22.5" customHeight="1" x14ac:dyDescent="0.25">
      <c r="A534" s="137" t="s">
        <v>2190</v>
      </c>
      <c r="B534" s="127">
        <v>2024</v>
      </c>
      <c r="C534" s="127" t="s">
        <v>22</v>
      </c>
      <c r="D534" s="127" t="s">
        <v>2191</v>
      </c>
      <c r="E534" s="128" t="s">
        <v>2192</v>
      </c>
      <c r="F534" s="129" t="s">
        <v>88</v>
      </c>
      <c r="G534" s="130" t="s">
        <v>79</v>
      </c>
      <c r="H534" s="131" t="s">
        <v>2189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2193</v>
      </c>
    </row>
    <row r="535" spans="1:20" ht="22.5" customHeight="1" x14ac:dyDescent="0.25">
      <c r="A535" s="137" t="s">
        <v>2194</v>
      </c>
      <c r="B535" s="127">
        <v>2024</v>
      </c>
      <c r="C535" s="127" t="s">
        <v>22</v>
      </c>
      <c r="D535" s="127" t="s">
        <v>1977</v>
      </c>
      <c r="E535" s="128" t="s">
        <v>2195</v>
      </c>
      <c r="F535" s="129" t="s">
        <v>88</v>
      </c>
      <c r="G535" s="130" t="s">
        <v>79</v>
      </c>
      <c r="H535" s="131" t="s">
        <v>2196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1980</v>
      </c>
    </row>
    <row r="536" spans="1:20" ht="22.5" customHeight="1" x14ac:dyDescent="0.25">
      <c r="A536" s="137" t="s">
        <v>2197</v>
      </c>
      <c r="B536" s="127">
        <v>2024</v>
      </c>
      <c r="C536" s="127" t="s">
        <v>22</v>
      </c>
      <c r="D536" s="127" t="s">
        <v>2198</v>
      </c>
      <c r="E536" s="128" t="s">
        <v>2199</v>
      </c>
      <c r="F536" s="129" t="s">
        <v>24</v>
      </c>
      <c r="G536" s="130" t="s">
        <v>36</v>
      </c>
      <c r="H536" s="131" t="s">
        <v>2200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22.5" customHeight="1" x14ac:dyDescent="0.25">
      <c r="A537" s="137" t="s">
        <v>2201</v>
      </c>
      <c r="B537" s="127">
        <v>2025</v>
      </c>
      <c r="C537" s="127" t="s">
        <v>22</v>
      </c>
      <c r="D537" s="127" t="s">
        <v>2202</v>
      </c>
      <c r="E537" s="128" t="s">
        <v>2203</v>
      </c>
      <c r="F537" s="129" t="s">
        <v>69</v>
      </c>
      <c r="G537" s="130" t="s">
        <v>79</v>
      </c>
      <c r="H537" s="127" t="s">
        <v>2204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22.5" customHeight="1" x14ac:dyDescent="0.25">
      <c r="A538" s="137" t="s">
        <v>2205</v>
      </c>
      <c r="B538" s="127">
        <v>2025</v>
      </c>
      <c r="C538" s="127" t="s">
        <v>22</v>
      </c>
      <c r="D538" s="127" t="s">
        <v>2206</v>
      </c>
      <c r="E538" s="128" t="s">
        <v>2199</v>
      </c>
      <c r="F538" s="129" t="s">
        <v>24</v>
      </c>
      <c r="G538" s="130" t="s">
        <v>36</v>
      </c>
      <c r="H538" s="131" t="s">
        <v>2207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22.5" customHeight="1" x14ac:dyDescent="0.25">
      <c r="A539" s="137" t="s">
        <v>2208</v>
      </c>
      <c r="B539" s="127">
        <v>2025</v>
      </c>
      <c r="C539" s="164" t="s">
        <v>22</v>
      </c>
      <c r="D539" s="127" t="s">
        <v>2209</v>
      </c>
      <c r="E539" s="128" t="s">
        <v>2210</v>
      </c>
      <c r="F539" s="129" t="s">
        <v>69</v>
      </c>
      <c r="G539" s="130" t="s">
        <v>79</v>
      </c>
      <c r="H539" s="131" t="s">
        <v>2211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22.5" customHeight="1" x14ac:dyDescent="0.25">
      <c r="A540" s="137" t="s">
        <v>2212</v>
      </c>
      <c r="B540" s="127">
        <v>2025</v>
      </c>
      <c r="C540" s="127" t="s">
        <v>22</v>
      </c>
      <c r="D540" s="127" t="s">
        <v>2213</v>
      </c>
      <c r="E540" s="128" t="s">
        <v>2214</v>
      </c>
      <c r="F540" s="129" t="s">
        <v>24</v>
      </c>
      <c r="G540" s="130" t="s">
        <v>371</v>
      </c>
      <c r="H540" s="131" t="s">
        <v>2215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22.5" customHeight="1" x14ac:dyDescent="0.25">
      <c r="A541" s="137" t="s">
        <v>2216</v>
      </c>
      <c r="B541" s="127">
        <v>2025</v>
      </c>
      <c r="C541" s="127" t="s">
        <v>22</v>
      </c>
      <c r="D541" s="127" t="s">
        <v>2217</v>
      </c>
      <c r="E541" s="128" t="s">
        <v>2218</v>
      </c>
      <c r="F541" s="129" t="s">
        <v>24</v>
      </c>
      <c r="G541" s="130" t="s">
        <v>25</v>
      </c>
      <c r="H541" s="127" t="s">
        <v>2219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2786</v>
      </c>
    </row>
    <row r="542" spans="1:20" ht="22.5" customHeight="1" x14ac:dyDescent="0.25">
      <c r="A542" s="137" t="s">
        <v>2220</v>
      </c>
      <c r="B542" s="127">
        <v>2025</v>
      </c>
      <c r="C542" s="164" t="s">
        <v>22</v>
      </c>
      <c r="D542" s="127" t="s">
        <v>2221</v>
      </c>
      <c r="E542" s="128" t="s">
        <v>2222</v>
      </c>
      <c r="F542" s="129" t="s">
        <v>88</v>
      </c>
      <c r="G542" s="130" t="s">
        <v>79</v>
      </c>
      <c r="H542" s="127" t="s">
        <v>2223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22.5" customHeight="1" x14ac:dyDescent="0.25">
      <c r="A543" s="137" t="s">
        <v>2224</v>
      </c>
      <c r="B543" s="127">
        <v>2025</v>
      </c>
      <c r="C543" s="164" t="s">
        <v>22</v>
      </c>
      <c r="D543" s="127" t="s">
        <v>2225</v>
      </c>
      <c r="E543" s="128" t="s">
        <v>2226</v>
      </c>
      <c r="F543" s="129" t="s">
        <v>24</v>
      </c>
      <c r="G543" s="130" t="s">
        <v>42</v>
      </c>
      <c r="H543" s="131" t="s">
        <v>2227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22.5" customHeight="1" x14ac:dyDescent="0.25">
      <c r="A544" s="137" t="s">
        <v>2228</v>
      </c>
      <c r="B544" s="127">
        <v>2025</v>
      </c>
      <c r="C544" s="164" t="s">
        <v>22</v>
      </c>
      <c r="D544" s="127" t="s">
        <v>2229</v>
      </c>
      <c r="E544" s="128" t="s">
        <v>2230</v>
      </c>
      <c r="F544" s="129" t="s">
        <v>24</v>
      </c>
      <c r="G544" s="130" t="s">
        <v>1736</v>
      </c>
      <c r="H544" s="131" t="s">
        <v>2231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22.5" customHeight="1" x14ac:dyDescent="0.25">
      <c r="A545" s="137" t="s">
        <v>2232</v>
      </c>
      <c r="B545" s="127">
        <v>2025</v>
      </c>
      <c r="C545" s="164" t="s">
        <v>22</v>
      </c>
      <c r="D545" s="127" t="s">
        <v>2233</v>
      </c>
      <c r="E545" s="128" t="s">
        <v>2234</v>
      </c>
      <c r="F545" s="129" t="s">
        <v>69</v>
      </c>
      <c r="G545" s="130" t="s">
        <v>79</v>
      </c>
      <c r="H545" s="127" t="s">
        <v>2235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22.5" customHeight="1" x14ac:dyDescent="0.25">
      <c r="A546" s="137" t="s">
        <v>2236</v>
      </c>
      <c r="B546" s="127">
        <v>2025</v>
      </c>
      <c r="C546" s="127" t="s">
        <v>22</v>
      </c>
      <c r="D546" s="127" t="s">
        <v>2237</v>
      </c>
      <c r="E546" s="128" t="s">
        <v>2238</v>
      </c>
      <c r="F546" s="129" t="s">
        <v>24</v>
      </c>
      <c r="G546" s="130" t="s">
        <v>42</v>
      </c>
      <c r="H546" s="131" t="s">
        <v>2239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22.5" customHeight="1" x14ac:dyDescent="0.25">
      <c r="A547" s="137" t="s">
        <v>2240</v>
      </c>
      <c r="B547" s="127">
        <v>2025</v>
      </c>
      <c r="C547" s="127" t="s">
        <v>22</v>
      </c>
      <c r="D547" s="127" t="s">
        <v>2241</v>
      </c>
      <c r="E547" s="128" t="s">
        <v>2242</v>
      </c>
      <c r="F547" s="129" t="s">
        <v>24</v>
      </c>
      <c r="G547" s="130" t="s">
        <v>25</v>
      </c>
      <c r="H547" s="127" t="s">
        <v>2243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2020</v>
      </c>
    </row>
    <row r="548" spans="1:20" ht="22.5" customHeight="1" x14ac:dyDescent="0.25">
      <c r="A548" s="137" t="s">
        <v>2244</v>
      </c>
      <c r="B548" s="127">
        <v>2025</v>
      </c>
      <c r="C548" s="127" t="s">
        <v>22</v>
      </c>
      <c r="D548" s="127" t="s">
        <v>2245</v>
      </c>
      <c r="E548" s="128" t="s">
        <v>2246</v>
      </c>
      <c r="F548" s="129" t="s">
        <v>88</v>
      </c>
      <c r="G548" s="130" t="s">
        <v>79</v>
      </c>
      <c r="H548" s="131" t="s">
        <v>2247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22.5" customHeight="1" x14ac:dyDescent="0.25">
      <c r="A549" s="137" t="s">
        <v>2248</v>
      </c>
      <c r="B549" s="127">
        <v>2025</v>
      </c>
      <c r="C549" s="164" t="s">
        <v>22</v>
      </c>
      <c r="D549" s="127" t="s">
        <v>2249</v>
      </c>
      <c r="E549" s="128" t="s">
        <v>2250</v>
      </c>
      <c r="F549" s="129" t="s">
        <v>69</v>
      </c>
      <c r="G549" s="130" t="s">
        <v>79</v>
      </c>
      <c r="H549" s="131" t="s">
        <v>2251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22.5" customHeight="1" x14ac:dyDescent="0.25">
      <c r="A550" s="137" t="s">
        <v>2252</v>
      </c>
      <c r="B550" s="127">
        <v>2025</v>
      </c>
      <c r="C550" s="127" t="s">
        <v>22</v>
      </c>
      <c r="D550" s="127" t="s">
        <v>2253</v>
      </c>
      <c r="E550" s="128" t="s">
        <v>2254</v>
      </c>
      <c r="F550" s="129" t="s">
        <v>24</v>
      </c>
      <c r="G550" s="130" t="s">
        <v>42</v>
      </c>
      <c r="H550" s="131" t="s">
        <v>2255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2256</v>
      </c>
    </row>
    <row r="551" spans="1:20" ht="22.5" customHeight="1" x14ac:dyDescent="0.25">
      <c r="A551" s="137" t="s">
        <v>2257</v>
      </c>
      <c r="B551" s="127">
        <v>2025</v>
      </c>
      <c r="C551" s="164" t="s">
        <v>22</v>
      </c>
      <c r="D551" s="127" t="s">
        <v>2258</v>
      </c>
      <c r="E551" s="128" t="s">
        <v>2259</v>
      </c>
      <c r="F551" s="129" t="s">
        <v>24</v>
      </c>
      <c r="G551" s="130" t="s">
        <v>25</v>
      </c>
      <c r="H551" s="165" t="s">
        <v>2260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2261</v>
      </c>
    </row>
    <row r="552" spans="1:20" ht="22.5" customHeight="1" x14ac:dyDescent="0.25">
      <c r="A552" s="137" t="s">
        <v>2262</v>
      </c>
      <c r="B552" s="127">
        <v>2025</v>
      </c>
      <c r="C552" s="127" t="s">
        <v>22</v>
      </c>
      <c r="D552" s="127" t="s">
        <v>2263</v>
      </c>
      <c r="E552" s="128" t="s">
        <v>2264</v>
      </c>
      <c r="F552" s="129" t="s">
        <v>88</v>
      </c>
      <c r="G552" s="130" t="s">
        <v>79</v>
      </c>
      <c r="H552" s="131" t="s">
        <v>2265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22.5" customHeight="1" x14ac:dyDescent="0.25">
      <c r="A553" s="137" t="s">
        <v>2266</v>
      </c>
      <c r="B553" s="127">
        <v>2025</v>
      </c>
      <c r="C553" s="127" t="s">
        <v>22</v>
      </c>
      <c r="D553" s="127" t="s">
        <v>2241</v>
      </c>
      <c r="E553" s="128" t="s">
        <v>2267</v>
      </c>
      <c r="F553" s="129" t="s">
        <v>69</v>
      </c>
      <c r="G553" s="130" t="s">
        <v>79</v>
      </c>
      <c r="H553" s="130" t="s">
        <v>2268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2020</v>
      </c>
    </row>
    <row r="554" spans="1:20" ht="22.5" customHeight="1" x14ac:dyDescent="0.25">
      <c r="A554" s="137" t="s">
        <v>2269</v>
      </c>
      <c r="B554" s="127">
        <v>2025</v>
      </c>
      <c r="C554" s="164" t="s">
        <v>22</v>
      </c>
      <c r="D554" s="127" t="s">
        <v>2270</v>
      </c>
      <c r="E554" s="128" t="s">
        <v>2271</v>
      </c>
      <c r="F554" s="129" t="s">
        <v>24</v>
      </c>
      <c r="G554" s="130" t="s">
        <v>36</v>
      </c>
      <c r="H554" s="130" t="s">
        <v>2272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22.5" customHeight="1" x14ac:dyDescent="0.25">
      <c r="A555" s="137" t="s">
        <v>2273</v>
      </c>
      <c r="B555" s="127">
        <v>2025</v>
      </c>
      <c r="C555" s="164" t="s">
        <v>22</v>
      </c>
      <c r="D555" s="127" t="s">
        <v>2274</v>
      </c>
      <c r="E555" s="128" t="s">
        <v>2275</v>
      </c>
      <c r="F555" s="129" t="s">
        <v>88</v>
      </c>
      <c r="G555" s="130" t="s">
        <v>79</v>
      </c>
      <c r="H555" s="131" t="s">
        <v>2276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2165</v>
      </c>
    </row>
    <row r="556" spans="1:20" ht="22.5" customHeight="1" x14ac:dyDescent="0.25">
      <c r="A556" s="137" t="s">
        <v>2277</v>
      </c>
      <c r="B556" s="127">
        <v>2025</v>
      </c>
      <c r="C556" s="127" t="s">
        <v>22</v>
      </c>
      <c r="D556" s="127"/>
      <c r="E556" s="128" t="s">
        <v>2278</v>
      </c>
      <c r="F556" s="129" t="s">
        <v>88</v>
      </c>
      <c r="G556" s="130" t="s">
        <v>79</v>
      </c>
      <c r="H556" s="131" t="s">
        <v>2279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2280</v>
      </c>
    </row>
    <row r="557" spans="1:20" ht="22.5" customHeight="1" x14ac:dyDescent="0.25">
      <c r="A557" s="137" t="s">
        <v>2281</v>
      </c>
      <c r="B557" s="127">
        <v>2025</v>
      </c>
      <c r="C557" s="127" t="s">
        <v>22</v>
      </c>
      <c r="D557" s="127" t="s">
        <v>2282</v>
      </c>
      <c r="E557" s="128" t="s">
        <v>2283</v>
      </c>
      <c r="F557" s="129" t="s">
        <v>88</v>
      </c>
      <c r="G557" s="130" t="s">
        <v>79</v>
      </c>
      <c r="H557" s="131" t="s">
        <v>2284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2165</v>
      </c>
    </row>
    <row r="558" spans="1:20" ht="22.5" customHeight="1" x14ac:dyDescent="0.25">
      <c r="A558" s="137" t="s">
        <v>2285</v>
      </c>
      <c r="B558" s="127">
        <v>2025</v>
      </c>
      <c r="C558" s="164" t="s">
        <v>22</v>
      </c>
      <c r="D558" s="127" t="s">
        <v>2286</v>
      </c>
      <c r="E558" s="128" t="s">
        <v>2287</v>
      </c>
      <c r="F558" s="129" t="s">
        <v>24</v>
      </c>
      <c r="G558" s="130" t="s">
        <v>371</v>
      </c>
      <c r="H558" s="131" t="s">
        <v>2288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22.5" customHeight="1" x14ac:dyDescent="0.25">
      <c r="A559" s="137" t="s">
        <v>2289</v>
      </c>
      <c r="B559" s="127">
        <v>2025</v>
      </c>
      <c r="C559" s="164" t="s">
        <v>22</v>
      </c>
      <c r="D559" s="127" t="s">
        <v>2202</v>
      </c>
      <c r="E559" s="128" t="s">
        <v>1339</v>
      </c>
      <c r="F559" s="129" t="s">
        <v>69</v>
      </c>
      <c r="G559" s="130" t="s">
        <v>79</v>
      </c>
      <c r="H559" s="131" t="s">
        <v>2290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22.5" customHeight="1" x14ac:dyDescent="0.25">
      <c r="A560" s="137" t="s">
        <v>2291</v>
      </c>
      <c r="B560" s="127">
        <v>2025</v>
      </c>
      <c r="C560" s="164" t="s">
        <v>22</v>
      </c>
      <c r="D560" s="127" t="s">
        <v>2292</v>
      </c>
      <c r="E560" s="128" t="s">
        <v>2293</v>
      </c>
      <c r="F560" s="129" t="s">
        <v>24</v>
      </c>
      <c r="G560" s="130" t="s">
        <v>25</v>
      </c>
      <c r="H560" s="131" t="s">
        <v>2294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2295</v>
      </c>
    </row>
    <row r="561" spans="1:20" ht="22.5" customHeight="1" x14ac:dyDescent="0.25">
      <c r="A561" s="137" t="s">
        <v>2296</v>
      </c>
      <c r="B561" s="127">
        <v>2025</v>
      </c>
      <c r="C561" s="127" t="s">
        <v>22</v>
      </c>
      <c r="D561" s="127" t="s">
        <v>2297</v>
      </c>
      <c r="E561" s="128" t="s">
        <v>2298</v>
      </c>
      <c r="F561" s="129" t="s">
        <v>24</v>
      </c>
      <c r="G561" s="130" t="s">
        <v>42</v>
      </c>
      <c r="H561" s="131" t="s">
        <v>2299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2300</v>
      </c>
    </row>
    <row r="562" spans="1:20" ht="22.5" customHeight="1" x14ac:dyDescent="0.25">
      <c r="A562" s="137" t="s">
        <v>2301</v>
      </c>
      <c r="B562" s="127">
        <v>2025</v>
      </c>
      <c r="C562" s="127" t="s">
        <v>22</v>
      </c>
      <c r="D562" s="127" t="s">
        <v>2302</v>
      </c>
      <c r="E562" s="128" t="s">
        <v>2303</v>
      </c>
      <c r="F562" s="129" t="s">
        <v>69</v>
      </c>
      <c r="G562" s="130" t="s">
        <v>79</v>
      </c>
      <c r="H562" s="131" t="s">
        <v>2304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22.5" customHeight="1" x14ac:dyDescent="0.25">
      <c r="A563" s="137" t="s">
        <v>2305</v>
      </c>
      <c r="B563" s="127">
        <v>2025</v>
      </c>
      <c r="C563" s="127" t="s">
        <v>22</v>
      </c>
      <c r="D563" s="127" t="s">
        <v>2306</v>
      </c>
      <c r="E563" s="128" t="s">
        <v>2162</v>
      </c>
      <c r="F563" s="129" t="s">
        <v>69</v>
      </c>
      <c r="G563" s="130" t="s">
        <v>79</v>
      </c>
      <c r="H563" s="131" t="s">
        <v>2307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22.5" customHeight="1" x14ac:dyDescent="0.25">
      <c r="A564" s="137" t="s">
        <v>2308</v>
      </c>
      <c r="B564" s="127">
        <v>2025</v>
      </c>
      <c r="C564" s="127" t="s">
        <v>22</v>
      </c>
      <c r="D564" s="127" t="s">
        <v>2309</v>
      </c>
      <c r="E564" s="128" t="s">
        <v>2310</v>
      </c>
      <c r="F564" s="129" t="s">
        <v>69</v>
      </c>
      <c r="G564" s="130" t="s">
        <v>79</v>
      </c>
      <c r="H564" s="165" t="s">
        <v>2311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2160</v>
      </c>
    </row>
    <row r="565" spans="1:20" ht="22.5" customHeight="1" x14ac:dyDescent="0.25">
      <c r="A565" s="137" t="s">
        <v>2312</v>
      </c>
      <c r="B565" s="127">
        <v>2025</v>
      </c>
      <c r="C565" s="127" t="s">
        <v>22</v>
      </c>
      <c r="D565" s="127" t="s">
        <v>2313</v>
      </c>
      <c r="E565" s="128" t="s">
        <v>2314</v>
      </c>
      <c r="F565" s="129" t="s">
        <v>24</v>
      </c>
      <c r="G565" s="130" t="s">
        <v>36</v>
      </c>
      <c r="H565" s="131" t="s">
        <v>2315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2316</v>
      </c>
    </row>
    <row r="566" spans="1:20" ht="22.5" customHeight="1" x14ac:dyDescent="0.25">
      <c r="A566" s="137" t="s">
        <v>2317</v>
      </c>
      <c r="B566" s="127">
        <v>2025</v>
      </c>
      <c r="C566" s="164" t="s">
        <v>22</v>
      </c>
      <c r="D566" s="127" t="s">
        <v>2318</v>
      </c>
      <c r="E566" s="128" t="s">
        <v>2319</v>
      </c>
      <c r="F566" s="129" t="s">
        <v>69</v>
      </c>
      <c r="G566" s="130" t="s">
        <v>36</v>
      </c>
      <c r="H566" s="131" t="s">
        <v>2320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2321</v>
      </c>
    </row>
    <row r="567" spans="1:20" ht="22.5" customHeight="1" x14ac:dyDescent="0.25">
      <c r="A567" s="137" t="s">
        <v>2322</v>
      </c>
      <c r="B567" s="127">
        <v>2025</v>
      </c>
      <c r="C567" s="127" t="s">
        <v>22</v>
      </c>
      <c r="D567" s="127" t="s">
        <v>2253</v>
      </c>
      <c r="E567" s="128" t="s">
        <v>2323</v>
      </c>
      <c r="F567" s="129" t="s">
        <v>24</v>
      </c>
      <c r="G567" s="130" t="s">
        <v>42</v>
      </c>
      <c r="H567" s="131" t="s">
        <v>2324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2256</v>
      </c>
    </row>
    <row r="568" spans="1:20" ht="22.5" customHeight="1" x14ac:dyDescent="0.25">
      <c r="A568" s="137" t="s">
        <v>2325</v>
      </c>
      <c r="B568" s="127">
        <v>2025</v>
      </c>
      <c r="C568" s="127" t="s">
        <v>22</v>
      </c>
      <c r="D568" s="127" t="s">
        <v>2309</v>
      </c>
      <c r="E568" s="128" t="s">
        <v>2326</v>
      </c>
      <c r="F568" s="129" t="s">
        <v>69</v>
      </c>
      <c r="G568" s="130" t="s">
        <v>79</v>
      </c>
      <c r="H568" s="165" t="s">
        <v>2327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2160</v>
      </c>
    </row>
    <row r="569" spans="1:20" ht="22.5" customHeight="1" x14ac:dyDescent="0.25">
      <c r="A569" s="137" t="s">
        <v>2328</v>
      </c>
      <c r="B569" s="127">
        <v>2025</v>
      </c>
      <c r="C569" s="127" t="s">
        <v>22</v>
      </c>
      <c r="D569" s="127" t="s">
        <v>2329</v>
      </c>
      <c r="E569" s="128" t="s">
        <v>2330</v>
      </c>
      <c r="F569" s="129" t="s">
        <v>69</v>
      </c>
      <c r="G569" s="130" t="s">
        <v>79</v>
      </c>
      <c r="H569" s="131" t="s">
        <v>2331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22.5" customHeight="1" x14ac:dyDescent="0.25">
      <c r="A570" s="137" t="s">
        <v>2332</v>
      </c>
      <c r="B570" s="127">
        <v>2025</v>
      </c>
      <c r="C570" s="164" t="s">
        <v>22</v>
      </c>
      <c r="D570" s="127" t="s">
        <v>2333</v>
      </c>
      <c r="E570" s="128" t="s">
        <v>2334</v>
      </c>
      <c r="F570" s="129" t="s">
        <v>24</v>
      </c>
      <c r="G570" s="130" t="s">
        <v>42</v>
      </c>
      <c r="H570" s="131" t="s">
        <v>2335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22.5" customHeight="1" x14ac:dyDescent="0.25">
      <c r="A571" s="137" t="s">
        <v>2336</v>
      </c>
      <c r="B571" s="127">
        <v>2025</v>
      </c>
      <c r="C571" s="127" t="s">
        <v>22</v>
      </c>
      <c r="D571" s="127" t="s">
        <v>2337</v>
      </c>
      <c r="E571" s="128" t="s">
        <v>2338</v>
      </c>
      <c r="F571" s="129" t="s">
        <v>24</v>
      </c>
      <c r="G571" s="144" t="s">
        <v>206</v>
      </c>
      <c r="H571" s="131" t="s">
        <v>2339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2340</v>
      </c>
    </row>
    <row r="572" spans="1:20" ht="22.5" customHeight="1" x14ac:dyDescent="0.25">
      <c r="A572" s="137" t="s">
        <v>2341</v>
      </c>
      <c r="B572" s="127">
        <v>2025</v>
      </c>
      <c r="C572" s="127" t="s">
        <v>22</v>
      </c>
      <c r="D572" s="127" t="s">
        <v>2342</v>
      </c>
      <c r="E572" s="128" t="s">
        <v>2343</v>
      </c>
      <c r="F572" s="129" t="s">
        <v>24</v>
      </c>
      <c r="G572" s="144" t="s">
        <v>206</v>
      </c>
      <c r="H572" s="131" t="s">
        <v>2344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22.5" customHeight="1" x14ac:dyDescent="0.25">
      <c r="A573" s="137" t="s">
        <v>2345</v>
      </c>
      <c r="B573" s="127">
        <v>2025</v>
      </c>
      <c r="C573" s="127" t="s">
        <v>22</v>
      </c>
      <c r="D573" s="164" t="s">
        <v>2346</v>
      </c>
      <c r="E573" s="128" t="s">
        <v>1730</v>
      </c>
      <c r="F573" s="129" t="s">
        <v>69</v>
      </c>
      <c r="G573" s="130" t="s">
        <v>79</v>
      </c>
      <c r="H573" s="131" t="s">
        <v>2347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22.5" customHeight="1" x14ac:dyDescent="0.25">
      <c r="A574" s="137" t="s">
        <v>2348</v>
      </c>
      <c r="B574" s="127">
        <v>2025</v>
      </c>
      <c r="C574" s="164" t="s">
        <v>22</v>
      </c>
      <c r="D574" s="127" t="s">
        <v>2349</v>
      </c>
      <c r="E574" s="128" t="s">
        <v>2350</v>
      </c>
      <c r="F574" s="129" t="s">
        <v>24</v>
      </c>
      <c r="G574" s="130" t="s">
        <v>464</v>
      </c>
      <c r="H574" s="131" t="s">
        <v>2351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22.5" customHeight="1" x14ac:dyDescent="0.25">
      <c r="A575" s="137" t="s">
        <v>2352</v>
      </c>
      <c r="B575" s="127">
        <v>2025</v>
      </c>
      <c r="C575" s="127" t="s">
        <v>22</v>
      </c>
      <c r="D575" s="127" t="s">
        <v>2249</v>
      </c>
      <c r="E575" s="128" t="s">
        <v>2353</v>
      </c>
      <c r="F575" s="129" t="s">
        <v>69</v>
      </c>
      <c r="G575" s="130" t="s">
        <v>79</v>
      </c>
      <c r="H575" s="131" t="s">
        <v>2354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22.5" customHeight="1" x14ac:dyDescent="0.25">
      <c r="A576" s="137" t="s">
        <v>2355</v>
      </c>
      <c r="B576" s="127">
        <v>2025</v>
      </c>
      <c r="C576" s="127" t="s">
        <v>22</v>
      </c>
      <c r="D576" s="127" t="s">
        <v>2356</v>
      </c>
      <c r="E576" s="128" t="s">
        <v>2357</v>
      </c>
      <c r="F576" s="129" t="s">
        <v>88</v>
      </c>
      <c r="G576" s="130" t="s">
        <v>79</v>
      </c>
      <c r="H576" s="131" t="s">
        <v>2358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2165</v>
      </c>
    </row>
    <row r="577" spans="1:20" ht="22.5" customHeight="1" x14ac:dyDescent="0.25">
      <c r="A577" s="137" t="s">
        <v>2359</v>
      </c>
      <c r="B577" s="127">
        <v>2025</v>
      </c>
      <c r="C577" s="127" t="s">
        <v>22</v>
      </c>
      <c r="D577" s="127" t="s">
        <v>2360</v>
      </c>
      <c r="E577" s="128" t="s">
        <v>2361</v>
      </c>
      <c r="F577" s="129" t="s">
        <v>24</v>
      </c>
      <c r="G577" s="144" t="s">
        <v>206</v>
      </c>
      <c r="H577" s="131" t="s">
        <v>2362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2363</v>
      </c>
    </row>
    <row r="578" spans="1:20" ht="22.5" customHeight="1" x14ac:dyDescent="0.25">
      <c r="A578" s="137" t="s">
        <v>2364</v>
      </c>
      <c r="B578" s="127">
        <v>2025</v>
      </c>
      <c r="C578" s="127" t="s">
        <v>22</v>
      </c>
      <c r="D578" s="127" t="s">
        <v>2365</v>
      </c>
      <c r="E578" s="128" t="s">
        <v>2366</v>
      </c>
      <c r="F578" s="129" t="s">
        <v>88</v>
      </c>
      <c r="G578" s="130" t="s">
        <v>79</v>
      </c>
      <c r="H578" s="131" t="s">
        <v>2367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2368</v>
      </c>
    </row>
    <row r="579" spans="1:20" ht="22.5" customHeight="1" x14ac:dyDescent="0.25">
      <c r="A579" s="137" t="s">
        <v>2369</v>
      </c>
      <c r="B579" s="127">
        <v>2025</v>
      </c>
      <c r="C579" s="127" t="s">
        <v>22</v>
      </c>
      <c r="D579" s="127" t="s">
        <v>2365</v>
      </c>
      <c r="E579" s="128" t="s">
        <v>2370</v>
      </c>
      <c r="F579" s="129" t="s">
        <v>88</v>
      </c>
      <c r="G579" s="130" t="s">
        <v>79</v>
      </c>
      <c r="H579" s="165" t="s">
        <v>2371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2368</v>
      </c>
    </row>
    <row r="580" spans="1:20" ht="22.5" customHeight="1" x14ac:dyDescent="0.25">
      <c r="A580" s="137" t="s">
        <v>2372</v>
      </c>
      <c r="B580" s="127">
        <v>2025</v>
      </c>
      <c r="C580" s="127" t="s">
        <v>22</v>
      </c>
      <c r="D580" s="127" t="s">
        <v>2373</v>
      </c>
      <c r="E580" s="128" t="s">
        <v>2374</v>
      </c>
      <c r="F580" s="129" t="s">
        <v>24</v>
      </c>
      <c r="G580" s="130" t="s">
        <v>42</v>
      </c>
      <c r="H580" s="131" t="s">
        <v>2375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2376</v>
      </c>
    </row>
    <row r="581" spans="1:20" ht="22.5" customHeight="1" x14ac:dyDescent="0.25">
      <c r="A581" s="137" t="s">
        <v>2377</v>
      </c>
      <c r="B581" s="127">
        <v>2025</v>
      </c>
      <c r="C581" s="164" t="s">
        <v>22</v>
      </c>
      <c r="D581" s="127" t="s">
        <v>2378</v>
      </c>
      <c r="E581" s="128" t="s">
        <v>2379</v>
      </c>
      <c r="F581" s="129" t="s">
        <v>24</v>
      </c>
      <c r="G581" s="144" t="s">
        <v>75</v>
      </c>
      <c r="H581" s="131" t="s">
        <v>2380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2108</v>
      </c>
    </row>
    <row r="582" spans="1:20" ht="22.5" customHeight="1" x14ac:dyDescent="0.25">
      <c r="A582" s="137" t="s">
        <v>2381</v>
      </c>
      <c r="B582" s="127">
        <v>2025</v>
      </c>
      <c r="C582" s="127" t="s">
        <v>22</v>
      </c>
      <c r="D582" s="127" t="s">
        <v>2382</v>
      </c>
      <c r="E582" s="128" t="s">
        <v>2383</v>
      </c>
      <c r="F582" s="129" t="s">
        <v>24</v>
      </c>
      <c r="G582" s="130" t="s">
        <v>464</v>
      </c>
      <c r="H582" s="131" t="s">
        <v>2384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22.5" customHeight="1" x14ac:dyDescent="0.25">
      <c r="A583" s="137" t="s">
        <v>2385</v>
      </c>
      <c r="B583" s="127">
        <v>2025</v>
      </c>
      <c r="C583" s="164" t="s">
        <v>22</v>
      </c>
      <c r="D583" s="127" t="s">
        <v>2229</v>
      </c>
      <c r="E583" s="128" t="s">
        <v>2386</v>
      </c>
      <c r="F583" s="129" t="s">
        <v>24</v>
      </c>
      <c r="G583" s="130" t="s">
        <v>1736</v>
      </c>
      <c r="H583" s="131" t="s">
        <v>2387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22.5" customHeight="1" x14ac:dyDescent="0.25">
      <c r="A584" s="137" t="s">
        <v>2388</v>
      </c>
      <c r="B584" s="127">
        <v>2025</v>
      </c>
      <c r="C584" s="127" t="s">
        <v>22</v>
      </c>
      <c r="D584" s="127" t="s">
        <v>2389</v>
      </c>
      <c r="E584" s="128" t="s">
        <v>2390</v>
      </c>
      <c r="F584" s="129" t="s">
        <v>88</v>
      </c>
      <c r="G584" s="130" t="s">
        <v>79</v>
      </c>
      <c r="H584" s="131" t="s">
        <v>2391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2165</v>
      </c>
    </row>
    <row r="585" spans="1:20" ht="22.5" customHeight="1" x14ac:dyDescent="0.25">
      <c r="A585" s="137" t="s">
        <v>2392</v>
      </c>
      <c r="B585" s="127">
        <v>2025</v>
      </c>
      <c r="C585" s="164" t="s">
        <v>22</v>
      </c>
      <c r="D585" s="127" t="s">
        <v>2393</v>
      </c>
      <c r="E585" s="128" t="s">
        <v>2394</v>
      </c>
      <c r="F585" s="129" t="s">
        <v>24</v>
      </c>
      <c r="G585" s="144" t="s">
        <v>75</v>
      </c>
      <c r="H585" s="131" t="s">
        <v>2395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22.5" customHeight="1" x14ac:dyDescent="0.25">
      <c r="A586" s="137" t="s">
        <v>2396</v>
      </c>
      <c r="B586" s="127">
        <v>2025</v>
      </c>
      <c r="C586" s="127" t="s">
        <v>22</v>
      </c>
      <c r="D586" s="127" t="s">
        <v>2397</v>
      </c>
      <c r="E586" s="128" t="s">
        <v>2052</v>
      </c>
      <c r="F586" s="129" t="s">
        <v>88</v>
      </c>
      <c r="G586" s="130" t="s">
        <v>79</v>
      </c>
      <c r="H586" s="131" t="s">
        <v>2398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9" si="10">SUM(O586:Q586)</f>
        <v>30</v>
      </c>
      <c r="S586" s="127">
        <v>3</v>
      </c>
      <c r="T586" s="147" t="s">
        <v>2054</v>
      </c>
    </row>
    <row r="587" spans="1:20" ht="22.5" customHeight="1" x14ac:dyDescent="0.25">
      <c r="A587" s="137" t="s">
        <v>2399</v>
      </c>
      <c r="B587" s="127">
        <v>2025</v>
      </c>
      <c r="C587" s="164" t="s">
        <v>22</v>
      </c>
      <c r="D587" s="127" t="s">
        <v>2333</v>
      </c>
      <c r="E587" s="128" t="s">
        <v>2400</v>
      </c>
      <c r="F587" s="129" t="s">
        <v>24</v>
      </c>
      <c r="G587" s="130" t="s">
        <v>42</v>
      </c>
      <c r="H587" s="131" t="s">
        <v>2401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22.5" customHeight="1" x14ac:dyDescent="0.25">
      <c r="A588" s="137" t="s">
        <v>2402</v>
      </c>
      <c r="B588" s="127">
        <v>2025</v>
      </c>
      <c r="C588" s="164" t="s">
        <v>22</v>
      </c>
      <c r="D588" s="127" t="s">
        <v>2403</v>
      </c>
      <c r="E588" s="128" t="s">
        <v>2404</v>
      </c>
      <c r="F588" s="129" t="s">
        <v>24</v>
      </c>
      <c r="G588" s="130" t="s">
        <v>371</v>
      </c>
      <c r="H588" s="131" t="s">
        <v>2405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2406</v>
      </c>
    </row>
    <row r="589" spans="1:20" ht="22.5" customHeight="1" x14ac:dyDescent="0.25">
      <c r="A589" s="137" t="s">
        <v>2407</v>
      </c>
      <c r="B589" s="127">
        <v>2025</v>
      </c>
      <c r="C589" s="164" t="s">
        <v>22</v>
      </c>
      <c r="D589" s="127" t="s">
        <v>2408</v>
      </c>
      <c r="E589" s="128" t="s">
        <v>2409</v>
      </c>
      <c r="F589" s="129" t="s">
        <v>24</v>
      </c>
      <c r="G589" s="144" t="s">
        <v>75</v>
      </c>
      <c r="H589" s="131" t="s">
        <v>2410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22.5" customHeight="1" x14ac:dyDescent="0.25">
      <c r="A590" s="137" t="s">
        <v>2411</v>
      </c>
      <c r="B590" s="127">
        <v>2025</v>
      </c>
      <c r="C590" s="164" t="s">
        <v>22</v>
      </c>
      <c r="D590" s="127" t="s">
        <v>2412</v>
      </c>
      <c r="E590" s="128" t="s">
        <v>2413</v>
      </c>
      <c r="F590" s="129" t="s">
        <v>24</v>
      </c>
      <c r="G590" s="144" t="s">
        <v>75</v>
      </c>
      <c r="H590" s="131" t="s">
        <v>2414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2415</v>
      </c>
    </row>
    <row r="591" spans="1:20" ht="22.5" customHeight="1" x14ac:dyDescent="0.25">
      <c r="A591" s="137" t="s">
        <v>2416</v>
      </c>
      <c r="B591" s="127">
        <v>2025</v>
      </c>
      <c r="C591" s="127" t="s">
        <v>22</v>
      </c>
      <c r="D591" s="127" t="s">
        <v>2417</v>
      </c>
      <c r="E591" s="128" t="s">
        <v>2418</v>
      </c>
      <c r="F591" s="129" t="s">
        <v>88</v>
      </c>
      <c r="G591" s="130" t="s">
        <v>79</v>
      </c>
      <c r="H591" s="131" t="s">
        <v>2419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22.5" customHeight="1" x14ac:dyDescent="0.25">
      <c r="A592" s="137" t="s">
        <v>2420</v>
      </c>
      <c r="B592" s="127">
        <v>2025</v>
      </c>
      <c r="C592" s="164" t="s">
        <v>22</v>
      </c>
      <c r="D592" s="127" t="s">
        <v>2421</v>
      </c>
      <c r="E592" s="128" t="s">
        <v>2422</v>
      </c>
      <c r="F592" s="129" t="s">
        <v>24</v>
      </c>
      <c r="G592" s="130" t="s">
        <v>36</v>
      </c>
      <c r="H592" s="131" t="s">
        <v>2423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2424</v>
      </c>
    </row>
    <row r="593" spans="1:20" ht="22.5" customHeight="1" x14ac:dyDescent="0.25">
      <c r="A593" s="137" t="s">
        <v>2425</v>
      </c>
      <c r="B593" s="127">
        <v>2025</v>
      </c>
      <c r="C593" s="127" t="s">
        <v>22</v>
      </c>
      <c r="D593" s="127" t="s">
        <v>2426</v>
      </c>
      <c r="E593" s="128" t="s">
        <v>2427</v>
      </c>
      <c r="F593" s="129" t="s">
        <v>24</v>
      </c>
      <c r="G593" s="130" t="s">
        <v>42</v>
      </c>
      <c r="H593" s="148" t="s">
        <v>2428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2429</v>
      </c>
    </row>
    <row r="594" spans="1:20" ht="22.5" customHeight="1" x14ac:dyDescent="0.25">
      <c r="A594" s="137" t="s">
        <v>2430</v>
      </c>
      <c r="B594" s="127">
        <v>2025</v>
      </c>
      <c r="C594" s="164" t="s">
        <v>22</v>
      </c>
      <c r="D594" s="127" t="s">
        <v>2431</v>
      </c>
      <c r="E594" s="128" t="s">
        <v>2432</v>
      </c>
      <c r="F594" s="129" t="s">
        <v>69</v>
      </c>
      <c r="G594" s="130" t="s">
        <v>79</v>
      </c>
      <c r="H594" s="131" t="s">
        <v>2433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2434</v>
      </c>
    </row>
    <row r="595" spans="1:20" ht="22.5" customHeight="1" x14ac:dyDescent="0.25">
      <c r="A595" s="137" t="s">
        <v>2435</v>
      </c>
      <c r="B595" s="127">
        <v>2025</v>
      </c>
      <c r="C595" s="127" t="s">
        <v>22</v>
      </c>
      <c r="D595" s="127" t="s">
        <v>2436</v>
      </c>
      <c r="E595" s="128" t="s">
        <v>2437</v>
      </c>
      <c r="F595" s="129" t="s">
        <v>88</v>
      </c>
      <c r="G595" s="130" t="s">
        <v>79</v>
      </c>
      <c r="H595" s="131" t="s">
        <v>2438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22.5" customHeight="1" x14ac:dyDescent="0.25">
      <c r="A596" s="137" t="s">
        <v>2439</v>
      </c>
      <c r="B596" s="127">
        <v>2025</v>
      </c>
      <c r="C596" s="152" t="s">
        <v>22</v>
      </c>
      <c r="D596" s="152" t="s">
        <v>2440</v>
      </c>
      <c r="E596" s="153" t="s">
        <v>2192</v>
      </c>
      <c r="F596" s="129" t="s">
        <v>88</v>
      </c>
      <c r="G596" s="154" t="s">
        <v>79</v>
      </c>
      <c r="H596" s="155" t="s">
        <v>2441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2442</v>
      </c>
    </row>
    <row r="597" spans="1:20" ht="22.5" customHeight="1" x14ac:dyDescent="0.25">
      <c r="A597" s="137" t="s">
        <v>2443</v>
      </c>
      <c r="B597" s="127">
        <v>2025</v>
      </c>
      <c r="C597" s="152" t="s">
        <v>22</v>
      </c>
      <c r="D597" s="127" t="s">
        <v>2444</v>
      </c>
      <c r="E597" s="128" t="s">
        <v>2445</v>
      </c>
      <c r="F597" s="129" t="s">
        <v>69</v>
      </c>
      <c r="G597" s="130" t="s">
        <v>79</v>
      </c>
      <c r="H597" s="131" t="s">
        <v>2446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22.5" customHeight="1" x14ac:dyDescent="0.25">
      <c r="A598" s="137" t="s">
        <v>2447</v>
      </c>
      <c r="B598" s="127">
        <v>2025</v>
      </c>
      <c r="C598" s="168" t="s">
        <v>22</v>
      </c>
      <c r="D598" s="152" t="s">
        <v>2448</v>
      </c>
      <c r="E598" s="153" t="s">
        <v>2449</v>
      </c>
      <c r="F598" s="161" t="s">
        <v>88</v>
      </c>
      <c r="G598" s="154" t="s">
        <v>79</v>
      </c>
      <c r="H598" s="155" t="s">
        <v>2450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2451</v>
      </c>
    </row>
    <row r="599" spans="1:20" ht="22.5" customHeight="1" x14ac:dyDescent="0.25">
      <c r="A599" s="137" t="s">
        <v>2452</v>
      </c>
      <c r="B599" s="127">
        <v>2025</v>
      </c>
      <c r="C599" s="152" t="s">
        <v>22</v>
      </c>
      <c r="D599" s="152" t="s">
        <v>2453</v>
      </c>
      <c r="E599" s="153" t="s">
        <v>2454</v>
      </c>
      <c r="F599" s="161" t="s">
        <v>24</v>
      </c>
      <c r="G599" s="167" t="s">
        <v>75</v>
      </c>
      <c r="H599" s="155" t="s">
        <v>2455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2456</v>
      </c>
    </row>
    <row r="600" spans="1:20" ht="22.5" customHeight="1" x14ac:dyDescent="0.25">
      <c r="A600" s="137" t="s">
        <v>2457</v>
      </c>
      <c r="B600" s="127">
        <v>2025</v>
      </c>
      <c r="C600" s="168" t="s">
        <v>22</v>
      </c>
      <c r="D600" s="152" t="s">
        <v>2458</v>
      </c>
      <c r="E600" s="153" t="s">
        <v>2459</v>
      </c>
      <c r="F600" s="161" t="s">
        <v>69</v>
      </c>
      <c r="G600" s="154" t="s">
        <v>79</v>
      </c>
      <c r="H600" s="149" t="s">
        <v>2460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2461</v>
      </c>
    </row>
    <row r="601" spans="1:20" ht="22.5" customHeight="1" x14ac:dyDescent="0.25">
      <c r="A601" s="137" t="s">
        <v>2462</v>
      </c>
      <c r="B601" s="127">
        <v>2025</v>
      </c>
      <c r="C601" s="168" t="s">
        <v>22</v>
      </c>
      <c r="D601" s="152" t="s">
        <v>2421</v>
      </c>
      <c r="E601" s="153" t="s">
        <v>2463</v>
      </c>
      <c r="F601" s="161" t="s">
        <v>24</v>
      </c>
      <c r="G601" s="154" t="s">
        <v>36</v>
      </c>
      <c r="H601" s="155" t="s">
        <v>2464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2424</v>
      </c>
    </row>
    <row r="602" spans="1:20" ht="22.5" customHeight="1" x14ac:dyDescent="0.25">
      <c r="A602" s="137" t="s">
        <v>2465</v>
      </c>
      <c r="B602" s="127">
        <v>2025</v>
      </c>
      <c r="C602" s="168" t="s">
        <v>22</v>
      </c>
      <c r="D602" s="127" t="s">
        <v>2466</v>
      </c>
      <c r="E602" s="128" t="s">
        <v>2467</v>
      </c>
      <c r="F602" s="161" t="s">
        <v>24</v>
      </c>
      <c r="G602" s="167" t="s">
        <v>75</v>
      </c>
      <c r="H602" s="131" t="s">
        <v>2468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2020</v>
      </c>
    </row>
    <row r="603" spans="1:20" ht="22.5" customHeight="1" x14ac:dyDescent="0.25">
      <c r="A603" s="137" t="s">
        <v>2469</v>
      </c>
      <c r="B603" s="127">
        <v>2025</v>
      </c>
      <c r="C603" s="168" t="s">
        <v>22</v>
      </c>
      <c r="D603" s="127" t="s">
        <v>2470</v>
      </c>
      <c r="E603" s="128" t="s">
        <v>2471</v>
      </c>
      <c r="F603" s="161" t="s">
        <v>24</v>
      </c>
      <c r="G603" s="154" t="s">
        <v>75</v>
      </c>
      <c r="H603" s="165" t="s">
        <v>2472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22.5" customHeight="1" x14ac:dyDescent="0.25">
      <c r="A604" s="137" t="s">
        <v>2473</v>
      </c>
      <c r="B604" s="127">
        <v>2025</v>
      </c>
      <c r="C604" s="168" t="s">
        <v>22</v>
      </c>
      <c r="D604" s="127" t="s">
        <v>2474</v>
      </c>
      <c r="E604" s="128" t="s">
        <v>2475</v>
      </c>
      <c r="F604" s="161" t="s">
        <v>24</v>
      </c>
      <c r="G604" s="154" t="s">
        <v>42</v>
      </c>
      <c r="H604" s="165" t="s">
        <v>2476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2477</v>
      </c>
    </row>
    <row r="605" spans="1:20" ht="22.5" customHeight="1" x14ac:dyDescent="0.25">
      <c r="A605" s="137" t="s">
        <v>2478</v>
      </c>
      <c r="B605" s="127">
        <v>2025</v>
      </c>
      <c r="C605" s="164" t="s">
        <v>22</v>
      </c>
      <c r="D605" s="127" t="s">
        <v>2431</v>
      </c>
      <c r="E605" s="128" t="s">
        <v>2479</v>
      </c>
      <c r="F605" s="129" t="s">
        <v>69</v>
      </c>
      <c r="G605" s="130" t="s">
        <v>79</v>
      </c>
      <c r="H605" s="131" t="s">
        <v>2480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2481</v>
      </c>
    </row>
    <row r="606" spans="1:20" ht="22.5" customHeight="1" x14ac:dyDescent="0.25">
      <c r="A606" s="137" t="s">
        <v>2482</v>
      </c>
      <c r="B606" s="127">
        <v>2025</v>
      </c>
      <c r="C606" s="164" t="s">
        <v>22</v>
      </c>
      <c r="D606" s="127" t="s">
        <v>2483</v>
      </c>
      <c r="E606" s="128" t="s">
        <v>2484</v>
      </c>
      <c r="F606" s="129" t="s">
        <v>24</v>
      </c>
      <c r="G606" s="144" t="s">
        <v>206</v>
      </c>
      <c r="H606" s="131" t="s">
        <v>2485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2486</v>
      </c>
    </row>
    <row r="607" spans="1:20" ht="22.5" customHeight="1" x14ac:dyDescent="0.25">
      <c r="A607" s="137" t="s">
        <v>2487</v>
      </c>
      <c r="B607" s="127">
        <v>2025</v>
      </c>
      <c r="C607" s="164" t="s">
        <v>22</v>
      </c>
      <c r="D607" s="127" t="s">
        <v>2483</v>
      </c>
      <c r="E607" s="128" t="s">
        <v>2488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2489</v>
      </c>
    </row>
    <row r="608" spans="1:20" ht="22.5" customHeight="1" x14ac:dyDescent="0.25">
      <c r="A608" s="137" t="s">
        <v>2490</v>
      </c>
      <c r="B608" s="127">
        <v>2025</v>
      </c>
      <c r="C608" s="164" t="s">
        <v>22</v>
      </c>
      <c r="D608" s="127" t="s">
        <v>2491</v>
      </c>
      <c r="E608" s="128" t="s">
        <v>2492</v>
      </c>
      <c r="F608" s="129" t="s">
        <v>24</v>
      </c>
      <c r="G608" s="144" t="s">
        <v>206</v>
      </c>
      <c r="H608" s="131" t="s">
        <v>2493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22.5" customHeight="1" x14ac:dyDescent="0.25">
      <c r="A609" s="137" t="s">
        <v>2494</v>
      </c>
      <c r="B609" s="127">
        <v>2025</v>
      </c>
      <c r="C609" s="164" t="s">
        <v>22</v>
      </c>
      <c r="D609" s="127" t="s">
        <v>2495</v>
      </c>
      <c r="E609" s="128" t="s">
        <v>2496</v>
      </c>
      <c r="F609" s="129" t="s">
        <v>24</v>
      </c>
      <c r="G609" s="130" t="s">
        <v>25</v>
      </c>
      <c r="H609" s="131" t="s">
        <v>2497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2498</v>
      </c>
    </row>
    <row r="610" spans="1:20" ht="22.5" customHeight="1" x14ac:dyDescent="0.25">
      <c r="A610" s="137" t="s">
        <v>2499</v>
      </c>
      <c r="B610" s="127">
        <v>2025</v>
      </c>
      <c r="C610" s="127" t="s">
        <v>22</v>
      </c>
      <c r="D610" s="127" t="s">
        <v>2397</v>
      </c>
      <c r="E610" s="162" t="s">
        <v>2500</v>
      </c>
      <c r="F610" s="129" t="s">
        <v>88</v>
      </c>
      <c r="G610" s="130" t="s">
        <v>79</v>
      </c>
      <c r="H610" s="131" t="s">
        <v>2501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2054</v>
      </c>
    </row>
    <row r="611" spans="1:20" ht="22.5" customHeight="1" x14ac:dyDescent="0.25">
      <c r="A611" s="137" t="s">
        <v>2502</v>
      </c>
      <c r="B611" s="127">
        <v>2025</v>
      </c>
      <c r="C611" s="127" t="s">
        <v>22</v>
      </c>
      <c r="D611" s="127" t="s">
        <v>2503</v>
      </c>
      <c r="E611" s="128" t="s">
        <v>2504</v>
      </c>
      <c r="F611" s="161" t="s">
        <v>24</v>
      </c>
      <c r="G611" s="154" t="s">
        <v>42</v>
      </c>
      <c r="H611" s="131" t="s">
        <v>2505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2506</v>
      </c>
    </row>
    <row r="612" spans="1:20" ht="22.5" customHeight="1" x14ac:dyDescent="0.25">
      <c r="A612" s="137" t="s">
        <v>2507</v>
      </c>
      <c r="B612" s="127">
        <v>2025</v>
      </c>
      <c r="C612" s="164" t="s">
        <v>22</v>
      </c>
      <c r="D612" s="127" t="s">
        <v>2508</v>
      </c>
      <c r="E612" s="128" t="s">
        <v>2509</v>
      </c>
      <c r="F612" s="169" t="s">
        <v>24</v>
      </c>
      <c r="G612" s="144" t="s">
        <v>206</v>
      </c>
      <c r="H612" s="131" t="s">
        <v>2510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2511</v>
      </c>
    </row>
    <row r="613" spans="1:20" ht="22.5" customHeight="1" x14ac:dyDescent="0.25">
      <c r="A613" s="137" t="s">
        <v>2512</v>
      </c>
      <c r="B613" s="127">
        <v>2025</v>
      </c>
      <c r="C613" s="164" t="s">
        <v>22</v>
      </c>
      <c r="D613" s="127" t="s">
        <v>2508</v>
      </c>
      <c r="E613" s="128" t="s">
        <v>2513</v>
      </c>
      <c r="F613" s="129" t="s">
        <v>24</v>
      </c>
      <c r="G613" s="130" t="s">
        <v>206</v>
      </c>
      <c r="H613" s="127" t="s">
        <v>2510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2514</v>
      </c>
    </row>
    <row r="614" spans="1:20" ht="22.5" customHeight="1" x14ac:dyDescent="0.25">
      <c r="A614" s="137" t="s">
        <v>2515</v>
      </c>
      <c r="B614" s="127">
        <v>2025</v>
      </c>
      <c r="C614" s="164" t="s">
        <v>22</v>
      </c>
      <c r="D614" s="127" t="s">
        <v>2516</v>
      </c>
      <c r="E614" s="128" t="s">
        <v>2517</v>
      </c>
      <c r="F614" s="129" t="s">
        <v>69</v>
      </c>
      <c r="G614" s="130" t="s">
        <v>79</v>
      </c>
      <c r="H614" s="131" t="s">
        <v>2518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22.5" customHeight="1" x14ac:dyDescent="0.25">
      <c r="A615" s="137" t="s">
        <v>2519</v>
      </c>
      <c r="B615" s="127">
        <v>2025</v>
      </c>
      <c r="C615" s="164" t="s">
        <v>22</v>
      </c>
      <c r="D615" s="127" t="s">
        <v>2520</v>
      </c>
      <c r="E615" s="162" t="s">
        <v>2521</v>
      </c>
      <c r="F615" s="129" t="s">
        <v>69</v>
      </c>
      <c r="G615" s="130" t="s">
        <v>79</v>
      </c>
      <c r="H615" s="131" t="s">
        <v>2522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22.5" customHeight="1" x14ac:dyDescent="0.25">
      <c r="A616" s="137" t="s">
        <v>2523</v>
      </c>
      <c r="B616" s="127">
        <v>2025</v>
      </c>
      <c r="C616" s="164" t="s">
        <v>22</v>
      </c>
      <c r="D616" s="127" t="s">
        <v>2458</v>
      </c>
      <c r="E616" s="162" t="s">
        <v>2524</v>
      </c>
      <c r="F616" s="129" t="s">
        <v>69</v>
      </c>
      <c r="G616" s="130" t="s">
        <v>79</v>
      </c>
      <c r="H616" s="131" t="s">
        <v>2525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2461</v>
      </c>
    </row>
    <row r="617" spans="1:20" ht="22.5" customHeight="1" x14ac:dyDescent="0.25">
      <c r="A617" s="137" t="s">
        <v>2526</v>
      </c>
      <c r="B617" s="127">
        <v>2025</v>
      </c>
      <c r="C617" s="164" t="s">
        <v>22</v>
      </c>
      <c r="D617" s="127" t="s">
        <v>2527</v>
      </c>
      <c r="E617" s="128" t="s">
        <v>2528</v>
      </c>
      <c r="F617" s="129" t="s">
        <v>69</v>
      </c>
      <c r="G617" s="130" t="s">
        <v>79</v>
      </c>
      <c r="H617" s="131" t="s">
        <v>2529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2530</v>
      </c>
    </row>
    <row r="618" spans="1:20" ht="22.5" customHeight="1" x14ac:dyDescent="0.25">
      <c r="A618" s="137" t="s">
        <v>2531</v>
      </c>
      <c r="B618" s="127">
        <v>2025</v>
      </c>
      <c r="C618" s="127" t="s">
        <v>22</v>
      </c>
      <c r="D618" s="127" t="s">
        <v>2532</v>
      </c>
      <c r="E618" s="128" t="s">
        <v>2533</v>
      </c>
      <c r="F618" s="129" t="s">
        <v>69</v>
      </c>
      <c r="G618" s="130" t="s">
        <v>79</v>
      </c>
      <c r="H618" s="131" t="s">
        <v>2534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2535</v>
      </c>
    </row>
    <row r="619" spans="1:20" ht="22.5" customHeight="1" x14ac:dyDescent="0.25">
      <c r="A619" s="137" t="s">
        <v>2536</v>
      </c>
      <c r="B619" s="127">
        <v>2025</v>
      </c>
      <c r="C619" s="164" t="s">
        <v>22</v>
      </c>
      <c r="D619" s="127" t="s">
        <v>2537</v>
      </c>
      <c r="E619" s="128" t="s">
        <v>2538</v>
      </c>
      <c r="F619" s="129" t="s">
        <v>69</v>
      </c>
      <c r="G619" s="130" t="s">
        <v>79</v>
      </c>
      <c r="H619" s="131" t="s">
        <v>2534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1957</v>
      </c>
    </row>
    <row r="620" spans="1:20" ht="22.5" customHeight="1" x14ac:dyDescent="0.25">
      <c r="A620" s="137" t="s">
        <v>2539</v>
      </c>
      <c r="B620" s="127">
        <v>2025</v>
      </c>
      <c r="C620" s="164" t="s">
        <v>22</v>
      </c>
      <c r="D620" s="127" t="s">
        <v>2540</v>
      </c>
      <c r="E620" s="128" t="s">
        <v>2541</v>
      </c>
      <c r="F620" s="129" t="s">
        <v>69</v>
      </c>
      <c r="G620" s="130" t="s">
        <v>79</v>
      </c>
      <c r="H620" s="131" t="s">
        <v>2542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2108</v>
      </c>
    </row>
    <row r="621" spans="1:20" ht="22.5" customHeight="1" x14ac:dyDescent="0.25">
      <c r="A621" s="137" t="s">
        <v>2543</v>
      </c>
      <c r="B621" s="127">
        <v>2025</v>
      </c>
      <c r="C621" s="127" t="s">
        <v>22</v>
      </c>
      <c r="D621" s="127" t="s">
        <v>2544</v>
      </c>
      <c r="E621" s="128" t="s">
        <v>2545</v>
      </c>
      <c r="F621" s="129" t="s">
        <v>24</v>
      </c>
      <c r="G621" s="144" t="s">
        <v>206</v>
      </c>
      <c r="H621" s="131" t="s">
        <v>2546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2547</v>
      </c>
    </row>
    <row r="622" spans="1:20" ht="22.5" customHeight="1" x14ac:dyDescent="0.25">
      <c r="A622" s="137" t="s">
        <v>2548</v>
      </c>
      <c r="B622" s="127">
        <v>2025</v>
      </c>
      <c r="C622" s="164" t="s">
        <v>22</v>
      </c>
      <c r="D622" s="127" t="s">
        <v>2403</v>
      </c>
      <c r="E622" s="128" t="s">
        <v>2549</v>
      </c>
      <c r="F622" s="129" t="s">
        <v>24</v>
      </c>
      <c r="G622" s="130" t="s">
        <v>371</v>
      </c>
      <c r="H622" s="131" t="s">
        <v>2550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2406</v>
      </c>
    </row>
    <row r="623" spans="1:20" ht="22.5" customHeight="1" x14ac:dyDescent="0.25">
      <c r="A623" s="137" t="s">
        <v>2551</v>
      </c>
      <c r="B623" s="127">
        <v>2025</v>
      </c>
      <c r="C623" s="164" t="s">
        <v>22</v>
      </c>
      <c r="D623" s="127" t="s">
        <v>2552</v>
      </c>
      <c r="E623" s="128" t="s">
        <v>2553</v>
      </c>
      <c r="F623" s="129" t="s">
        <v>24</v>
      </c>
      <c r="G623" s="130" t="s">
        <v>42</v>
      </c>
      <c r="H623" s="131" t="s">
        <v>2554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2555</v>
      </c>
    </row>
    <row r="624" spans="1:20" ht="22.5" customHeight="1" x14ac:dyDescent="0.25">
      <c r="A624" s="137" t="s">
        <v>2556</v>
      </c>
      <c r="B624" s="127">
        <v>2025</v>
      </c>
      <c r="C624" s="164" t="s">
        <v>22</v>
      </c>
      <c r="D624" s="127" t="s">
        <v>2365</v>
      </c>
      <c r="E624" s="128" t="s">
        <v>2557</v>
      </c>
      <c r="F624" s="169" t="s">
        <v>88</v>
      </c>
      <c r="G624" s="144" t="s">
        <v>79</v>
      </c>
      <c r="H624" s="131" t="s">
        <v>2558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2368</v>
      </c>
    </row>
    <row r="625" spans="1:20" ht="22.5" customHeight="1" x14ac:dyDescent="0.25">
      <c r="A625" s="137" t="s">
        <v>2559</v>
      </c>
      <c r="B625" s="127">
        <v>2025</v>
      </c>
      <c r="C625" s="127" t="s">
        <v>22</v>
      </c>
      <c r="D625" s="127" t="s">
        <v>2440</v>
      </c>
      <c r="E625" s="128" t="s">
        <v>2560</v>
      </c>
      <c r="F625" s="129" t="s">
        <v>88</v>
      </c>
      <c r="G625" s="130" t="s">
        <v>79</v>
      </c>
      <c r="H625" s="131" t="s">
        <v>2561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2442</v>
      </c>
    </row>
    <row r="626" spans="1:20" ht="22.5" customHeight="1" x14ac:dyDescent="0.25">
      <c r="A626" s="137" t="s">
        <v>2562</v>
      </c>
      <c r="B626" s="127">
        <v>2025</v>
      </c>
      <c r="C626" s="164" t="s">
        <v>22</v>
      </c>
      <c r="D626" s="127" t="s">
        <v>2365</v>
      </c>
      <c r="E626" s="128" t="s">
        <v>2563</v>
      </c>
      <c r="F626" s="129" t="s">
        <v>88</v>
      </c>
      <c r="G626" s="144" t="s">
        <v>79</v>
      </c>
      <c r="H626" s="131" t="s">
        <v>2561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2368</v>
      </c>
    </row>
    <row r="627" spans="1:20" ht="22.5" customHeight="1" x14ac:dyDescent="0.25">
      <c r="A627" s="137" t="s">
        <v>2564</v>
      </c>
      <c r="B627" s="127">
        <v>2025</v>
      </c>
      <c r="C627" s="164" t="s">
        <v>2565</v>
      </c>
      <c r="D627" s="127" t="s">
        <v>2566</v>
      </c>
      <c r="E627" s="128" t="s">
        <v>2199</v>
      </c>
      <c r="F627" s="129" t="s">
        <v>24</v>
      </c>
      <c r="G627" s="130" t="s">
        <v>36</v>
      </c>
      <c r="H627" s="131" t="s">
        <v>2567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22.5" customHeight="1" x14ac:dyDescent="0.25">
      <c r="A628" s="137" t="s">
        <v>2568</v>
      </c>
      <c r="B628" s="127">
        <v>2025</v>
      </c>
      <c r="C628" s="164" t="s">
        <v>22</v>
      </c>
      <c r="D628" s="127" t="s">
        <v>2569</v>
      </c>
      <c r="E628" s="128" t="s">
        <v>2570</v>
      </c>
      <c r="F628" s="169" t="s">
        <v>24</v>
      </c>
      <c r="G628" s="144" t="s">
        <v>206</v>
      </c>
      <c r="H628" s="131" t="s">
        <v>2571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22.5" customHeight="1" x14ac:dyDescent="0.25">
      <c r="A629" s="137" t="s">
        <v>2572</v>
      </c>
      <c r="B629" s="127">
        <v>2025</v>
      </c>
      <c r="C629" s="127" t="s">
        <v>22</v>
      </c>
      <c r="D629" s="127" t="s">
        <v>2573</v>
      </c>
      <c r="E629" s="128" t="s">
        <v>2574</v>
      </c>
      <c r="F629" s="129" t="s">
        <v>24</v>
      </c>
      <c r="G629" s="130" t="s">
        <v>42</v>
      </c>
      <c r="H629" s="131" t="s">
        <v>2575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2576</v>
      </c>
      <c r="T629" s="130" t="s">
        <v>2577</v>
      </c>
    </row>
    <row r="630" spans="1:20" ht="22.5" customHeight="1" x14ac:dyDescent="0.25">
      <c r="A630" s="137" t="s">
        <v>2578</v>
      </c>
      <c r="B630" s="127">
        <v>2025</v>
      </c>
      <c r="C630" s="164" t="s">
        <v>22</v>
      </c>
      <c r="D630" s="127" t="s">
        <v>2579</v>
      </c>
      <c r="E630" s="128" t="s">
        <v>2580</v>
      </c>
      <c r="F630" s="129" t="s">
        <v>69</v>
      </c>
      <c r="G630" s="130" t="s">
        <v>79</v>
      </c>
      <c r="H630" s="131" t="s">
        <v>2581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2582</v>
      </c>
    </row>
    <row r="631" spans="1:20" ht="22.5" customHeight="1" x14ac:dyDescent="0.25">
      <c r="A631" s="137" t="s">
        <v>2583</v>
      </c>
      <c r="B631" s="127">
        <v>2025</v>
      </c>
      <c r="C631" s="164" t="s">
        <v>22</v>
      </c>
      <c r="D631" s="127" t="s">
        <v>2584</v>
      </c>
      <c r="E631" s="128" t="s">
        <v>2585</v>
      </c>
      <c r="F631" s="129" t="s">
        <v>88</v>
      </c>
      <c r="G631" s="130" t="s">
        <v>79</v>
      </c>
      <c r="H631" s="131" t="s">
        <v>2586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22.5" customHeight="1" x14ac:dyDescent="0.25">
      <c r="A632" s="137" t="s">
        <v>2587</v>
      </c>
      <c r="B632" s="127">
        <v>2025</v>
      </c>
      <c r="C632" s="164" t="s">
        <v>22</v>
      </c>
      <c r="D632" s="127" t="s">
        <v>2466</v>
      </c>
      <c r="E632" s="128" t="s">
        <v>2588</v>
      </c>
      <c r="F632" s="129" t="s">
        <v>24</v>
      </c>
      <c r="G632" s="144" t="s">
        <v>75</v>
      </c>
      <c r="H632" s="131" t="s">
        <v>2589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2020</v>
      </c>
    </row>
    <row r="633" spans="1:20" ht="22.5" customHeight="1" x14ac:dyDescent="0.25">
      <c r="A633" s="137" t="s">
        <v>2590</v>
      </c>
      <c r="B633" s="127">
        <v>2025</v>
      </c>
      <c r="C633" s="127" t="s">
        <v>22</v>
      </c>
      <c r="D633" s="127" t="s">
        <v>2591</v>
      </c>
      <c r="E633" s="162" t="s">
        <v>2592</v>
      </c>
      <c r="F633" s="129" t="s">
        <v>24</v>
      </c>
      <c r="G633" s="130" t="s">
        <v>42</v>
      </c>
      <c r="H633" s="165" t="s">
        <v>2593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2594</v>
      </c>
    </row>
    <row r="634" spans="1:20" ht="22.5" customHeight="1" x14ac:dyDescent="0.25">
      <c r="A634" s="137" t="s">
        <v>2595</v>
      </c>
      <c r="B634" s="127">
        <v>2025</v>
      </c>
      <c r="C634" s="127" t="s">
        <v>22</v>
      </c>
      <c r="D634" s="127" t="s">
        <v>2596</v>
      </c>
      <c r="E634" s="128" t="s">
        <v>2597</v>
      </c>
      <c r="F634" s="129" t="s">
        <v>69</v>
      </c>
      <c r="G634" s="130" t="s">
        <v>79</v>
      </c>
      <c r="H634" s="131" t="s">
        <v>2598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2451</v>
      </c>
    </row>
    <row r="635" spans="1:20" ht="22.5" customHeight="1" x14ac:dyDescent="0.25">
      <c r="A635" s="137" t="s">
        <v>2599</v>
      </c>
      <c r="B635" s="127">
        <v>2025</v>
      </c>
      <c r="C635" s="164" t="s">
        <v>22</v>
      </c>
      <c r="D635" s="127" t="s">
        <v>2600</v>
      </c>
      <c r="E635" s="128" t="s">
        <v>2601</v>
      </c>
      <c r="F635" s="169" t="s">
        <v>24</v>
      </c>
      <c r="G635" s="144" t="s">
        <v>206</v>
      </c>
      <c r="H635" s="131" t="s">
        <v>2602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22.5" customHeight="1" x14ac:dyDescent="0.25">
      <c r="A636" s="137" t="s">
        <v>2603</v>
      </c>
      <c r="B636" s="127">
        <v>2025</v>
      </c>
      <c r="C636" s="164" t="s">
        <v>22</v>
      </c>
      <c r="D636" s="127" t="s">
        <v>2318</v>
      </c>
      <c r="E636" s="128" t="s">
        <v>2604</v>
      </c>
      <c r="F636" s="129" t="s">
        <v>69</v>
      </c>
      <c r="G636" s="130" t="s">
        <v>36</v>
      </c>
      <c r="H636" s="131" t="s">
        <v>2605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2321</v>
      </c>
    </row>
    <row r="637" spans="1:20" ht="22.5" customHeight="1" x14ac:dyDescent="0.25">
      <c r="A637" s="137" t="s">
        <v>2606</v>
      </c>
      <c r="B637" s="127">
        <v>2025</v>
      </c>
      <c r="C637" s="127" t="s">
        <v>22</v>
      </c>
      <c r="D637" s="127" t="s">
        <v>2607</v>
      </c>
      <c r="E637" s="162" t="s">
        <v>2608</v>
      </c>
      <c r="F637" s="129" t="s">
        <v>69</v>
      </c>
      <c r="G637" s="130" t="s">
        <v>79</v>
      </c>
      <c r="H637" s="149" t="s">
        <v>2609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2610</v>
      </c>
    </row>
    <row r="638" spans="1:20" ht="22.5" customHeight="1" x14ac:dyDescent="0.25">
      <c r="A638" s="137" t="s">
        <v>2611</v>
      </c>
      <c r="B638" s="127">
        <v>2025</v>
      </c>
      <c r="C638" s="127" t="s">
        <v>22</v>
      </c>
      <c r="D638" s="127" t="s">
        <v>2612</v>
      </c>
      <c r="E638" s="128" t="s">
        <v>2613</v>
      </c>
      <c r="F638" s="129" t="s">
        <v>88</v>
      </c>
      <c r="G638" s="130" t="s">
        <v>79</v>
      </c>
      <c r="H638" s="131" t="s">
        <v>2614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2615</v>
      </c>
    </row>
    <row r="639" spans="1:20" ht="22.5" customHeight="1" x14ac:dyDescent="0.25">
      <c r="A639" s="137" t="s">
        <v>2616</v>
      </c>
      <c r="B639" s="127">
        <v>2025</v>
      </c>
      <c r="C639" s="127" t="s">
        <v>22</v>
      </c>
      <c r="D639" s="127" t="s">
        <v>2617</v>
      </c>
      <c r="E639" s="128" t="s">
        <v>2618</v>
      </c>
      <c r="F639" s="129" t="s">
        <v>24</v>
      </c>
      <c r="G639" s="130" t="s">
        <v>36</v>
      </c>
      <c r="H639" s="131" t="s">
        <v>2619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2576</v>
      </c>
      <c r="T639" s="130" t="s">
        <v>2577</v>
      </c>
    </row>
    <row r="640" spans="1:20" ht="22.5" customHeight="1" x14ac:dyDescent="0.25">
      <c r="A640" s="137" t="s">
        <v>2620</v>
      </c>
      <c r="B640" s="127">
        <v>2025</v>
      </c>
      <c r="C640" s="127" t="s">
        <v>22</v>
      </c>
      <c r="D640" s="127" t="s">
        <v>2621</v>
      </c>
      <c r="E640" s="128" t="s">
        <v>2622</v>
      </c>
      <c r="F640" s="129" t="s">
        <v>88</v>
      </c>
      <c r="G640" s="144" t="s">
        <v>79</v>
      </c>
      <c r="H640" s="131" t="s">
        <v>2623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22.5" customHeight="1" x14ac:dyDescent="0.25">
      <c r="A641" s="137" t="s">
        <v>2624</v>
      </c>
      <c r="B641" s="127">
        <v>2025</v>
      </c>
      <c r="C641" s="164" t="s">
        <v>22</v>
      </c>
      <c r="D641" s="127" t="s">
        <v>2625</v>
      </c>
      <c r="E641" s="128" t="s">
        <v>2626</v>
      </c>
      <c r="F641" s="169" t="s">
        <v>24</v>
      </c>
      <c r="G641" s="144" t="s">
        <v>206</v>
      </c>
      <c r="H641" s="131" t="s">
        <v>2627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22.5" customHeight="1" x14ac:dyDescent="0.25">
      <c r="A642" s="137" t="s">
        <v>2628</v>
      </c>
      <c r="B642" s="127">
        <v>2025</v>
      </c>
      <c r="C642" s="127" t="s">
        <v>22</v>
      </c>
      <c r="D642" s="127" t="s">
        <v>2629</v>
      </c>
      <c r="E642" s="128" t="s">
        <v>2437</v>
      </c>
      <c r="F642" s="129" t="s">
        <v>88</v>
      </c>
      <c r="G642" s="148" t="s">
        <v>79</v>
      </c>
      <c r="H642" s="165" t="s">
        <v>2630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2631</v>
      </c>
    </row>
    <row r="643" spans="1:20" ht="22.5" customHeight="1" x14ac:dyDescent="0.25">
      <c r="A643" s="137" t="s">
        <v>2632</v>
      </c>
      <c r="B643" s="127">
        <v>2025</v>
      </c>
      <c r="C643" s="127" t="s">
        <v>22</v>
      </c>
      <c r="D643" s="127" t="s">
        <v>2633</v>
      </c>
      <c r="E643" s="128" t="s">
        <v>2275</v>
      </c>
      <c r="F643" s="129" t="s">
        <v>88</v>
      </c>
      <c r="G643" s="130" t="s">
        <v>79</v>
      </c>
      <c r="H643" s="131" t="s">
        <v>2634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2165</v>
      </c>
    </row>
    <row r="644" spans="1:20" ht="22.5" customHeight="1" x14ac:dyDescent="0.25">
      <c r="A644" s="137" t="s">
        <v>2635</v>
      </c>
      <c r="B644" s="127">
        <v>2025</v>
      </c>
      <c r="C644" s="164" t="s">
        <v>22</v>
      </c>
      <c r="D644" s="127" t="s">
        <v>2365</v>
      </c>
      <c r="E644" s="128" t="s">
        <v>2636</v>
      </c>
      <c r="F644" s="129" t="s">
        <v>88</v>
      </c>
      <c r="G644" s="130" t="s">
        <v>79</v>
      </c>
      <c r="H644" s="131" t="s">
        <v>2637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2368</v>
      </c>
    </row>
    <row r="645" spans="1:20" ht="22.5" customHeight="1" x14ac:dyDescent="0.25">
      <c r="A645" s="137" t="s">
        <v>2638</v>
      </c>
      <c r="B645" s="127">
        <v>2025</v>
      </c>
      <c r="C645" s="127" t="s">
        <v>22</v>
      </c>
      <c r="D645" s="127" t="s">
        <v>2639</v>
      </c>
      <c r="E645" s="128" t="s">
        <v>2557</v>
      </c>
      <c r="F645" s="129" t="s">
        <v>88</v>
      </c>
      <c r="G645" s="130" t="s">
        <v>79</v>
      </c>
      <c r="H645" s="131" t="s">
        <v>2637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2640</v>
      </c>
    </row>
    <row r="646" spans="1:20" ht="22.5" customHeight="1" x14ac:dyDescent="0.25">
      <c r="A646" s="137" t="s">
        <v>2641</v>
      </c>
      <c r="B646" s="127">
        <v>2025</v>
      </c>
      <c r="C646" s="164" t="s">
        <v>22</v>
      </c>
      <c r="D646" s="127" t="s">
        <v>2642</v>
      </c>
      <c r="E646" s="128" t="s">
        <v>2643</v>
      </c>
      <c r="F646" s="169" t="s">
        <v>24</v>
      </c>
      <c r="G646" s="144" t="s">
        <v>206</v>
      </c>
      <c r="H646" s="131" t="s">
        <v>2644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2615</v>
      </c>
    </row>
    <row r="647" spans="1:20" ht="22.5" customHeight="1" x14ac:dyDescent="0.25">
      <c r="A647" s="137" t="s">
        <v>2645</v>
      </c>
      <c r="B647" s="127">
        <v>2025</v>
      </c>
      <c r="C647" s="164" t="s">
        <v>22</v>
      </c>
      <c r="D647" s="127" t="s">
        <v>2491</v>
      </c>
      <c r="E647" s="128" t="s">
        <v>2646</v>
      </c>
      <c r="F647" s="129" t="s">
        <v>24</v>
      </c>
      <c r="G647" s="144" t="s">
        <v>206</v>
      </c>
      <c r="H647" s="131" t="s">
        <v>2647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22.5" customHeight="1" x14ac:dyDescent="0.25">
      <c r="A648" s="137" t="s">
        <v>2648</v>
      </c>
      <c r="B648" s="127">
        <v>2025</v>
      </c>
      <c r="C648" s="127" t="s">
        <v>22</v>
      </c>
      <c r="D648" s="151" t="s">
        <v>2649</v>
      </c>
      <c r="E648" s="128" t="s">
        <v>2234</v>
      </c>
      <c r="F648" s="129" t="s">
        <v>69</v>
      </c>
      <c r="G648" s="130" t="s">
        <v>79</v>
      </c>
      <c r="H648" s="170" t="s">
        <v>2650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2025</v>
      </c>
    </row>
    <row r="649" spans="1:20" ht="22.5" customHeight="1" x14ac:dyDescent="0.25">
      <c r="A649" s="137" t="s">
        <v>2651</v>
      </c>
      <c r="B649" s="127">
        <v>2025</v>
      </c>
      <c r="C649" s="127" t="s">
        <v>22</v>
      </c>
      <c r="D649" s="127" t="s">
        <v>2652</v>
      </c>
      <c r="E649" s="128" t="s">
        <v>2653</v>
      </c>
      <c r="F649" s="129" t="s">
        <v>69</v>
      </c>
      <c r="G649" s="130" t="s">
        <v>79</v>
      </c>
      <c r="H649" s="149" t="s">
        <v>2654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2461</v>
      </c>
    </row>
    <row r="650" spans="1:20" ht="22.5" customHeight="1" x14ac:dyDescent="0.25">
      <c r="A650" s="137" t="s">
        <v>2655</v>
      </c>
      <c r="B650" s="127">
        <v>2025</v>
      </c>
      <c r="C650" s="164" t="s">
        <v>22</v>
      </c>
      <c r="D650" s="127" t="s">
        <v>2656</v>
      </c>
      <c r="E650" s="128" t="s">
        <v>2657</v>
      </c>
      <c r="F650" s="129" t="s">
        <v>24</v>
      </c>
      <c r="G650" s="144" t="s">
        <v>206</v>
      </c>
      <c r="H650" s="131" t="s">
        <v>2658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2659</v>
      </c>
    </row>
    <row r="651" spans="1:20" ht="22.5" customHeight="1" x14ac:dyDescent="0.25">
      <c r="A651" s="137" t="s">
        <v>2660</v>
      </c>
      <c r="B651" s="127">
        <v>2025</v>
      </c>
      <c r="C651" s="164" t="s">
        <v>22</v>
      </c>
      <c r="D651" s="127" t="s">
        <v>2661</v>
      </c>
      <c r="E651" s="162" t="s">
        <v>2662</v>
      </c>
      <c r="F651" s="129" t="s">
        <v>24</v>
      </c>
      <c r="G651" s="130" t="s">
        <v>42</v>
      </c>
      <c r="H651" s="131" t="s">
        <v>2663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2664</v>
      </c>
    </row>
    <row r="652" spans="1:20" ht="22.5" customHeight="1" x14ac:dyDescent="0.25">
      <c r="A652" s="137" t="s">
        <v>2665</v>
      </c>
      <c r="B652" s="127">
        <v>2025</v>
      </c>
      <c r="C652" s="164" t="s">
        <v>22</v>
      </c>
      <c r="D652" s="127" t="s">
        <v>2666</v>
      </c>
      <c r="E652" s="128" t="s">
        <v>2667</v>
      </c>
      <c r="F652" s="129" t="s">
        <v>24</v>
      </c>
      <c r="G652" s="130" t="s">
        <v>25</v>
      </c>
      <c r="H652" s="165" t="s">
        <v>2668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2669</v>
      </c>
    </row>
    <row r="653" spans="1:20" ht="23.25" customHeight="1" x14ac:dyDescent="0.25">
      <c r="A653" s="137" t="s">
        <v>2670</v>
      </c>
      <c r="B653" s="127">
        <v>2025</v>
      </c>
      <c r="C653" s="127" t="s">
        <v>22</v>
      </c>
      <c r="D653" s="127" t="s">
        <v>2671</v>
      </c>
      <c r="E653" s="162" t="s">
        <v>2672</v>
      </c>
      <c r="F653" s="129" t="s">
        <v>88</v>
      </c>
      <c r="G653" s="130" t="s">
        <v>79</v>
      </c>
      <c r="H653" s="165" t="s">
        <v>2668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22.5" customHeight="1" x14ac:dyDescent="0.25">
      <c r="A654" s="137" t="s">
        <v>2673</v>
      </c>
      <c r="B654" s="127">
        <v>2025</v>
      </c>
      <c r="C654" s="127" t="s">
        <v>22</v>
      </c>
      <c r="D654" s="127" t="s">
        <v>2674</v>
      </c>
      <c r="E654" s="128" t="s">
        <v>2675</v>
      </c>
      <c r="F654" s="129" t="s">
        <v>24</v>
      </c>
      <c r="G654" s="130" t="s">
        <v>42</v>
      </c>
      <c r="H654" s="165" t="s">
        <v>2676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22.5" customHeight="1" x14ac:dyDescent="0.25">
      <c r="A655" s="137" t="s">
        <v>2677</v>
      </c>
      <c r="B655" s="127">
        <v>2025</v>
      </c>
      <c r="C655" s="127" t="s">
        <v>22</v>
      </c>
      <c r="D655" s="127" t="s">
        <v>2678</v>
      </c>
      <c r="E655" s="128" t="s">
        <v>2679</v>
      </c>
      <c r="F655" s="129" t="s">
        <v>24</v>
      </c>
      <c r="G655" s="130" t="s">
        <v>206</v>
      </c>
      <c r="H655" s="131" t="s">
        <v>2680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22.5" customHeight="1" x14ac:dyDescent="0.25">
      <c r="A656" s="137" t="s">
        <v>2681</v>
      </c>
      <c r="B656" s="127">
        <v>2025</v>
      </c>
      <c r="C656" s="127" t="s">
        <v>22</v>
      </c>
      <c r="D656" s="127" t="s">
        <v>2682</v>
      </c>
      <c r="E656" s="128" t="s">
        <v>2683</v>
      </c>
      <c r="F656" s="129" t="s">
        <v>88</v>
      </c>
      <c r="G656" s="130" t="s">
        <v>79</v>
      </c>
      <c r="H656" s="141" t="s">
        <v>2684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22.5" customHeight="1" x14ac:dyDescent="0.25">
      <c r="A657" s="137" t="s">
        <v>2685</v>
      </c>
      <c r="B657" s="127">
        <v>2026</v>
      </c>
      <c r="C657" s="127" t="s">
        <v>22</v>
      </c>
      <c r="D657" s="127" t="s">
        <v>2686</v>
      </c>
      <c r="E657" s="128" t="s">
        <v>2137</v>
      </c>
      <c r="F657" s="129" t="s">
        <v>69</v>
      </c>
      <c r="G657" s="130" t="s">
        <v>79</v>
      </c>
      <c r="H657" s="131" t="s">
        <v>2687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22.5" customHeight="1" x14ac:dyDescent="0.25">
      <c r="A658" s="137" t="s">
        <v>2688</v>
      </c>
      <c r="B658" s="127">
        <v>2026</v>
      </c>
      <c r="C658" s="127" t="s">
        <v>22</v>
      </c>
      <c r="D658" s="127" t="s">
        <v>2689</v>
      </c>
      <c r="E658" s="128" t="s">
        <v>2690</v>
      </c>
      <c r="F658" s="129" t="s">
        <v>24</v>
      </c>
      <c r="G658" s="130" t="s">
        <v>206</v>
      </c>
      <c r="H658" s="131" t="s">
        <v>2691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2692</v>
      </c>
    </row>
    <row r="659" spans="1:20" ht="22.5" customHeight="1" x14ac:dyDescent="0.25">
      <c r="A659" s="137" t="s">
        <v>2693</v>
      </c>
      <c r="B659" s="127">
        <v>2026</v>
      </c>
      <c r="C659" s="127" t="s">
        <v>22</v>
      </c>
      <c r="D659" s="127" t="s">
        <v>2694</v>
      </c>
      <c r="E659" s="128" t="s">
        <v>2695</v>
      </c>
      <c r="F659" s="129" t="s">
        <v>24</v>
      </c>
      <c r="G659" s="130" t="s">
        <v>42</v>
      </c>
      <c r="H659" s="165" t="s">
        <v>2696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2697</v>
      </c>
    </row>
    <row r="660" spans="1:20" ht="22.5" customHeight="1" x14ac:dyDescent="0.25">
      <c r="A660" s="137" t="s">
        <v>2698</v>
      </c>
      <c r="B660" s="127">
        <v>2026</v>
      </c>
      <c r="C660" s="127" t="s">
        <v>22</v>
      </c>
      <c r="D660" s="127" t="s">
        <v>2699</v>
      </c>
      <c r="E660" s="128" t="s">
        <v>2700</v>
      </c>
      <c r="F660" s="129" t="s">
        <v>69</v>
      </c>
      <c r="G660" s="130" t="s">
        <v>2701</v>
      </c>
      <c r="H660" s="131" t="s">
        <v>2702</v>
      </c>
      <c r="I660" s="132">
        <v>46078</v>
      </c>
      <c r="J660" s="132">
        <v>46080</v>
      </c>
      <c r="K660" s="127" t="s">
        <v>38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2703</v>
      </c>
    </row>
    <row r="661" spans="1:20" ht="22.5" customHeight="1" x14ac:dyDescent="0.25">
      <c r="A661" s="137" t="s">
        <v>2704</v>
      </c>
      <c r="B661" s="127">
        <v>2026</v>
      </c>
      <c r="C661" s="127" t="s">
        <v>22</v>
      </c>
      <c r="D661" s="131" t="s">
        <v>2705</v>
      </c>
      <c r="E661" s="128" t="s">
        <v>2706</v>
      </c>
      <c r="F661" s="129" t="s">
        <v>24</v>
      </c>
      <c r="G661" s="144" t="s">
        <v>2707</v>
      </c>
      <c r="H661" s="131" t="s">
        <v>2708</v>
      </c>
      <c r="I661" s="132">
        <v>46078</v>
      </c>
      <c r="J661" s="132">
        <v>46083</v>
      </c>
      <c r="K661" s="127" t="s">
        <v>38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2709</v>
      </c>
    </row>
    <row r="662" spans="1:20" ht="22.5" customHeight="1" x14ac:dyDescent="0.25">
      <c r="A662" s="137" t="s">
        <v>2710</v>
      </c>
      <c r="B662" s="127">
        <v>2026</v>
      </c>
      <c r="C662" s="127" t="s">
        <v>22</v>
      </c>
      <c r="D662" s="127" t="s">
        <v>2711</v>
      </c>
      <c r="E662" s="128" t="s">
        <v>2712</v>
      </c>
      <c r="F662" s="129" t="s">
        <v>69</v>
      </c>
      <c r="G662" s="130" t="s">
        <v>2701</v>
      </c>
      <c r="H662" s="172" t="s">
        <v>2713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 t="shared" ref="R662:R668" si="12">SUM(O662:Q662)</f>
        <v>20</v>
      </c>
      <c r="S662" s="127">
        <v>12</v>
      </c>
      <c r="T662" s="144" t="s">
        <v>2714</v>
      </c>
    </row>
    <row r="663" spans="1:20" ht="22.5" customHeight="1" x14ac:dyDescent="0.25">
      <c r="A663" s="137" t="s">
        <v>2715</v>
      </c>
      <c r="B663" s="127">
        <v>2026</v>
      </c>
      <c r="C663" s="127" t="s">
        <v>22</v>
      </c>
      <c r="D663" s="131" t="s">
        <v>2716</v>
      </c>
      <c r="E663" s="128" t="s">
        <v>2717</v>
      </c>
      <c r="F663" s="129" t="s">
        <v>69</v>
      </c>
      <c r="G663" s="130" t="s">
        <v>79</v>
      </c>
      <c r="H663" s="131" t="s">
        <v>2718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 t="shared" si="12"/>
        <v>19</v>
      </c>
      <c r="S663" s="127">
        <v>20</v>
      </c>
      <c r="T663" s="130" t="s">
        <v>81</v>
      </c>
    </row>
    <row r="664" spans="1:20" ht="22.5" customHeight="1" x14ac:dyDescent="0.25">
      <c r="A664" s="137" t="s">
        <v>2719</v>
      </c>
      <c r="B664" s="127">
        <v>2026</v>
      </c>
      <c r="C664" s="127" t="s">
        <v>22</v>
      </c>
      <c r="D664" s="127" t="s">
        <v>2720</v>
      </c>
      <c r="E664" s="128" t="s">
        <v>2721</v>
      </c>
      <c r="F664" s="129" t="s">
        <v>24</v>
      </c>
      <c r="G664" s="144" t="s">
        <v>371</v>
      </c>
      <c r="H664" s="131" t="s">
        <v>2722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 t="shared" si="12"/>
        <v>33</v>
      </c>
      <c r="S664" s="127">
        <v>20</v>
      </c>
      <c r="T664" s="144" t="s">
        <v>2723</v>
      </c>
    </row>
    <row r="665" spans="1:20" ht="22.5" customHeight="1" x14ac:dyDescent="0.25">
      <c r="A665" s="137" t="s">
        <v>2724</v>
      </c>
      <c r="B665" s="127">
        <v>2026</v>
      </c>
      <c r="C665" s="127" t="s">
        <v>22</v>
      </c>
      <c r="D665" s="127" t="s">
        <v>2725</v>
      </c>
      <c r="E665" s="128" t="s">
        <v>2726</v>
      </c>
      <c r="F665" s="129" t="s">
        <v>24</v>
      </c>
      <c r="G665" s="144" t="s">
        <v>2727</v>
      </c>
      <c r="H665" s="131" t="s">
        <v>2728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 t="shared" si="12"/>
        <v>20</v>
      </c>
      <c r="S665" s="127">
        <v>8</v>
      </c>
      <c r="T665" s="130" t="s">
        <v>2729</v>
      </c>
    </row>
    <row r="666" spans="1:20" ht="22.5" customHeight="1" x14ac:dyDescent="0.25">
      <c r="A666" s="137" t="s">
        <v>2730</v>
      </c>
      <c r="B666" s="127">
        <v>2026</v>
      </c>
      <c r="C666" s="127" t="s">
        <v>22</v>
      </c>
      <c r="D666" s="131" t="s">
        <v>2716</v>
      </c>
      <c r="E666" s="128" t="s">
        <v>2731</v>
      </c>
      <c r="F666" s="129" t="s">
        <v>69</v>
      </c>
      <c r="G666" s="130" t="s">
        <v>79</v>
      </c>
      <c r="H666" s="131" t="s">
        <v>2732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 t="shared" si="12"/>
        <v>20</v>
      </c>
      <c r="S666" s="127">
        <v>20</v>
      </c>
      <c r="T666" s="130" t="s">
        <v>81</v>
      </c>
    </row>
    <row r="667" spans="1:20" ht="22.5" customHeight="1" x14ac:dyDescent="0.25">
      <c r="A667" s="137" t="s">
        <v>2733</v>
      </c>
      <c r="B667" s="127">
        <v>2026</v>
      </c>
      <c r="C667" s="127" t="s">
        <v>22</v>
      </c>
      <c r="D667" s="127" t="s">
        <v>2734</v>
      </c>
      <c r="E667" s="128" t="s">
        <v>2735</v>
      </c>
      <c r="F667" s="129" t="s">
        <v>69</v>
      </c>
      <c r="G667" s="130" t="s">
        <v>79</v>
      </c>
      <c r="H667" s="127" t="s">
        <v>2736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 t="shared" si="12"/>
        <v>127</v>
      </c>
      <c r="S667" s="127">
        <v>4</v>
      </c>
      <c r="T667" s="130" t="s">
        <v>479</v>
      </c>
    </row>
    <row r="668" spans="1:20" ht="22.5" customHeight="1" x14ac:dyDescent="0.25">
      <c r="A668" s="137" t="s">
        <v>2737</v>
      </c>
      <c r="B668" s="127">
        <v>2026</v>
      </c>
      <c r="C668" s="151" t="s">
        <v>22</v>
      </c>
      <c r="D668" s="127" t="s">
        <v>2738</v>
      </c>
      <c r="E668" s="128" t="s">
        <v>2739</v>
      </c>
      <c r="F668" s="129" t="s">
        <v>69</v>
      </c>
      <c r="G668" s="130" t="s">
        <v>79</v>
      </c>
      <c r="H668" s="131" t="s">
        <v>2740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 t="shared" si="12"/>
        <v>192</v>
      </c>
      <c r="S668" s="127">
        <v>14</v>
      </c>
      <c r="T668" s="130" t="s">
        <v>479</v>
      </c>
    </row>
    <row r="669" spans="1:20" ht="22.5" customHeight="1" x14ac:dyDescent="0.25">
      <c r="A669" s="137" t="s">
        <v>2741</v>
      </c>
      <c r="B669" s="127">
        <v>2026</v>
      </c>
      <c r="C669" s="127" t="s">
        <v>22</v>
      </c>
      <c r="D669" s="173" t="s">
        <v>2742</v>
      </c>
      <c r="E669" s="128" t="s">
        <v>2743</v>
      </c>
      <c r="F669" s="129" t="s">
        <v>69</v>
      </c>
      <c r="G669" s="174" t="s">
        <v>2701</v>
      </c>
      <c r="H669" s="175" t="s">
        <v>2744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2714</v>
      </c>
    </row>
    <row r="670" spans="1:20" ht="22.5" customHeight="1" x14ac:dyDescent="0.25">
      <c r="A670" s="137" t="s">
        <v>2745</v>
      </c>
      <c r="B670" s="127">
        <v>2026</v>
      </c>
      <c r="C670" s="127" t="s">
        <v>22</v>
      </c>
      <c r="D670" s="173" t="s">
        <v>2746</v>
      </c>
      <c r="E670" s="180" t="s">
        <v>2747</v>
      </c>
      <c r="F670" s="129" t="s">
        <v>88</v>
      </c>
      <c r="G670" s="130" t="s">
        <v>2748</v>
      </c>
      <c r="H670" s="175" t="s">
        <v>2749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2121</v>
      </c>
    </row>
    <row r="671" spans="1:20" ht="22.5" customHeight="1" x14ac:dyDescent="0.25">
      <c r="A671" s="137" t="s">
        <v>2750</v>
      </c>
      <c r="B671" s="127">
        <v>2026</v>
      </c>
      <c r="C671" s="127" t="s">
        <v>22</v>
      </c>
      <c r="D671" s="127" t="s">
        <v>2725</v>
      </c>
      <c r="E671" s="128" t="s">
        <v>2751</v>
      </c>
      <c r="F671" s="129" t="s">
        <v>24</v>
      </c>
      <c r="G671" s="144" t="s">
        <v>2727</v>
      </c>
      <c r="H671" s="131" t="s">
        <v>2752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2753</v>
      </c>
    </row>
    <row r="672" spans="1:20" ht="22.5" customHeight="1" x14ac:dyDescent="0.25">
      <c r="A672" s="137" t="s">
        <v>2754</v>
      </c>
      <c r="B672" s="127">
        <v>2026</v>
      </c>
      <c r="C672" s="127" t="s">
        <v>22</v>
      </c>
      <c r="D672" s="173" t="s">
        <v>2755</v>
      </c>
      <c r="E672" s="180" t="s">
        <v>2756</v>
      </c>
      <c r="F672" s="129" t="s">
        <v>24</v>
      </c>
      <c r="G672" s="144" t="s">
        <v>2727</v>
      </c>
      <c r="H672" s="175" t="s">
        <v>2757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2753</v>
      </c>
    </row>
    <row r="673" spans="1:20" ht="22.5" customHeight="1" x14ac:dyDescent="0.25">
      <c r="A673" s="137" t="s">
        <v>2758</v>
      </c>
      <c r="B673" s="127">
        <v>2026</v>
      </c>
      <c r="C673" s="127" t="s">
        <v>22</v>
      </c>
      <c r="D673" s="127" t="s">
        <v>2759</v>
      </c>
      <c r="E673" s="128" t="s">
        <v>2760</v>
      </c>
      <c r="F673" s="129" t="s">
        <v>24</v>
      </c>
      <c r="G673" s="130" t="s">
        <v>206</v>
      </c>
      <c r="H673" s="155" t="s">
        <v>2761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2762</v>
      </c>
    </row>
    <row r="674" spans="1:20" ht="22.5" customHeight="1" x14ac:dyDescent="0.25">
      <c r="A674" s="137" t="s">
        <v>2763</v>
      </c>
      <c r="B674" s="127">
        <v>2026</v>
      </c>
      <c r="C674" s="127" t="s">
        <v>22</v>
      </c>
      <c r="D674" s="127" t="s">
        <v>2764</v>
      </c>
      <c r="E674" s="128" t="s">
        <v>2765</v>
      </c>
      <c r="F674" s="129" t="s">
        <v>88</v>
      </c>
      <c r="G674" s="164" t="s">
        <v>2748</v>
      </c>
      <c r="H674" s="131" t="s">
        <v>2766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2767</v>
      </c>
    </row>
    <row r="675" spans="1:20" ht="22.5" customHeight="1" x14ac:dyDescent="0.25">
      <c r="A675" s="137" t="s">
        <v>2768</v>
      </c>
      <c r="B675" s="127">
        <v>2026</v>
      </c>
      <c r="C675" s="183" t="s">
        <v>22</v>
      </c>
      <c r="D675" s="183" t="s">
        <v>2769</v>
      </c>
      <c r="E675" s="184" t="s">
        <v>2770</v>
      </c>
      <c r="F675" s="185" t="s">
        <v>24</v>
      </c>
      <c r="G675" s="186" t="s">
        <v>371</v>
      </c>
      <c r="H675" s="187" t="s">
        <v>2771</v>
      </c>
      <c r="I675" s="188">
        <v>46140</v>
      </c>
      <c r="J675" s="188">
        <v>46147</v>
      </c>
      <c r="K675" s="183" t="s">
        <v>38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479</v>
      </c>
    </row>
    <row r="676" spans="1:20" ht="23.25" customHeight="1" x14ac:dyDescent="0.25">
      <c r="A676" s="137" t="s">
        <v>2772</v>
      </c>
      <c r="B676" s="127">
        <v>2026</v>
      </c>
      <c r="C676" s="183" t="s">
        <v>2773</v>
      </c>
      <c r="D676" s="183" t="s">
        <v>2774</v>
      </c>
      <c r="E676" s="184" t="s">
        <v>2775</v>
      </c>
      <c r="F676" s="185" t="s">
        <v>24</v>
      </c>
      <c r="G676" s="186" t="s">
        <v>2727</v>
      </c>
      <c r="H676" s="193" t="s">
        <v>2776</v>
      </c>
      <c r="I676" s="194">
        <v>46143</v>
      </c>
      <c r="J676" s="194"/>
      <c r="K676" s="183" t="s">
        <v>27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22.5" customHeight="1" x14ac:dyDescent="0.25">
      <c r="A677" s="137" t="s">
        <v>2777</v>
      </c>
      <c r="B677" s="127">
        <v>2026</v>
      </c>
      <c r="C677" s="195" t="s">
        <v>22</v>
      </c>
      <c r="D677" s="195" t="s">
        <v>2778</v>
      </c>
      <c r="E677" s="184" t="s">
        <v>2779</v>
      </c>
      <c r="F677" s="185" t="s">
        <v>24</v>
      </c>
      <c r="G677" s="196" t="s">
        <v>25</v>
      </c>
      <c r="H677" s="197" t="s">
        <v>2780</v>
      </c>
      <c r="I677" s="198">
        <v>46148</v>
      </c>
      <c r="J677" s="198">
        <v>46150</v>
      </c>
      <c r="K677" s="183" t="s">
        <v>38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2781</v>
      </c>
    </row>
    <row r="678" spans="1:20" ht="22.5" customHeight="1" x14ac:dyDescent="0.25">
      <c r="A678" s="137" t="s">
        <v>2782</v>
      </c>
      <c r="B678" s="127">
        <v>2026</v>
      </c>
      <c r="C678" s="195" t="s">
        <v>22</v>
      </c>
      <c r="D678" s="195" t="s">
        <v>2783</v>
      </c>
      <c r="E678" s="184" t="s">
        <v>2784</v>
      </c>
      <c r="F678" s="185" t="s">
        <v>88</v>
      </c>
      <c r="G678" s="196" t="s">
        <v>2748</v>
      </c>
      <c r="H678" s="197" t="s">
        <v>2785</v>
      </c>
      <c r="I678" s="198">
        <v>46148</v>
      </c>
      <c r="J678" s="198">
        <v>46148</v>
      </c>
      <c r="K678" s="183" t="s">
        <v>38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2786</v>
      </c>
    </row>
    <row r="679" spans="1:20" ht="22.5" customHeight="1" x14ac:dyDescent="0.25">
      <c r="A679" s="137" t="s">
        <v>2787</v>
      </c>
      <c r="B679" s="127">
        <v>2026</v>
      </c>
      <c r="C679" s="152" t="s">
        <v>22</v>
      </c>
      <c r="D679" s="152" t="s">
        <v>2764</v>
      </c>
      <c r="E679" s="153" t="s">
        <v>2788</v>
      </c>
      <c r="F679" s="129" t="s">
        <v>88</v>
      </c>
      <c r="G679" s="164" t="s">
        <v>2748</v>
      </c>
      <c r="H679" s="155" t="s">
        <v>2789</v>
      </c>
      <c r="I679" s="156">
        <v>46150</v>
      </c>
      <c r="J679" s="156">
        <v>46150</v>
      </c>
      <c r="K679" s="127" t="s">
        <v>38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2767</v>
      </c>
    </row>
    <row r="680" spans="1:20" ht="22.5" customHeight="1" x14ac:dyDescent="0.25">
      <c r="A680" s="137" t="s">
        <v>2790</v>
      </c>
      <c r="B680" s="127">
        <v>2026</v>
      </c>
      <c r="C680" s="195" t="s">
        <v>22</v>
      </c>
      <c r="D680" s="195" t="s">
        <v>2791</v>
      </c>
      <c r="E680" s="205" t="s">
        <v>2792</v>
      </c>
      <c r="F680" s="185" t="s">
        <v>24</v>
      </c>
      <c r="G680" s="186" t="s">
        <v>2727</v>
      </c>
      <c r="H680" s="197" t="s">
        <v>2793</v>
      </c>
      <c r="I680" s="198">
        <v>46154</v>
      </c>
      <c r="J680" s="198">
        <v>46156</v>
      </c>
      <c r="K680" s="183" t="s">
        <v>38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2753</v>
      </c>
    </row>
    <row r="681" spans="1:20" ht="22.5" customHeight="1" x14ac:dyDescent="0.25">
      <c r="A681" s="137" t="s">
        <v>2794</v>
      </c>
      <c r="B681" s="127">
        <v>2026</v>
      </c>
      <c r="C681" s="195" t="s">
        <v>2773</v>
      </c>
      <c r="D681" s="195" t="s">
        <v>2795</v>
      </c>
      <c r="E681" s="205" t="s">
        <v>2796</v>
      </c>
      <c r="F681" s="185" t="s">
        <v>69</v>
      </c>
      <c r="G681" s="196" t="s">
        <v>2701</v>
      </c>
      <c r="H681" s="197" t="s">
        <v>2776</v>
      </c>
      <c r="I681" s="198">
        <v>46157</v>
      </c>
      <c r="J681" s="198">
        <v>46387</v>
      </c>
      <c r="K681" s="183" t="s">
        <v>38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2703</v>
      </c>
    </row>
    <row r="682" spans="1:20" ht="22.5" customHeight="1" x14ac:dyDescent="0.25">
      <c r="A682" s="137" t="s">
        <v>2797</v>
      </c>
      <c r="B682" s="127">
        <v>2026</v>
      </c>
      <c r="C682" s="168" t="s">
        <v>2798</v>
      </c>
      <c r="D682" s="152" t="s">
        <v>2799</v>
      </c>
      <c r="E682" s="153" t="s">
        <v>2800</v>
      </c>
      <c r="F682" s="129" t="s">
        <v>24</v>
      </c>
      <c r="G682" s="154" t="s">
        <v>2707</v>
      </c>
      <c r="H682" s="155" t="s">
        <v>2801</v>
      </c>
      <c r="I682" s="156">
        <v>46160</v>
      </c>
      <c r="J682" s="156">
        <v>46163</v>
      </c>
      <c r="K682" s="127" t="s">
        <v>38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2709</v>
      </c>
    </row>
    <row r="683" spans="1:20" ht="23.25" customHeight="1" x14ac:dyDescent="0.25">
      <c r="A683" s="137" t="s">
        <v>2802</v>
      </c>
      <c r="B683" s="127">
        <v>2026</v>
      </c>
      <c r="C683" s="195" t="s">
        <v>22</v>
      </c>
      <c r="D683" s="195" t="s">
        <v>2803</v>
      </c>
      <c r="E683" s="205" t="s">
        <v>2675</v>
      </c>
      <c r="F683" s="185" t="s">
        <v>24</v>
      </c>
      <c r="G683" s="186" t="s">
        <v>42</v>
      </c>
      <c r="H683" s="197" t="s">
        <v>2804</v>
      </c>
      <c r="I683" s="198">
        <v>46160</v>
      </c>
      <c r="J683" s="198">
        <v>46167</v>
      </c>
      <c r="K683" s="183" t="s">
        <v>38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1792</v>
      </c>
    </row>
    <row r="684" spans="1:20" ht="22.5" customHeight="1" x14ac:dyDescent="0.25">
      <c r="A684" s="193" t="s">
        <v>2805</v>
      </c>
      <c r="B684" s="152">
        <v>2026</v>
      </c>
      <c r="C684" s="152" t="s">
        <v>22</v>
      </c>
      <c r="D684" s="209" t="s">
        <v>2806</v>
      </c>
      <c r="E684" s="210" t="s">
        <v>2807</v>
      </c>
      <c r="F684" s="211" t="s">
        <v>24</v>
      </c>
      <c r="G684" s="212" t="s">
        <v>42</v>
      </c>
      <c r="H684" s="213" t="s">
        <v>2808</v>
      </c>
      <c r="I684" s="214">
        <v>46163</v>
      </c>
      <c r="J684" s="214">
        <v>46164</v>
      </c>
      <c r="K684" s="209" t="s">
        <v>27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479</v>
      </c>
    </row>
    <row r="685" spans="1:20" ht="22.5" customHeight="1" x14ac:dyDescent="0.25">
      <c r="A685" s="193" t="s">
        <v>2809</v>
      </c>
      <c r="B685" s="152">
        <v>2026</v>
      </c>
      <c r="C685" s="183" t="s">
        <v>22</v>
      </c>
      <c r="D685" s="183" t="s">
        <v>2810</v>
      </c>
      <c r="E685" s="184" t="s">
        <v>2811</v>
      </c>
      <c r="F685" s="185" t="s">
        <v>88</v>
      </c>
      <c r="G685" s="186" t="s">
        <v>2748</v>
      </c>
      <c r="H685" s="193" t="s">
        <v>2812</v>
      </c>
      <c r="I685" s="194">
        <v>46167</v>
      </c>
      <c r="J685" s="194">
        <v>46171</v>
      </c>
      <c r="K685" s="183" t="s">
        <v>38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1030</v>
      </c>
    </row>
    <row r="686" spans="1:20" ht="22.5" customHeight="1" x14ac:dyDescent="0.25">
      <c r="A686" s="193" t="s">
        <v>2813</v>
      </c>
      <c r="B686" s="152">
        <v>2026</v>
      </c>
      <c r="C686" s="183" t="s">
        <v>2798</v>
      </c>
      <c r="D686" s="183" t="s">
        <v>2814</v>
      </c>
      <c r="E686" s="184" t="s">
        <v>2815</v>
      </c>
      <c r="F686" s="185" t="s">
        <v>24</v>
      </c>
      <c r="G686" s="186" t="s">
        <v>75</v>
      </c>
      <c r="H686" s="193" t="s">
        <v>2816</v>
      </c>
      <c r="I686" s="194">
        <v>46174</v>
      </c>
      <c r="J686" s="194">
        <v>46387</v>
      </c>
      <c r="K686" s="183" t="s">
        <v>27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2817</v>
      </c>
    </row>
    <row r="687" spans="1:20" ht="22.5" customHeight="1" x14ac:dyDescent="0.25">
      <c r="A687" s="193" t="s">
        <v>2818</v>
      </c>
      <c r="B687" s="152">
        <v>2026</v>
      </c>
      <c r="C687" s="164" t="s">
        <v>22</v>
      </c>
      <c r="D687" s="127" t="s">
        <v>2819</v>
      </c>
      <c r="E687" s="128" t="s">
        <v>2820</v>
      </c>
      <c r="F687" s="129" t="s">
        <v>24</v>
      </c>
      <c r="G687" s="130" t="s">
        <v>25</v>
      </c>
      <c r="H687" s="175" t="s">
        <v>2821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2822</v>
      </c>
    </row>
    <row r="688" spans="1:20" ht="22.5" customHeight="1" x14ac:dyDescent="0.25">
      <c r="A688" s="193" t="s">
        <v>2823</v>
      </c>
      <c r="B688" s="152">
        <v>2026</v>
      </c>
      <c r="C688" s="127" t="s">
        <v>22</v>
      </c>
      <c r="D688" s="173" t="s">
        <v>2824</v>
      </c>
      <c r="E688" s="180" t="s">
        <v>2825</v>
      </c>
      <c r="F688" s="129" t="s">
        <v>69</v>
      </c>
      <c r="G688" s="174" t="s">
        <v>2701</v>
      </c>
      <c r="H688" s="175" t="s">
        <v>2826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2703</v>
      </c>
    </row>
    <row r="689" spans="1:20" ht="22.5" customHeight="1" x14ac:dyDescent="0.25">
      <c r="A689" s="193" t="s">
        <v>2827</v>
      </c>
      <c r="B689" s="152">
        <v>2026</v>
      </c>
      <c r="C689" s="127" t="s">
        <v>22</v>
      </c>
      <c r="D689" s="173" t="s">
        <v>2824</v>
      </c>
      <c r="E689" s="219" t="s">
        <v>2828</v>
      </c>
      <c r="F689" s="129" t="s">
        <v>69</v>
      </c>
      <c r="G689" s="174" t="s">
        <v>2701</v>
      </c>
      <c r="H689" s="175" t="s">
        <v>2829</v>
      </c>
      <c r="I689" s="176">
        <v>46189</v>
      </c>
      <c r="J689" s="176">
        <v>46191</v>
      </c>
      <c r="K689" s="127" t="s">
        <v>38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2703</v>
      </c>
    </row>
    <row r="690" spans="1:20" ht="22.5" customHeight="1" x14ac:dyDescent="0.25">
      <c r="A690" s="193" t="s">
        <v>2830</v>
      </c>
      <c r="B690" s="152">
        <v>2026</v>
      </c>
      <c r="C690" s="183" t="s">
        <v>22</v>
      </c>
      <c r="D690" s="183" t="s">
        <v>2831</v>
      </c>
      <c r="E690" s="184" t="s">
        <v>2832</v>
      </c>
      <c r="F690" s="185" t="s">
        <v>24</v>
      </c>
      <c r="G690" s="186" t="s">
        <v>25</v>
      </c>
      <c r="H690" s="193" t="s">
        <v>2833</v>
      </c>
      <c r="I690" s="194">
        <v>46189</v>
      </c>
      <c r="J690" s="194">
        <v>46191</v>
      </c>
      <c r="K690" s="183" t="s">
        <v>38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2834</v>
      </c>
    </row>
    <row r="691" spans="1:20" ht="22.5" customHeight="1" x14ac:dyDescent="0.25">
      <c r="A691" s="193" t="s">
        <v>2835</v>
      </c>
      <c r="B691" s="152">
        <v>2026</v>
      </c>
      <c r="C691" s="127" t="s">
        <v>22</v>
      </c>
      <c r="D691" s="173" t="s">
        <v>2836</v>
      </c>
      <c r="E691" s="162" t="s">
        <v>2837</v>
      </c>
      <c r="F691" s="129" t="s">
        <v>69</v>
      </c>
      <c r="G691" s="174" t="s">
        <v>2701</v>
      </c>
      <c r="H691" s="175" t="s">
        <v>2838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22.5" customHeight="1" x14ac:dyDescent="0.25">
      <c r="A692" s="193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2727</v>
      </c>
      <c r="H692" s="193" t="s">
        <v>2841</v>
      </c>
      <c r="I692" s="194">
        <v>46196</v>
      </c>
      <c r="J692" s="194">
        <v>46198</v>
      </c>
      <c r="K692" s="183" t="s">
        <v>38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2753</v>
      </c>
    </row>
    <row r="693" spans="1:20" ht="22.5" customHeight="1" x14ac:dyDescent="0.25">
      <c r="A693" s="193" t="s">
        <v>2842</v>
      </c>
      <c r="B693" s="152">
        <v>2026</v>
      </c>
      <c r="C693" s="183" t="s">
        <v>22</v>
      </c>
      <c r="D693" s="183" t="s">
        <v>2843</v>
      </c>
      <c r="E693" s="184" t="s">
        <v>2844</v>
      </c>
      <c r="F693" s="185" t="s">
        <v>69</v>
      </c>
      <c r="G693" s="186" t="s">
        <v>79</v>
      </c>
      <c r="H693" s="193" t="s">
        <v>2845</v>
      </c>
      <c r="I693" s="194">
        <v>46203</v>
      </c>
      <c r="J693" s="194">
        <v>46205</v>
      </c>
      <c r="K693" s="183" t="s">
        <v>38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2753</v>
      </c>
    </row>
    <row r="694" spans="1:20" ht="22.5" customHeight="1" x14ac:dyDescent="0.25">
      <c r="A694" s="193" t="s">
        <v>2846</v>
      </c>
      <c r="B694" s="152">
        <v>2026</v>
      </c>
      <c r="C694" s="183" t="s">
        <v>2773</v>
      </c>
      <c r="D694" s="183" t="s">
        <v>2847</v>
      </c>
      <c r="E694" s="184" t="s">
        <v>2848</v>
      </c>
      <c r="F694" s="185" t="s">
        <v>24</v>
      </c>
      <c r="G694" s="186" t="s">
        <v>25</v>
      </c>
      <c r="H694" s="193" t="s">
        <v>2776</v>
      </c>
      <c r="I694" s="194">
        <v>46204</v>
      </c>
      <c r="J694" s="194">
        <v>46387</v>
      </c>
      <c r="K694" s="183" t="s">
        <v>38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556</v>
      </c>
    </row>
    <row r="695" spans="1:20" ht="22.5" customHeight="1" x14ac:dyDescent="0.25">
      <c r="A695" s="193" t="s">
        <v>2849</v>
      </c>
      <c r="B695" s="152">
        <v>2026</v>
      </c>
      <c r="C695" s="183" t="s">
        <v>22</v>
      </c>
      <c r="D695" s="183" t="s">
        <v>2850</v>
      </c>
      <c r="E695" s="184" t="s">
        <v>2851</v>
      </c>
      <c r="F695" s="185" t="s">
        <v>88</v>
      </c>
      <c r="G695" s="186" t="s">
        <v>2748</v>
      </c>
      <c r="H695" s="193" t="s">
        <v>2852</v>
      </c>
      <c r="I695" s="194">
        <v>46204</v>
      </c>
      <c r="J695" s="194">
        <v>46206</v>
      </c>
      <c r="K695" s="183" t="s">
        <v>38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2451</v>
      </c>
    </row>
    <row r="696" spans="1:20" ht="22.5" customHeight="1" x14ac:dyDescent="0.25">
      <c r="A696" s="193" t="s">
        <v>2853</v>
      </c>
      <c r="B696" s="152">
        <v>2026</v>
      </c>
      <c r="C696" s="164" t="s">
        <v>22</v>
      </c>
      <c r="D696" s="127" t="s">
        <v>2799</v>
      </c>
      <c r="E696" s="128" t="s">
        <v>2854</v>
      </c>
      <c r="F696" s="129" t="s">
        <v>24</v>
      </c>
      <c r="G696" s="130" t="s">
        <v>2707</v>
      </c>
      <c r="H696" s="131" t="s">
        <v>2855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2709</v>
      </c>
    </row>
    <row r="697" spans="1:20" ht="22.5" customHeight="1" x14ac:dyDescent="0.25">
      <c r="A697" s="193" t="s">
        <v>2856</v>
      </c>
      <c r="B697" s="152">
        <v>2026</v>
      </c>
      <c r="C697" s="183" t="s">
        <v>2565</v>
      </c>
      <c r="D697" s="183" t="s">
        <v>2857</v>
      </c>
      <c r="E697" s="184" t="s">
        <v>2858</v>
      </c>
      <c r="F697" s="185" t="s">
        <v>24</v>
      </c>
      <c r="G697" s="186" t="s">
        <v>75</v>
      </c>
      <c r="H697" s="193" t="s">
        <v>2859</v>
      </c>
      <c r="I697" s="194">
        <v>46223</v>
      </c>
      <c r="J697" s="194">
        <v>46233</v>
      </c>
      <c r="K697" s="183" t="s">
        <v>38</v>
      </c>
      <c r="L697" s="189">
        <v>20061.23</v>
      </c>
      <c r="M697" s="190"/>
      <c r="N697" s="191">
        <v>20</v>
      </c>
      <c r="O697" s="192"/>
      <c r="P697" s="192"/>
      <c r="Q697" s="192"/>
      <c r="R697" s="192">
        <f t="shared" ref="R697:R713" si="13">IF(B697="","",SUM(O697:Q697))</f>
        <v>0</v>
      </c>
      <c r="S697" s="183">
        <v>24</v>
      </c>
      <c r="T697" s="186" t="s">
        <v>2822</v>
      </c>
    </row>
    <row r="698" spans="1:20" ht="22.5" customHeight="1" x14ac:dyDescent="0.25">
      <c r="A698" s="193" t="s">
        <v>2860</v>
      </c>
      <c r="B698" s="152">
        <v>2026</v>
      </c>
      <c r="C698" s="183" t="s">
        <v>22</v>
      </c>
      <c r="D698" s="183" t="s">
        <v>2861</v>
      </c>
      <c r="E698" s="184" t="s">
        <v>2862</v>
      </c>
      <c r="F698" s="185" t="s">
        <v>88</v>
      </c>
      <c r="G698" s="186" t="s">
        <v>2748</v>
      </c>
      <c r="H698" s="193" t="s">
        <v>2863</v>
      </c>
      <c r="I698" s="194">
        <v>46223</v>
      </c>
      <c r="J698" s="194">
        <v>46227</v>
      </c>
      <c r="K698" s="183" t="s">
        <v>38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 t="shared" si="13"/>
        <v>48</v>
      </c>
      <c r="S698" s="183">
        <v>20</v>
      </c>
      <c r="T698" s="186" t="s">
        <v>425</v>
      </c>
    </row>
    <row r="699" spans="1:20" ht="22.5" customHeight="1" x14ac:dyDescent="0.25">
      <c r="A699" s="193" t="s">
        <v>2864</v>
      </c>
      <c r="B699" s="152">
        <v>2026</v>
      </c>
      <c r="C699" s="183" t="s">
        <v>22</v>
      </c>
      <c r="D699" s="183" t="s">
        <v>2865</v>
      </c>
      <c r="E699" s="184" t="s">
        <v>2866</v>
      </c>
      <c r="F699" s="185" t="s">
        <v>69</v>
      </c>
      <c r="G699" s="186" t="s">
        <v>79</v>
      </c>
      <c r="H699" s="193" t="s">
        <v>2867</v>
      </c>
      <c r="I699" s="194">
        <v>46223</v>
      </c>
      <c r="J699" s="194">
        <v>46223</v>
      </c>
      <c r="K699" s="183" t="s">
        <v>38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 t="shared" si="13"/>
        <v>220</v>
      </c>
      <c r="S699" s="183">
        <v>4</v>
      </c>
      <c r="T699" s="186" t="s">
        <v>479</v>
      </c>
    </row>
    <row r="700" spans="1:20" ht="22.5" customHeight="1" x14ac:dyDescent="0.25">
      <c r="A700" s="193" t="s">
        <v>2868</v>
      </c>
      <c r="B700" s="152">
        <v>2026</v>
      </c>
      <c r="C700" s="183" t="s">
        <v>2773</v>
      </c>
      <c r="D700" s="183" t="s">
        <v>2869</v>
      </c>
      <c r="E700" s="184" t="s">
        <v>2870</v>
      </c>
      <c r="F700" s="185" t="s">
        <v>69</v>
      </c>
      <c r="G700" s="186" t="s">
        <v>79</v>
      </c>
      <c r="H700" s="193" t="s">
        <v>2871</v>
      </c>
      <c r="I700" s="194">
        <v>46237</v>
      </c>
      <c r="J700" s="194">
        <v>46238</v>
      </c>
      <c r="K700" s="183" t="s">
        <v>38</v>
      </c>
      <c r="L700" s="189"/>
      <c r="M700" s="190"/>
      <c r="N700" s="191">
        <v>400</v>
      </c>
      <c r="O700" s="192"/>
      <c r="P700" s="192"/>
      <c r="Q700" s="192"/>
      <c r="R700" s="192">
        <f t="shared" si="13"/>
        <v>0</v>
      </c>
      <c r="S700" s="183">
        <v>8</v>
      </c>
      <c r="T700" s="186" t="s">
        <v>3162</v>
      </c>
    </row>
    <row r="701" spans="1:20" ht="22.5" customHeight="1" x14ac:dyDescent="0.25">
      <c r="A701" s="193" t="s">
        <v>2872</v>
      </c>
      <c r="B701" s="152">
        <v>2026</v>
      </c>
      <c r="C701" s="183" t="s">
        <v>2798</v>
      </c>
      <c r="D701" s="127" t="s">
        <v>2799</v>
      </c>
      <c r="E701" s="128" t="s">
        <v>2854</v>
      </c>
      <c r="F701" s="185" t="s">
        <v>24</v>
      </c>
      <c r="G701" s="186" t="s">
        <v>2707</v>
      </c>
      <c r="H701" s="193" t="s">
        <v>2873</v>
      </c>
      <c r="I701" s="194">
        <v>46237</v>
      </c>
      <c r="J701" s="194">
        <v>46239</v>
      </c>
      <c r="K701" s="183" t="s">
        <v>38</v>
      </c>
      <c r="L701" s="189">
        <v>0</v>
      </c>
      <c r="M701" s="190"/>
      <c r="N701" s="191">
        <v>15</v>
      </c>
      <c r="O701" s="192"/>
      <c r="P701" s="192"/>
      <c r="Q701" s="192"/>
      <c r="R701" s="192">
        <f t="shared" si="13"/>
        <v>0</v>
      </c>
      <c r="S701" s="183">
        <v>15</v>
      </c>
      <c r="T701" s="186" t="s">
        <v>2709</v>
      </c>
    </row>
    <row r="702" spans="1:20" ht="22.5" customHeight="1" x14ac:dyDescent="0.25">
      <c r="A702" s="193" t="s">
        <v>2874</v>
      </c>
      <c r="B702" s="152">
        <v>2026</v>
      </c>
      <c r="C702" s="183" t="s">
        <v>2773</v>
      </c>
      <c r="D702" s="183" t="s">
        <v>2875</v>
      </c>
      <c r="E702" s="184" t="s">
        <v>2876</v>
      </c>
      <c r="F702" s="185" t="s">
        <v>69</v>
      </c>
      <c r="G702" s="186" t="s">
        <v>79</v>
      </c>
      <c r="H702" s="193" t="s">
        <v>2877</v>
      </c>
      <c r="I702" s="194">
        <v>46244</v>
      </c>
      <c r="J702" s="194">
        <v>46245</v>
      </c>
      <c r="K702" s="183" t="s">
        <v>38</v>
      </c>
      <c r="L702" s="189"/>
      <c r="M702" s="190"/>
      <c r="N702" s="191">
        <v>40</v>
      </c>
      <c r="O702" s="192"/>
      <c r="P702" s="192"/>
      <c r="Q702" s="192"/>
      <c r="R702" s="192">
        <f t="shared" si="13"/>
        <v>0</v>
      </c>
      <c r="S702" s="183">
        <v>8</v>
      </c>
      <c r="T702" s="207" t="s">
        <v>2878</v>
      </c>
    </row>
    <row r="703" spans="1:20" ht="22.5" customHeight="1" x14ac:dyDescent="0.25">
      <c r="A703" s="193" t="s">
        <v>2879</v>
      </c>
      <c r="B703" s="152">
        <v>2026</v>
      </c>
      <c r="C703" s="183" t="s">
        <v>2773</v>
      </c>
      <c r="D703" s="183" t="s">
        <v>2880</v>
      </c>
      <c r="E703" s="184" t="s">
        <v>2881</v>
      </c>
      <c r="F703" s="185" t="s">
        <v>69</v>
      </c>
      <c r="G703" s="186" t="s">
        <v>79</v>
      </c>
      <c r="H703" s="193" t="s">
        <v>2882</v>
      </c>
      <c r="I703" s="194">
        <v>46244</v>
      </c>
      <c r="J703" s="194">
        <v>46244</v>
      </c>
      <c r="K703" s="183" t="s">
        <v>38</v>
      </c>
      <c r="L703" s="189">
        <v>1990</v>
      </c>
      <c r="M703" s="190"/>
      <c r="N703" s="191">
        <v>20</v>
      </c>
      <c r="O703" s="192"/>
      <c r="P703" s="192"/>
      <c r="Q703" s="192"/>
      <c r="R703" s="192">
        <f t="shared" si="13"/>
        <v>0</v>
      </c>
      <c r="S703" s="183">
        <v>4</v>
      </c>
      <c r="T703" s="186" t="s">
        <v>2451</v>
      </c>
    </row>
    <row r="704" spans="1:20" ht="22.5" customHeight="1" x14ac:dyDescent="0.25">
      <c r="A704" s="193" t="s">
        <v>2883</v>
      </c>
      <c r="B704" s="152">
        <v>2026</v>
      </c>
      <c r="C704" s="183" t="s">
        <v>2773</v>
      </c>
      <c r="D704" s="183" t="s">
        <v>2884</v>
      </c>
      <c r="E704" s="184" t="s">
        <v>2885</v>
      </c>
      <c r="F704" s="185" t="s">
        <v>69</v>
      </c>
      <c r="G704" s="186" t="s">
        <v>79</v>
      </c>
      <c r="H704" s="193" t="s">
        <v>2882</v>
      </c>
      <c r="I704" s="194">
        <v>46244</v>
      </c>
      <c r="J704" s="194">
        <v>46244</v>
      </c>
      <c r="K704" s="183" t="s">
        <v>38</v>
      </c>
      <c r="L704" s="189">
        <v>3520</v>
      </c>
      <c r="M704" s="190"/>
      <c r="N704" s="191">
        <v>30</v>
      </c>
      <c r="O704" s="192"/>
      <c r="P704" s="192"/>
      <c r="Q704" s="192"/>
      <c r="R704" s="192">
        <f t="shared" si="13"/>
        <v>0</v>
      </c>
      <c r="S704" s="183">
        <v>4</v>
      </c>
      <c r="T704" s="186" t="s">
        <v>2886</v>
      </c>
    </row>
    <row r="705" spans="1:21" ht="22.5" customHeight="1" x14ac:dyDescent="0.25">
      <c r="A705" s="193" t="s">
        <v>2887</v>
      </c>
      <c r="B705" s="152">
        <v>2026</v>
      </c>
      <c r="C705" s="183" t="s">
        <v>2773</v>
      </c>
      <c r="D705" s="183" t="s">
        <v>2888</v>
      </c>
      <c r="E705" s="184" t="s">
        <v>2889</v>
      </c>
      <c r="F705" s="185" t="s">
        <v>69</v>
      </c>
      <c r="G705" s="186" t="s">
        <v>79</v>
      </c>
      <c r="H705" s="193" t="s">
        <v>2890</v>
      </c>
      <c r="I705" s="194">
        <v>46245</v>
      </c>
      <c r="J705" s="194">
        <v>46245</v>
      </c>
      <c r="K705" s="183" t="s">
        <v>38</v>
      </c>
      <c r="L705" s="189">
        <v>3520</v>
      </c>
      <c r="M705" s="190"/>
      <c r="N705" s="191">
        <v>30</v>
      </c>
      <c r="O705" s="192"/>
      <c r="P705" s="192"/>
      <c r="Q705" s="192"/>
      <c r="R705" s="192">
        <f t="shared" si="13"/>
        <v>0</v>
      </c>
      <c r="S705" s="183">
        <v>4</v>
      </c>
      <c r="T705" s="186" t="s">
        <v>2461</v>
      </c>
    </row>
    <row r="706" spans="1:21" ht="22.5" customHeight="1" x14ac:dyDescent="0.25">
      <c r="A706" s="193" t="s">
        <v>2891</v>
      </c>
      <c r="B706" s="152">
        <v>2026</v>
      </c>
      <c r="C706" s="183" t="s">
        <v>2773</v>
      </c>
      <c r="D706" s="183" t="s">
        <v>2892</v>
      </c>
      <c r="E706" s="184" t="s">
        <v>2893</v>
      </c>
      <c r="F706" s="185" t="s">
        <v>69</v>
      </c>
      <c r="G706" s="186" t="s">
        <v>79</v>
      </c>
      <c r="H706" s="193" t="s">
        <v>2894</v>
      </c>
      <c r="I706" s="194">
        <v>46246</v>
      </c>
      <c r="J706" s="194">
        <v>46246</v>
      </c>
      <c r="K706" s="183" t="s">
        <v>38</v>
      </c>
      <c r="L706" s="189">
        <v>2347</v>
      </c>
      <c r="M706" s="190"/>
      <c r="N706" s="191">
        <v>50</v>
      </c>
      <c r="O706" s="192"/>
      <c r="P706" s="192"/>
      <c r="Q706" s="192"/>
      <c r="R706" s="192">
        <f t="shared" si="13"/>
        <v>0</v>
      </c>
      <c r="S706" s="183">
        <v>4</v>
      </c>
      <c r="T706" s="186" t="s">
        <v>1957</v>
      </c>
    </row>
    <row r="707" spans="1:21" ht="22.5" customHeight="1" x14ac:dyDescent="0.25">
      <c r="A707" s="193" t="s">
        <v>2895</v>
      </c>
      <c r="B707" s="152">
        <v>2026</v>
      </c>
      <c r="C707" s="183" t="s">
        <v>2773</v>
      </c>
      <c r="D707" s="183" t="s">
        <v>2896</v>
      </c>
      <c r="E707" s="184" t="s">
        <v>2897</v>
      </c>
      <c r="F707" s="185" t="s">
        <v>69</v>
      </c>
      <c r="G707" s="186" t="s">
        <v>79</v>
      </c>
      <c r="H707" s="193" t="s">
        <v>2894</v>
      </c>
      <c r="I707" s="194">
        <v>46246</v>
      </c>
      <c r="J707" s="194">
        <v>46246</v>
      </c>
      <c r="K707" s="183" t="s">
        <v>38</v>
      </c>
      <c r="L707" s="189">
        <v>3520</v>
      </c>
      <c r="M707" s="190"/>
      <c r="N707" s="191">
        <v>30</v>
      </c>
      <c r="O707" s="192"/>
      <c r="P707" s="192"/>
      <c r="Q707" s="192"/>
      <c r="R707" s="192">
        <f t="shared" si="13"/>
        <v>0</v>
      </c>
      <c r="S707" s="183">
        <v>4</v>
      </c>
      <c r="T707" s="186" t="s">
        <v>2898</v>
      </c>
    </row>
    <row r="708" spans="1:21" ht="22.5" customHeight="1" x14ac:dyDescent="0.25">
      <c r="A708" s="193" t="s">
        <v>2899</v>
      </c>
      <c r="B708" s="152">
        <v>2026</v>
      </c>
      <c r="C708" s="183" t="s">
        <v>2773</v>
      </c>
      <c r="D708" s="183" t="s">
        <v>2900</v>
      </c>
      <c r="E708" s="184" t="s">
        <v>2901</v>
      </c>
      <c r="F708" s="185" t="s">
        <v>69</v>
      </c>
      <c r="G708" s="186" t="s">
        <v>79</v>
      </c>
      <c r="H708" s="193" t="s">
        <v>2902</v>
      </c>
      <c r="I708" s="194">
        <v>46247</v>
      </c>
      <c r="J708" s="194">
        <v>46247</v>
      </c>
      <c r="K708" s="183" t="s">
        <v>38</v>
      </c>
      <c r="L708" s="189">
        <v>1770</v>
      </c>
      <c r="M708" s="190"/>
      <c r="N708" s="191">
        <v>50</v>
      </c>
      <c r="O708" s="192"/>
      <c r="P708" s="192"/>
      <c r="Q708" s="192"/>
      <c r="R708" s="192">
        <f t="shared" si="13"/>
        <v>0</v>
      </c>
      <c r="S708" s="183">
        <v>4</v>
      </c>
      <c r="T708" s="186" t="s">
        <v>2903</v>
      </c>
    </row>
    <row r="709" spans="1:21" ht="22.5" customHeight="1" x14ac:dyDescent="0.25">
      <c r="A709" s="193" t="s">
        <v>2904</v>
      </c>
      <c r="B709" s="152">
        <v>2026</v>
      </c>
      <c r="C709" s="183" t="s">
        <v>2773</v>
      </c>
      <c r="D709" s="183" t="s">
        <v>2905</v>
      </c>
      <c r="E709" s="184" t="s">
        <v>2906</v>
      </c>
      <c r="F709" s="185" t="s">
        <v>69</v>
      </c>
      <c r="G709" s="186" t="s">
        <v>79</v>
      </c>
      <c r="H709" s="193" t="s">
        <v>2902</v>
      </c>
      <c r="I709" s="194">
        <v>46247</v>
      </c>
      <c r="J709" s="194">
        <v>46247</v>
      </c>
      <c r="K709" s="183" t="s">
        <v>38</v>
      </c>
      <c r="L709" s="189">
        <v>3520</v>
      </c>
      <c r="M709" s="190"/>
      <c r="N709" s="191">
        <v>30</v>
      </c>
      <c r="O709" s="192"/>
      <c r="P709" s="192"/>
      <c r="Q709" s="192"/>
      <c r="R709" s="192">
        <f t="shared" si="13"/>
        <v>0</v>
      </c>
      <c r="S709" s="183">
        <v>4</v>
      </c>
      <c r="T709" s="186" t="s">
        <v>2907</v>
      </c>
      <c r="U709" s="106"/>
    </row>
    <row r="710" spans="1:21" ht="22.5" customHeight="1" x14ac:dyDescent="0.25">
      <c r="A710" s="193" t="s">
        <v>2908</v>
      </c>
      <c r="B710" s="152">
        <v>2026</v>
      </c>
      <c r="C710" s="183" t="s">
        <v>2773</v>
      </c>
      <c r="D710" s="183" t="s">
        <v>2909</v>
      </c>
      <c r="E710" s="184" t="s">
        <v>2910</v>
      </c>
      <c r="F710" s="185" t="s">
        <v>24</v>
      </c>
      <c r="G710" s="186" t="s">
        <v>206</v>
      </c>
      <c r="H710" s="193" t="s">
        <v>2911</v>
      </c>
      <c r="I710" s="194">
        <v>46248</v>
      </c>
      <c r="J710" s="194">
        <v>46248</v>
      </c>
      <c r="K710" s="183" t="s">
        <v>38</v>
      </c>
      <c r="L710" s="189"/>
      <c r="M710" s="190"/>
      <c r="N710" s="191">
        <v>170</v>
      </c>
      <c r="O710" s="192"/>
      <c r="P710" s="192"/>
      <c r="Q710" s="192"/>
      <c r="R710" s="192">
        <f t="shared" si="13"/>
        <v>0</v>
      </c>
      <c r="S710" s="183">
        <v>2</v>
      </c>
      <c r="T710" s="207" t="s">
        <v>2912</v>
      </c>
    </row>
    <row r="711" spans="1:21" ht="22.5" customHeight="1" x14ac:dyDescent="0.25">
      <c r="A711" s="193" t="s">
        <v>2913</v>
      </c>
      <c r="B711" s="152">
        <v>2026</v>
      </c>
      <c r="C711" s="183" t="s">
        <v>2773</v>
      </c>
      <c r="D711" s="183" t="s">
        <v>2764</v>
      </c>
      <c r="E711" s="184" t="s">
        <v>2914</v>
      </c>
      <c r="F711" s="185" t="s">
        <v>88</v>
      </c>
      <c r="G711" s="186" t="s">
        <v>2748</v>
      </c>
      <c r="H711" s="193" t="s">
        <v>2915</v>
      </c>
      <c r="I711" s="194">
        <v>46254</v>
      </c>
      <c r="J711" s="194">
        <v>46254</v>
      </c>
      <c r="K711" s="183" t="s">
        <v>38</v>
      </c>
      <c r="L711" s="189"/>
      <c r="M711" s="190"/>
      <c r="N711" s="191">
        <v>80</v>
      </c>
      <c r="O711" s="192"/>
      <c r="P711" s="192"/>
      <c r="Q711" s="192"/>
      <c r="R711" s="192">
        <f t="shared" si="13"/>
        <v>0</v>
      </c>
      <c r="S711" s="183">
        <v>4</v>
      </c>
      <c r="T711" s="207"/>
    </row>
    <row r="712" spans="1:21" ht="22.5" customHeight="1" x14ac:dyDescent="0.25">
      <c r="A712" s="193" t="s">
        <v>2916</v>
      </c>
      <c r="B712" s="152">
        <v>2026</v>
      </c>
      <c r="C712" s="183" t="s">
        <v>2773</v>
      </c>
      <c r="D712" s="183" t="s">
        <v>2764</v>
      </c>
      <c r="E712" s="184" t="s">
        <v>2914</v>
      </c>
      <c r="F712" s="185" t="s">
        <v>88</v>
      </c>
      <c r="G712" s="186" t="s">
        <v>2748</v>
      </c>
      <c r="H712" s="193" t="s">
        <v>2917</v>
      </c>
      <c r="I712" s="194">
        <v>46255</v>
      </c>
      <c r="J712" s="194">
        <v>46255</v>
      </c>
      <c r="K712" s="183" t="s">
        <v>38</v>
      </c>
      <c r="L712" s="189"/>
      <c r="M712" s="190"/>
      <c r="N712" s="191">
        <v>80</v>
      </c>
      <c r="O712" s="192"/>
      <c r="P712" s="192"/>
      <c r="Q712" s="192"/>
      <c r="R712" s="192">
        <f t="shared" si="13"/>
        <v>0</v>
      </c>
      <c r="S712" s="183">
        <v>4</v>
      </c>
      <c r="T712" s="207"/>
    </row>
    <row r="713" spans="1:21" ht="22.5" customHeight="1" x14ac:dyDescent="0.25">
      <c r="A713" s="193" t="s">
        <v>2918</v>
      </c>
      <c r="B713" s="152">
        <v>2026</v>
      </c>
      <c r="C713" s="183" t="s">
        <v>2773</v>
      </c>
      <c r="D713" s="183" t="s">
        <v>2919</v>
      </c>
      <c r="E713" s="184" t="s">
        <v>2920</v>
      </c>
      <c r="F713" s="185" t="s">
        <v>69</v>
      </c>
      <c r="G713" s="186" t="s">
        <v>79</v>
      </c>
      <c r="H713" s="220" t="s">
        <v>2921</v>
      </c>
      <c r="I713" s="194">
        <v>46259</v>
      </c>
      <c r="J713" s="194">
        <v>46268</v>
      </c>
      <c r="K713" s="183" t="s">
        <v>38</v>
      </c>
      <c r="L713" s="189"/>
      <c r="M713" s="190"/>
      <c r="N713" s="191">
        <v>30</v>
      </c>
      <c r="O713" s="192"/>
      <c r="P713" s="192"/>
      <c r="Q713" s="192"/>
      <c r="R713" s="192">
        <f t="shared" si="13"/>
        <v>0</v>
      </c>
      <c r="S713" s="183">
        <v>20</v>
      </c>
      <c r="T713" s="186" t="s">
        <v>2922</v>
      </c>
    </row>
    <row r="714" spans="1:21" ht="22.5" customHeight="1" x14ac:dyDescent="0.25">
      <c r="A714" s="193" t="s">
        <v>2923</v>
      </c>
      <c r="B714" s="152">
        <v>2026</v>
      </c>
      <c r="C714" s="164" t="s">
        <v>2773</v>
      </c>
      <c r="D714" s="127" t="s">
        <v>2924</v>
      </c>
      <c r="E714" s="162" t="s">
        <v>2925</v>
      </c>
      <c r="F714" s="129" t="s">
        <v>88</v>
      </c>
      <c r="G714" s="130" t="s">
        <v>2748</v>
      </c>
      <c r="H714" s="131" t="s">
        <v>2926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2927</v>
      </c>
    </row>
    <row r="715" spans="1:21" ht="22.5" customHeight="1" x14ac:dyDescent="0.25">
      <c r="A715" s="193" t="s">
        <v>2928</v>
      </c>
      <c r="B715" s="152">
        <v>2026</v>
      </c>
      <c r="C715" s="183" t="s">
        <v>2773</v>
      </c>
      <c r="D715" s="183" t="s">
        <v>2764</v>
      </c>
      <c r="E715" s="184" t="s">
        <v>2914</v>
      </c>
      <c r="F715" s="185" t="s">
        <v>88</v>
      </c>
      <c r="G715" s="186" t="s">
        <v>2748</v>
      </c>
      <c r="H715" s="193" t="s">
        <v>2929</v>
      </c>
      <c r="I715" s="194">
        <v>46289</v>
      </c>
      <c r="J715" s="194">
        <v>46289</v>
      </c>
      <c r="K715" s="183" t="s">
        <v>38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/>
    </row>
    <row r="716" spans="1:21" ht="22.5" customHeight="1" x14ac:dyDescent="0.25">
      <c r="A716" s="193" t="s">
        <v>2930</v>
      </c>
      <c r="B716" s="152">
        <v>2026</v>
      </c>
      <c r="C716" s="183" t="s">
        <v>2773</v>
      </c>
      <c r="D716" s="183" t="s">
        <v>2764</v>
      </c>
      <c r="E716" s="184" t="s">
        <v>2914</v>
      </c>
      <c r="F716" s="185" t="s">
        <v>88</v>
      </c>
      <c r="G716" s="186" t="s">
        <v>2748</v>
      </c>
      <c r="H716" s="193" t="s">
        <v>2931</v>
      </c>
      <c r="I716" s="194">
        <v>46290</v>
      </c>
      <c r="J716" s="194">
        <v>46290</v>
      </c>
      <c r="K716" s="183" t="s">
        <v>38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/>
    </row>
    <row r="717" spans="1:21" ht="22.5" customHeight="1" x14ac:dyDescent="0.25">
      <c r="A717" s="193" t="s">
        <v>2932</v>
      </c>
      <c r="B717" s="152">
        <v>2026</v>
      </c>
      <c r="C717" s="183" t="s">
        <v>2773</v>
      </c>
      <c r="D717" s="183" t="s">
        <v>2764</v>
      </c>
      <c r="E717" s="184" t="s">
        <v>2914</v>
      </c>
      <c r="F717" s="185" t="s">
        <v>88</v>
      </c>
      <c r="G717" s="186" t="s">
        <v>2748</v>
      </c>
      <c r="H717" s="193" t="s">
        <v>2933</v>
      </c>
      <c r="I717" s="194">
        <v>46303</v>
      </c>
      <c r="J717" s="194">
        <v>46303</v>
      </c>
      <c r="K717" s="183" t="s">
        <v>38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/>
    </row>
    <row r="718" spans="1:21" ht="22.5" customHeight="1" x14ac:dyDescent="0.25">
      <c r="A718" s="193" t="s">
        <v>2934</v>
      </c>
      <c r="B718" s="152">
        <v>2026</v>
      </c>
      <c r="C718" s="183" t="s">
        <v>2773</v>
      </c>
      <c r="D718" s="183" t="s">
        <v>2764</v>
      </c>
      <c r="E718" s="184" t="s">
        <v>2914</v>
      </c>
      <c r="F718" s="185" t="s">
        <v>88</v>
      </c>
      <c r="G718" s="186" t="s">
        <v>2748</v>
      </c>
      <c r="H718" s="193" t="s">
        <v>2935</v>
      </c>
      <c r="I718" s="194">
        <v>46304</v>
      </c>
      <c r="J718" s="194">
        <v>46274</v>
      </c>
      <c r="K718" s="183" t="s">
        <v>38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/>
    </row>
    <row r="719" spans="1:21" ht="22.5" customHeight="1" x14ac:dyDescent="0.25">
      <c r="A719" s="193" t="s">
        <v>2936</v>
      </c>
      <c r="B719" s="152">
        <v>2026</v>
      </c>
      <c r="C719" s="183" t="s">
        <v>2773</v>
      </c>
      <c r="D719" s="183" t="s">
        <v>2937</v>
      </c>
      <c r="E719" s="184" t="s">
        <v>2938</v>
      </c>
      <c r="F719" s="185" t="s">
        <v>69</v>
      </c>
      <c r="G719" s="186" t="s">
        <v>79</v>
      </c>
      <c r="H719" s="193" t="s">
        <v>2939</v>
      </c>
      <c r="I719" s="194">
        <v>46321</v>
      </c>
      <c r="J719" s="194">
        <v>46322</v>
      </c>
      <c r="K719" s="221" t="s">
        <v>27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479</v>
      </c>
    </row>
    <row r="720" spans="1:21" ht="22.5" customHeight="1" x14ac:dyDescent="0.25">
      <c r="A720" s="193" t="s">
        <v>2940</v>
      </c>
      <c r="B720" s="152">
        <v>2026</v>
      </c>
      <c r="C720" s="127" t="s">
        <v>2773</v>
      </c>
      <c r="D720" s="173" t="s">
        <v>2941</v>
      </c>
      <c r="E720" s="180" t="s">
        <v>2942</v>
      </c>
      <c r="F720" s="129" t="s">
        <v>69</v>
      </c>
      <c r="G720" s="130" t="s">
        <v>79</v>
      </c>
      <c r="H720" s="175" t="s">
        <v>2943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22.5" customHeight="1" x14ac:dyDescent="0.25">
      <c r="A721" s="193" t="s">
        <v>2944</v>
      </c>
      <c r="B721" s="152">
        <v>2026</v>
      </c>
      <c r="C721" s="195" t="s">
        <v>2773</v>
      </c>
      <c r="D721" s="195" t="s">
        <v>2945</v>
      </c>
      <c r="E721" s="205" t="s">
        <v>2946</v>
      </c>
      <c r="F721" s="222" t="s">
        <v>24</v>
      </c>
      <c r="G721" s="196" t="s">
        <v>75</v>
      </c>
      <c r="H721" s="197" t="s">
        <v>2947</v>
      </c>
      <c r="I721" s="198">
        <v>46344</v>
      </c>
      <c r="J721" s="198">
        <v>46345</v>
      </c>
      <c r="K721" s="195" t="s">
        <v>27</v>
      </c>
      <c r="L721" s="199">
        <v>13000</v>
      </c>
      <c r="M721" s="200"/>
      <c r="N721" s="201"/>
      <c r="O721" s="202"/>
      <c r="P721" s="202"/>
      <c r="Q721" s="202"/>
      <c r="R721" s="202">
        <f t="shared" ref="R721:R749" si="14">IF(B721="","",SUM(O721:Q721))</f>
        <v>0</v>
      </c>
      <c r="S721" s="195">
        <v>10</v>
      </c>
      <c r="T721" s="196" t="s">
        <v>2948</v>
      </c>
    </row>
    <row r="722" spans="1:20" ht="22.5" customHeight="1" x14ac:dyDescent="0.25">
      <c r="A722" s="193" t="s">
        <v>2949</v>
      </c>
      <c r="B722" s="127">
        <v>2026</v>
      </c>
      <c r="C722" s="183" t="s">
        <v>2773</v>
      </c>
      <c r="D722" s="183" t="s">
        <v>2950</v>
      </c>
      <c r="E722" s="184" t="s">
        <v>2951</v>
      </c>
      <c r="F722" s="185" t="s">
        <v>69</v>
      </c>
      <c r="G722" s="186" t="s">
        <v>79</v>
      </c>
      <c r="H722" s="193" t="s">
        <v>2776</v>
      </c>
      <c r="I722" s="194" t="s">
        <v>2952</v>
      </c>
      <c r="J722" s="194" t="s">
        <v>2953</v>
      </c>
      <c r="K722" s="183" t="s">
        <v>38</v>
      </c>
      <c r="L722" s="189"/>
      <c r="M722" s="190"/>
      <c r="N722" s="191"/>
      <c r="O722" s="192"/>
      <c r="P722" s="192"/>
      <c r="Q722" s="192"/>
      <c r="R722" s="192">
        <f t="shared" si="14"/>
        <v>0</v>
      </c>
      <c r="S722" s="183">
        <v>17.45</v>
      </c>
      <c r="T722" s="186" t="s">
        <v>2954</v>
      </c>
    </row>
    <row r="723" spans="1:20" ht="22.5" customHeight="1" x14ac:dyDescent="0.25">
      <c r="A723" s="193" t="s">
        <v>2955</v>
      </c>
      <c r="B723" s="152">
        <v>2026</v>
      </c>
      <c r="C723" s="183" t="s">
        <v>2773</v>
      </c>
      <c r="D723" s="183" t="s">
        <v>2956</v>
      </c>
      <c r="E723" s="184" t="s">
        <v>2957</v>
      </c>
      <c r="F723" s="185" t="s">
        <v>24</v>
      </c>
      <c r="G723" s="186" t="s">
        <v>206</v>
      </c>
      <c r="H723" s="193" t="s">
        <v>2882</v>
      </c>
      <c r="I723" s="193" t="s">
        <v>2882</v>
      </c>
      <c r="J723" s="193" t="s">
        <v>2882</v>
      </c>
      <c r="K723" s="183" t="s">
        <v>27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 t="shared" si="14"/>
        <v>0</v>
      </c>
      <c r="S723" s="183">
        <v>1</v>
      </c>
      <c r="T723" s="186" t="s">
        <v>2958</v>
      </c>
    </row>
    <row r="724" spans="1:20" ht="22.5" customHeight="1" x14ac:dyDescent="0.25">
      <c r="A724" s="193" t="s">
        <v>2959</v>
      </c>
      <c r="B724" s="151">
        <v>2026</v>
      </c>
      <c r="C724" s="183" t="s">
        <v>2773</v>
      </c>
      <c r="D724" s="183" t="s">
        <v>2960</v>
      </c>
      <c r="E724" s="184" t="s">
        <v>2961</v>
      </c>
      <c r="F724" s="185" t="s">
        <v>69</v>
      </c>
      <c r="G724" s="186" t="s">
        <v>79</v>
      </c>
      <c r="H724" s="193" t="s">
        <v>2911</v>
      </c>
      <c r="I724" s="194" t="s">
        <v>2911</v>
      </c>
      <c r="J724" s="194" t="s">
        <v>2911</v>
      </c>
      <c r="K724" s="183" t="s">
        <v>38</v>
      </c>
      <c r="L724" s="189">
        <v>3520</v>
      </c>
      <c r="M724" s="190"/>
      <c r="N724" s="191">
        <v>30</v>
      </c>
      <c r="O724" s="192"/>
      <c r="P724" s="192"/>
      <c r="Q724" s="192"/>
      <c r="R724" s="192">
        <f t="shared" si="14"/>
        <v>0</v>
      </c>
      <c r="S724" s="183">
        <v>4</v>
      </c>
      <c r="T724" s="186" t="s">
        <v>2962</v>
      </c>
    </row>
    <row r="725" spans="1:20" ht="22.5" customHeight="1" x14ac:dyDescent="0.25">
      <c r="A725" s="193" t="s">
        <v>2963</v>
      </c>
      <c r="B725" s="183">
        <v>2026</v>
      </c>
      <c r="C725" s="183"/>
      <c r="D725" s="183"/>
      <c r="E725" s="184"/>
      <c r="F725" s="185"/>
      <c r="G725" s="186"/>
      <c r="H725" s="193"/>
      <c r="I725" s="194"/>
      <c r="J725" s="194"/>
      <c r="K725" s="183"/>
      <c r="L725" s="189"/>
      <c r="M725" s="190"/>
      <c r="N725" s="191"/>
      <c r="O725" s="192"/>
      <c r="P725" s="192"/>
      <c r="Q725" s="192"/>
      <c r="R725" s="192">
        <f t="shared" si="14"/>
        <v>0</v>
      </c>
      <c r="S725" s="183"/>
      <c r="T725" s="186"/>
    </row>
    <row r="726" spans="1:20" ht="22.5" customHeight="1" x14ac:dyDescent="0.25">
      <c r="A726" s="193" t="s">
        <v>2964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 t="shared" si="14"/>
        <v>0</v>
      </c>
      <c r="S726" s="183"/>
      <c r="T726" s="186"/>
    </row>
    <row r="727" spans="1:20" ht="22.5" customHeight="1" x14ac:dyDescent="0.25">
      <c r="A727" s="193" t="s">
        <v>2965</v>
      </c>
      <c r="B727" s="183">
        <v>2026</v>
      </c>
      <c r="C727" s="183"/>
      <c r="D727" s="183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 t="shared" si="14"/>
        <v>0</v>
      </c>
      <c r="S727" s="183"/>
      <c r="T727" s="186"/>
    </row>
    <row r="728" spans="1:20" ht="22.5" customHeight="1" x14ac:dyDescent="0.25">
      <c r="A728" s="193" t="s">
        <v>2966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 t="shared" si="14"/>
        <v>0</v>
      </c>
      <c r="S728" s="183"/>
      <c r="T728" s="186"/>
    </row>
    <row r="729" spans="1:20" ht="22.5" customHeight="1" x14ac:dyDescent="0.25">
      <c r="A729" s="193" t="s">
        <v>2967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 t="shared" si="14"/>
        <v>0</v>
      </c>
      <c r="S729" s="183"/>
      <c r="T729" s="186"/>
    </row>
    <row r="730" spans="1:20" ht="22.5" customHeight="1" x14ac:dyDescent="0.25">
      <c r="A730" s="193"/>
      <c r="B730" s="183"/>
      <c r="C730" s="183"/>
      <c r="D730" s="183"/>
      <c r="E730" s="184"/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 t="shared" si="14"/>
        <v/>
      </c>
      <c r="S730" s="183"/>
      <c r="T730" s="186"/>
    </row>
    <row r="731" spans="1:20" ht="22.5" customHeight="1" x14ac:dyDescent="0.25">
      <c r="A731" s="193"/>
      <c r="B731" s="183"/>
      <c r="C731" s="183"/>
      <c r="D731" s="183"/>
      <c r="E731" s="184"/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 t="shared" si="14"/>
        <v/>
      </c>
      <c r="S731" s="183"/>
      <c r="T731" s="186"/>
    </row>
    <row r="732" spans="1:20" ht="22.5" customHeight="1" x14ac:dyDescent="0.25">
      <c r="A732" s="193"/>
      <c r="B732" s="183"/>
      <c r="C732" s="183"/>
      <c r="D732" s="183"/>
      <c r="E732" s="184"/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 t="shared" si="14"/>
        <v/>
      </c>
      <c r="S732" s="183"/>
      <c r="T732" s="186"/>
    </row>
    <row r="733" spans="1:20" ht="22.5" customHeight="1" x14ac:dyDescent="0.25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 t="shared" si="14"/>
        <v/>
      </c>
      <c r="S733" s="183"/>
      <c r="T733" s="186"/>
    </row>
    <row r="734" spans="1:20" ht="22.5" customHeight="1" x14ac:dyDescent="0.25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 t="shared" si="14"/>
        <v/>
      </c>
      <c r="S734" s="183"/>
      <c r="T734" s="186"/>
    </row>
    <row r="735" spans="1:20" ht="22.5" customHeight="1" x14ac:dyDescent="0.25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 t="shared" si="14"/>
        <v/>
      </c>
      <c r="S735" s="183"/>
      <c r="T735" s="186"/>
    </row>
    <row r="736" spans="1:20" ht="22.5" customHeight="1" x14ac:dyDescent="0.25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 t="shared" si="14"/>
        <v/>
      </c>
      <c r="S736" s="183"/>
      <c r="T736" s="186"/>
    </row>
    <row r="737" spans="1:20" ht="22.5" customHeight="1" x14ac:dyDescent="0.25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 t="shared" si="14"/>
        <v/>
      </c>
      <c r="S737" s="183"/>
      <c r="T737" s="186"/>
    </row>
    <row r="738" spans="1:20" ht="22.5" customHeight="1" x14ac:dyDescent="0.25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 t="shared" si="14"/>
        <v/>
      </c>
      <c r="S738" s="183"/>
      <c r="T738" s="186"/>
    </row>
    <row r="739" spans="1:20" ht="22.5" customHeight="1" x14ac:dyDescent="0.25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 t="shared" si="14"/>
        <v/>
      </c>
      <c r="S739" s="183"/>
      <c r="T739" s="186"/>
    </row>
    <row r="740" spans="1:20" ht="22.5" customHeight="1" x14ac:dyDescent="0.25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 t="shared" si="14"/>
        <v/>
      </c>
      <c r="S740" s="183"/>
      <c r="T740" s="186"/>
    </row>
    <row r="741" spans="1:20" ht="22.5" customHeight="1" x14ac:dyDescent="0.25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 t="shared" si="14"/>
        <v/>
      </c>
      <c r="S741" s="183"/>
      <c r="T741" s="186"/>
    </row>
    <row r="742" spans="1:20" ht="22.5" customHeight="1" x14ac:dyDescent="0.25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 t="shared" si="14"/>
        <v/>
      </c>
      <c r="S742" s="183"/>
      <c r="T742" s="186"/>
    </row>
    <row r="743" spans="1:20" ht="22.5" customHeight="1" x14ac:dyDescent="0.25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 t="shared" si="14"/>
        <v/>
      </c>
      <c r="S743" s="183"/>
      <c r="T743" s="186"/>
    </row>
    <row r="744" spans="1:20" ht="22.5" customHeight="1" x14ac:dyDescent="0.25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 t="shared" si="14"/>
        <v/>
      </c>
      <c r="S744" s="183"/>
      <c r="T744" s="186"/>
    </row>
    <row r="745" spans="1:20" ht="22.5" customHeight="1" x14ac:dyDescent="0.25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 t="shared" si="14"/>
        <v/>
      </c>
      <c r="S745" s="183"/>
      <c r="T745" s="186"/>
    </row>
    <row r="746" spans="1:20" ht="22.5" customHeight="1" x14ac:dyDescent="0.25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 t="shared" si="14"/>
        <v/>
      </c>
      <c r="S746" s="183"/>
      <c r="T746" s="186"/>
    </row>
    <row r="747" spans="1:20" ht="22.5" customHeight="1" x14ac:dyDescent="0.25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 t="shared" si="14"/>
        <v/>
      </c>
      <c r="S747" s="183"/>
      <c r="T747" s="186"/>
    </row>
    <row r="748" spans="1:20" ht="22.5" customHeight="1" x14ac:dyDescent="0.25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 t="shared" si="14"/>
        <v/>
      </c>
      <c r="S748" s="183"/>
      <c r="T748" s="186"/>
    </row>
    <row r="749" spans="1:20" ht="22.5" customHeight="1" x14ac:dyDescent="0.25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 t="shared" si="14"/>
        <v/>
      </c>
      <c r="S749" s="183"/>
      <c r="T749" s="186"/>
    </row>
    <row r="750" spans="1:20" ht="22.5" customHeight="1" x14ac:dyDescent="0.25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22.5" customHeight="1" x14ac:dyDescent="0.25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22.5" customHeight="1" x14ac:dyDescent="0.25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22.5" customHeight="1" x14ac:dyDescent="0.25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22.5" customHeight="1" x14ac:dyDescent="0.25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22.5" customHeight="1" x14ac:dyDescent="0.25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22.5" customHeight="1" x14ac:dyDescent="0.25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22.5" customHeight="1" x14ac:dyDescent="0.25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22.5" customHeight="1" x14ac:dyDescent="0.25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22.5" customHeight="1" x14ac:dyDescent="0.25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22.5" customHeight="1" x14ac:dyDescent="0.25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22.5" customHeight="1" x14ac:dyDescent="0.25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22.5" customHeight="1" x14ac:dyDescent="0.25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22.5" customHeight="1" x14ac:dyDescent="0.25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22.5" customHeight="1" x14ac:dyDescent="0.25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22.5" customHeight="1" x14ac:dyDescent="0.25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22.5" customHeight="1" x14ac:dyDescent="0.25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22.5" customHeight="1" x14ac:dyDescent="0.25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22.5" customHeight="1" x14ac:dyDescent="0.25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22.5" customHeight="1" x14ac:dyDescent="0.25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22.5" customHeight="1" x14ac:dyDescent="0.25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22.5" customHeight="1" x14ac:dyDescent="0.25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22.5" customHeight="1" x14ac:dyDescent="0.25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22.5" customHeight="1" x14ac:dyDescent="0.25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22.5" customHeight="1" x14ac:dyDescent="0.25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22.5" customHeight="1" x14ac:dyDescent="0.25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22.5" customHeight="1" x14ac:dyDescent="0.25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22.5" customHeight="1" x14ac:dyDescent="0.25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22.5" customHeight="1" x14ac:dyDescent="0.25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22.5" customHeight="1" x14ac:dyDescent="0.25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22.5" customHeight="1" x14ac:dyDescent="0.25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22.5" customHeight="1" x14ac:dyDescent="0.25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22.5" customHeight="1" x14ac:dyDescent="0.25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22.5" customHeight="1" x14ac:dyDescent="0.25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22.5" customHeight="1" x14ac:dyDescent="0.25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22.5" customHeight="1" x14ac:dyDescent="0.25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22.5" customHeight="1" x14ac:dyDescent="0.25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22.5" customHeight="1" x14ac:dyDescent="0.25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22.5" customHeight="1" x14ac:dyDescent="0.25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22.5" customHeight="1" x14ac:dyDescent="0.25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22.5" customHeight="1" x14ac:dyDescent="0.25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22.5" customHeight="1" x14ac:dyDescent="0.25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22.5" customHeight="1" x14ac:dyDescent="0.25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22.5" customHeight="1" x14ac:dyDescent="0.25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22.5" customHeight="1" x14ac:dyDescent="0.25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22.5" customHeight="1" x14ac:dyDescent="0.25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22.5" customHeight="1" x14ac:dyDescent="0.25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22.5" customHeight="1" x14ac:dyDescent="0.25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22.5" customHeight="1" x14ac:dyDescent="0.25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22.5" customHeight="1" x14ac:dyDescent="0.25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22.5" customHeight="1" x14ac:dyDescent="0.25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22.5" customHeight="1" x14ac:dyDescent="0.25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22.5" customHeight="1" x14ac:dyDescent="0.25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22.5" customHeight="1" x14ac:dyDescent="0.25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22.5" customHeight="1" x14ac:dyDescent="0.25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22.5" customHeight="1" x14ac:dyDescent="0.25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22.5" customHeight="1" x14ac:dyDescent="0.25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22.5" customHeight="1" x14ac:dyDescent="0.25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22.5" customHeight="1" x14ac:dyDescent="0.25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22.5" customHeight="1" x14ac:dyDescent="0.25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22.5" customHeight="1" x14ac:dyDescent="0.25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22.5" customHeight="1" x14ac:dyDescent="0.25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22.5" customHeight="1" x14ac:dyDescent="0.25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22.5" customHeight="1" x14ac:dyDescent="0.25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22.5" customHeight="1" x14ac:dyDescent="0.25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22.5" customHeight="1" x14ac:dyDescent="0.25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22.5" customHeight="1" x14ac:dyDescent="0.25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22.5" customHeight="1" x14ac:dyDescent="0.25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22.5" customHeight="1" x14ac:dyDescent="0.25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22.5" customHeight="1" x14ac:dyDescent="0.25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22.5" customHeight="1" x14ac:dyDescent="0.25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22.5" customHeight="1" x14ac:dyDescent="0.25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22.5" customHeight="1" x14ac:dyDescent="0.25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22.5" customHeight="1" x14ac:dyDescent="0.25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22.5" customHeight="1" x14ac:dyDescent="0.25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22.5" customHeight="1" x14ac:dyDescent="0.25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22.5" customHeight="1" x14ac:dyDescent="0.25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22.5" customHeight="1" x14ac:dyDescent="0.25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22.5" customHeight="1" x14ac:dyDescent="0.25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22.5" customHeight="1" x14ac:dyDescent="0.25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22.5" customHeight="1" x14ac:dyDescent="0.25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22.5" customHeight="1" x14ac:dyDescent="0.25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22.5" customHeight="1" x14ac:dyDescent="0.25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22.5" customHeight="1" x14ac:dyDescent="0.25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22.5" customHeight="1" x14ac:dyDescent="0.25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22.5" customHeight="1" x14ac:dyDescent="0.25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22.5" customHeight="1" x14ac:dyDescent="0.25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22.5" customHeight="1" x14ac:dyDescent="0.25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22.5" customHeight="1" x14ac:dyDescent="0.25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22.5" customHeight="1" x14ac:dyDescent="0.25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22.5" customHeight="1" x14ac:dyDescent="0.25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22.5" customHeight="1" x14ac:dyDescent="0.25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22.5" customHeight="1" x14ac:dyDescent="0.25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22.5" customHeight="1" x14ac:dyDescent="0.25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22.5" customHeight="1" x14ac:dyDescent="0.25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22.5" customHeight="1" x14ac:dyDescent="0.25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22.5" customHeight="1" x14ac:dyDescent="0.25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22.5" customHeight="1" x14ac:dyDescent="0.25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22.5" customHeight="1" x14ac:dyDescent="0.25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22.5" customHeight="1" x14ac:dyDescent="0.25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22.5" customHeight="1" x14ac:dyDescent="0.25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22.5" customHeight="1" x14ac:dyDescent="0.25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22.5" customHeight="1" x14ac:dyDescent="0.25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22.5" customHeight="1" x14ac:dyDescent="0.25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22.5" customHeight="1" x14ac:dyDescent="0.25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22.5" customHeight="1" x14ac:dyDescent="0.25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22.5" customHeight="1" x14ac:dyDescent="0.25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22.5" customHeight="1" x14ac:dyDescent="0.25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22.5" customHeight="1" x14ac:dyDescent="0.25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22.5" customHeight="1" x14ac:dyDescent="0.25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22.5" customHeight="1" x14ac:dyDescent="0.25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22.5" customHeight="1" x14ac:dyDescent="0.25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22.5" customHeight="1" x14ac:dyDescent="0.25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22.5" customHeight="1" x14ac:dyDescent="0.25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22.5" customHeight="1" x14ac:dyDescent="0.25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22.5" customHeight="1" x14ac:dyDescent="0.25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22.5" customHeight="1" x14ac:dyDescent="0.25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22.5" customHeight="1" x14ac:dyDescent="0.25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22.5" customHeight="1" x14ac:dyDescent="0.25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22.5" customHeight="1" x14ac:dyDescent="0.25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22.5" customHeight="1" x14ac:dyDescent="0.25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22.5" customHeight="1" x14ac:dyDescent="0.25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22.5" customHeight="1" x14ac:dyDescent="0.25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22.5" customHeight="1" x14ac:dyDescent="0.25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22.5" customHeight="1" x14ac:dyDescent="0.25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22.5" customHeight="1" x14ac:dyDescent="0.25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22.5" customHeight="1" x14ac:dyDescent="0.25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22.5" customHeight="1" x14ac:dyDescent="0.25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22.5" customHeight="1" x14ac:dyDescent="0.25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22.5" customHeight="1" x14ac:dyDescent="0.25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22.5" customHeight="1" x14ac:dyDescent="0.25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22.5" customHeight="1" x14ac:dyDescent="0.25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22.5" customHeight="1" x14ac:dyDescent="0.25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22.5" customHeight="1" x14ac:dyDescent="0.25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22.5" customHeight="1" x14ac:dyDescent="0.25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22.5" customHeight="1" x14ac:dyDescent="0.25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22.5" customHeight="1" x14ac:dyDescent="0.25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22.5" customHeight="1" x14ac:dyDescent="0.25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22.5" customHeight="1" x14ac:dyDescent="0.25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22.5" customHeight="1" x14ac:dyDescent="0.25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22.5" customHeight="1" x14ac:dyDescent="0.25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22.5" customHeight="1" x14ac:dyDescent="0.25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22.5" customHeight="1" x14ac:dyDescent="0.25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22.5" customHeight="1" x14ac:dyDescent="0.25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22.5" customHeight="1" x14ac:dyDescent="0.25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22.5" customHeight="1" x14ac:dyDescent="0.25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22.5" customHeight="1" x14ac:dyDescent="0.25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22.5" customHeight="1" x14ac:dyDescent="0.25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22.5" customHeight="1" x14ac:dyDescent="0.25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22.5" customHeight="1" x14ac:dyDescent="0.25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22.5" customHeight="1" x14ac:dyDescent="0.25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22.5" customHeight="1" x14ac:dyDescent="0.25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22.5" customHeight="1" x14ac:dyDescent="0.25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22.5" customHeight="1" x14ac:dyDescent="0.25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22.5" customHeight="1" x14ac:dyDescent="0.25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22.5" customHeight="1" x14ac:dyDescent="0.25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22.5" customHeight="1" x14ac:dyDescent="0.25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22.5" customHeight="1" x14ac:dyDescent="0.25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22.5" customHeight="1" x14ac:dyDescent="0.25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22.5" customHeight="1" x14ac:dyDescent="0.25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22.5" customHeight="1" x14ac:dyDescent="0.25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22.5" customHeight="1" x14ac:dyDescent="0.25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22.5" customHeight="1" x14ac:dyDescent="0.25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22.5" customHeight="1" x14ac:dyDescent="0.25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22.5" customHeight="1" x14ac:dyDescent="0.25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22.5" customHeight="1" x14ac:dyDescent="0.25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22.5" customHeight="1" x14ac:dyDescent="0.25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22.5" customHeight="1" x14ac:dyDescent="0.25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22.5" customHeight="1" x14ac:dyDescent="0.25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22.5" customHeight="1" x14ac:dyDescent="0.25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22.5" customHeight="1" x14ac:dyDescent="0.25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22.5" customHeight="1" x14ac:dyDescent="0.25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22.5" customHeight="1" x14ac:dyDescent="0.25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22.5" customHeight="1" x14ac:dyDescent="0.25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22.5" customHeight="1" x14ac:dyDescent="0.25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22.5" customHeight="1" x14ac:dyDescent="0.25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22.5" customHeight="1" x14ac:dyDescent="0.25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22.5" customHeight="1" x14ac:dyDescent="0.25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22.5" customHeight="1" x14ac:dyDescent="0.25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22.5" customHeight="1" x14ac:dyDescent="0.25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22.5" customHeight="1" x14ac:dyDescent="0.25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22.5" customHeight="1" x14ac:dyDescent="0.25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22.5" customHeight="1" x14ac:dyDescent="0.25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22.5" customHeight="1" x14ac:dyDescent="0.25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22.5" customHeight="1" x14ac:dyDescent="0.25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22.5" customHeight="1" x14ac:dyDescent="0.25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22.5" customHeight="1" x14ac:dyDescent="0.25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22.5" customHeight="1" x14ac:dyDescent="0.25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22.5" customHeight="1" x14ac:dyDescent="0.25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22.5" customHeight="1" x14ac:dyDescent="0.25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22.5" customHeight="1" x14ac:dyDescent="0.25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22.5" customHeight="1" x14ac:dyDescent="0.25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22.5" customHeight="1" x14ac:dyDescent="0.25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22.5" customHeight="1" x14ac:dyDescent="0.25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22.5" customHeight="1" x14ac:dyDescent="0.25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22.5" customHeight="1" x14ac:dyDescent="0.25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22.5" customHeight="1" x14ac:dyDescent="0.25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22.5" customHeight="1" x14ac:dyDescent="0.25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22.5" customHeight="1" x14ac:dyDescent="0.25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22.5" customHeight="1" x14ac:dyDescent="0.25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22.5" customHeight="1" x14ac:dyDescent="0.25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22.5" customHeight="1" x14ac:dyDescent="0.25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22.5" customHeight="1" x14ac:dyDescent="0.25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22.5" customHeight="1" x14ac:dyDescent="0.25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22.5" customHeight="1" x14ac:dyDescent="0.25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22.5" customHeight="1" x14ac:dyDescent="0.25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22.5" customHeight="1" x14ac:dyDescent="0.25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22.5" customHeight="1" x14ac:dyDescent="0.25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22.5" customHeight="1" x14ac:dyDescent="0.25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22.5" customHeight="1" x14ac:dyDescent="0.25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22.5" customHeight="1" x14ac:dyDescent="0.25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22.5" customHeight="1" x14ac:dyDescent="0.25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22.5" customHeight="1" x14ac:dyDescent="0.25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22.5" customHeight="1" x14ac:dyDescent="0.25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22.5" customHeight="1" x14ac:dyDescent="0.25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22.5" customHeight="1" x14ac:dyDescent="0.25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22.5" customHeight="1" x14ac:dyDescent="0.25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22.5" customHeight="1" x14ac:dyDescent="0.25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22.5" customHeight="1" x14ac:dyDescent="0.25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22.5" customHeight="1" x14ac:dyDescent="0.25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22.5" customHeight="1" x14ac:dyDescent="0.25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22.5" customHeight="1" x14ac:dyDescent="0.25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22.5" customHeight="1" x14ac:dyDescent="0.25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22.5" customHeight="1" x14ac:dyDescent="0.25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22.5" customHeight="1" x14ac:dyDescent="0.25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22.5" customHeight="1" x14ac:dyDescent="0.25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22.5" customHeight="1" x14ac:dyDescent="0.25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22.5" customHeight="1" x14ac:dyDescent="0.25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22.5" customHeight="1" x14ac:dyDescent="0.25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22.5" customHeight="1" x14ac:dyDescent="0.25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22.5" customHeight="1" x14ac:dyDescent="0.25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22.5" customHeight="1" x14ac:dyDescent="0.25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22.5" customHeight="1" x14ac:dyDescent="0.25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22.5" customHeight="1" x14ac:dyDescent="0.25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22.5" customHeight="1" x14ac:dyDescent="0.25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22.5" customHeight="1" x14ac:dyDescent="0.25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22.5" customHeight="1" x14ac:dyDescent="0.25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22.5" customHeight="1" x14ac:dyDescent="0.25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22.5" customHeight="1" x14ac:dyDescent="0.25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22.5" customHeight="1" x14ac:dyDescent="0.25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22.5" customHeight="1" x14ac:dyDescent="0.25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22.5" customHeight="1" x14ac:dyDescent="0.25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22.5" customHeight="1" x14ac:dyDescent="0.25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22.5" customHeight="1" x14ac:dyDescent="0.25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22.5" customHeight="1" x14ac:dyDescent="0.25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22.5" customHeight="1" x14ac:dyDescent="0.25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22.5" customHeight="1" x14ac:dyDescent="0.25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22.5" customHeight="1" x14ac:dyDescent="0.25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22.5" customHeight="1" x14ac:dyDescent="0.25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22.5" customHeight="1" x14ac:dyDescent="0.25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22.5" customHeight="1" x14ac:dyDescent="0.25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22.5" customHeight="1" x14ac:dyDescent="0.25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22.5" customHeight="1" x14ac:dyDescent="0.25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22.5" customHeight="1" x14ac:dyDescent="0.25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22.5" customHeight="1" x14ac:dyDescent="0.25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22.5" customHeight="1" x14ac:dyDescent="0.25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22.5" customHeight="1" x14ac:dyDescent="0.25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22.5" customHeight="1" x14ac:dyDescent="0.25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22.5" customHeight="1" x14ac:dyDescent="0.25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22.5" customHeight="1" x14ac:dyDescent="0.25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22.5" customHeight="1" x14ac:dyDescent="0.25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22.5" customHeight="1" x14ac:dyDescent="0.25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22.5" customHeight="1" x14ac:dyDescent="0.25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22.5" customHeight="1" x14ac:dyDescent="0.25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22.5" customHeight="1" x14ac:dyDescent="0.25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22.5" customHeight="1" x14ac:dyDescent="0.25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22.5" customHeight="1" x14ac:dyDescent="0.25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22.5" customHeight="1" x14ac:dyDescent="0.25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22.5" customHeight="1" x14ac:dyDescent="0.25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22.5" customHeight="1" x14ac:dyDescent="0.25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22.5" customHeight="1" x14ac:dyDescent="0.25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22.5" customHeight="1" x14ac:dyDescent="0.25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22.5" customHeight="1" x14ac:dyDescent="0.25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22.5" customHeight="1" x14ac:dyDescent="0.25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22.5" customHeight="1" x14ac:dyDescent="0.25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22.5" customHeight="1" x14ac:dyDescent="0.25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22.5" customHeight="1" x14ac:dyDescent="0.25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22.5" customHeight="1" x14ac:dyDescent="0.25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22.5" customHeight="1" x14ac:dyDescent="0.25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22.5" customHeight="1" x14ac:dyDescent="0.25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22.5" customHeight="1" x14ac:dyDescent="0.25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22.5" customHeight="1" x14ac:dyDescent="0.25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22.5" customHeight="1" x14ac:dyDescent="0.25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22.5" customHeight="1" x14ac:dyDescent="0.25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22.5" customHeight="1" x14ac:dyDescent="0.25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22.5" customHeight="1" x14ac:dyDescent="0.25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22.5" customHeight="1" x14ac:dyDescent="0.25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22.5" customHeight="1" x14ac:dyDescent="0.25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22.5" customHeight="1" x14ac:dyDescent="0.25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22.5" customHeight="1" x14ac:dyDescent="0.25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22.5" customHeight="1" x14ac:dyDescent="0.25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22.5" customHeight="1" x14ac:dyDescent="0.25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22.5" customHeight="1" x14ac:dyDescent="0.25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22.5" customHeight="1" x14ac:dyDescent="0.25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22.5" customHeight="1" x14ac:dyDescent="0.25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22.5" customHeight="1" x14ac:dyDescent="0.25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22.5" customHeight="1" x14ac:dyDescent="0.25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22.5" customHeight="1" x14ac:dyDescent="0.25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22.5" customHeight="1" x14ac:dyDescent="0.25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22.5" customHeight="1" x14ac:dyDescent="0.25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22.5" customHeight="1" x14ac:dyDescent="0.25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22.5" customHeight="1" x14ac:dyDescent="0.25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22.5" customHeight="1" x14ac:dyDescent="0.25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22.5" customHeight="1" x14ac:dyDescent="0.25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22.5" customHeight="1" x14ac:dyDescent="0.25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22.5" customHeight="1" x14ac:dyDescent="0.25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22.5" customHeight="1" x14ac:dyDescent="0.25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22.5" customHeight="1" x14ac:dyDescent="0.25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22.5" customHeight="1" x14ac:dyDescent="0.25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22.5" customHeight="1" x14ac:dyDescent="0.25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22.5" customHeight="1" x14ac:dyDescent="0.25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22.5" customHeight="1" x14ac:dyDescent="0.25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22.5" customHeight="1" x14ac:dyDescent="0.25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22.5" customHeight="1" x14ac:dyDescent="0.25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22.5" customHeight="1" x14ac:dyDescent="0.25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22.5" customHeight="1" x14ac:dyDescent="0.25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22.5" customHeight="1" x14ac:dyDescent="0.25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22.5" customHeight="1" x14ac:dyDescent="0.25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22.5" customHeight="1" x14ac:dyDescent="0.25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22.5" customHeight="1" x14ac:dyDescent="0.25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22.5" customHeight="1" x14ac:dyDescent="0.25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22.5" customHeight="1" x14ac:dyDescent="0.25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22.5" customHeight="1" x14ac:dyDescent="0.25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22.5" customHeight="1" x14ac:dyDescent="0.25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22.5" customHeight="1" x14ac:dyDescent="0.25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22.5" customHeight="1" x14ac:dyDescent="0.25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22.5" customHeight="1" x14ac:dyDescent="0.25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22.5" customHeight="1" x14ac:dyDescent="0.25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22.5" customHeight="1" x14ac:dyDescent="0.25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22.5" customHeight="1" x14ac:dyDescent="0.25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22.5" customHeight="1" x14ac:dyDescent="0.25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22.5" customHeight="1" x14ac:dyDescent="0.25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22.5" customHeight="1" x14ac:dyDescent="0.25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22.5" customHeight="1" x14ac:dyDescent="0.25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22.5" customHeight="1" x14ac:dyDescent="0.25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22.5" customHeight="1" x14ac:dyDescent="0.25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22.5" customHeight="1" x14ac:dyDescent="0.25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22.5" customHeight="1" x14ac:dyDescent="0.25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22.5" customHeight="1" x14ac:dyDescent="0.25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22.5" customHeight="1" x14ac:dyDescent="0.25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22.5" customHeight="1" x14ac:dyDescent="0.25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22.5" customHeight="1" x14ac:dyDescent="0.25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22.5" customHeight="1" x14ac:dyDescent="0.25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22.5" customHeight="1" x14ac:dyDescent="0.25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22.5" customHeight="1" x14ac:dyDescent="0.25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22.5" customHeight="1" x14ac:dyDescent="0.25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22.5" customHeight="1" x14ac:dyDescent="0.25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22.5" customHeight="1" x14ac:dyDescent="0.25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22.5" customHeight="1" x14ac:dyDescent="0.25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22.5" customHeight="1" x14ac:dyDescent="0.25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22.5" customHeight="1" x14ac:dyDescent="0.25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22.5" customHeight="1" x14ac:dyDescent="0.25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22.5" customHeight="1" x14ac:dyDescent="0.25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22.5" customHeight="1" x14ac:dyDescent="0.25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22.5" customHeight="1" x14ac:dyDescent="0.25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22.5" customHeight="1" x14ac:dyDescent="0.25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22.5" customHeight="1" x14ac:dyDescent="0.25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22.5" customHeight="1" x14ac:dyDescent="0.25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22.5" customHeight="1" x14ac:dyDescent="0.25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22.5" customHeight="1" x14ac:dyDescent="0.25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22.5" customHeight="1" x14ac:dyDescent="0.25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22.5" customHeight="1" x14ac:dyDescent="0.25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22.5" customHeight="1" x14ac:dyDescent="0.25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22.5" customHeight="1" x14ac:dyDescent="0.25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22.5" customHeight="1" x14ac:dyDescent="0.25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22.5" customHeight="1" x14ac:dyDescent="0.25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22.5" customHeight="1" x14ac:dyDescent="0.25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22.5" customHeight="1" x14ac:dyDescent="0.25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22.5" customHeight="1" x14ac:dyDescent="0.25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22.5" customHeight="1" x14ac:dyDescent="0.25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22.5" customHeight="1" x14ac:dyDescent="0.25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22.5" customHeight="1" x14ac:dyDescent="0.25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22.5" customHeight="1" x14ac:dyDescent="0.25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22.5" customHeight="1" x14ac:dyDescent="0.25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22.5" customHeight="1" x14ac:dyDescent="0.25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22.5" customHeight="1" x14ac:dyDescent="0.25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22.5" customHeight="1" x14ac:dyDescent="0.25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22.5" customHeight="1" x14ac:dyDescent="0.25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22.5" customHeight="1" x14ac:dyDescent="0.25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22.5" customHeight="1" x14ac:dyDescent="0.25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22.5" customHeight="1" x14ac:dyDescent="0.25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22.5" customHeight="1" x14ac:dyDescent="0.25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22.5" customHeight="1" x14ac:dyDescent="0.25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22.5" customHeight="1" x14ac:dyDescent="0.25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22.5" customHeight="1" x14ac:dyDescent="0.25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22.5" customHeight="1" x14ac:dyDescent="0.25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22.5" customHeight="1" x14ac:dyDescent="0.25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22.5" customHeight="1" x14ac:dyDescent="0.25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22.5" customHeight="1" x14ac:dyDescent="0.25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22.5" customHeight="1" x14ac:dyDescent="0.25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22.5" customHeight="1" x14ac:dyDescent="0.25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22.5" customHeight="1" x14ac:dyDescent="0.25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22.5" customHeight="1" x14ac:dyDescent="0.25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22.5" customHeight="1" x14ac:dyDescent="0.25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22.5" customHeight="1" x14ac:dyDescent="0.25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22.5" customHeight="1" x14ac:dyDescent="0.25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22.5" customHeight="1" x14ac:dyDescent="0.25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22.5" customHeight="1" x14ac:dyDescent="0.25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22.5" customHeight="1" x14ac:dyDescent="0.25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22.5" customHeight="1" x14ac:dyDescent="0.25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22.5" customHeight="1" x14ac:dyDescent="0.25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22.5" customHeight="1" x14ac:dyDescent="0.25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22.5" customHeight="1" x14ac:dyDescent="0.25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22.5" customHeight="1" x14ac:dyDescent="0.25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22.5" customHeight="1" x14ac:dyDescent="0.25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22.5" customHeight="1" x14ac:dyDescent="0.25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22.5" customHeight="1" x14ac:dyDescent="0.25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22.5" customHeight="1" x14ac:dyDescent="0.25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22.5" customHeight="1" x14ac:dyDescent="0.25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22.5" customHeight="1" x14ac:dyDescent="0.25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22.5" customHeight="1" x14ac:dyDescent="0.25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22.5" customHeight="1" x14ac:dyDescent="0.25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22.5" customHeight="1" x14ac:dyDescent="0.25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22.5" customHeight="1" x14ac:dyDescent="0.25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22.5" customHeight="1" x14ac:dyDescent="0.25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22.5" customHeight="1" x14ac:dyDescent="0.25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22.5" customHeight="1" x14ac:dyDescent="0.25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22.5" customHeight="1" x14ac:dyDescent="0.25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22.5" customHeight="1" x14ac:dyDescent="0.25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22.5" customHeight="1" x14ac:dyDescent="0.25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22.5" customHeight="1" x14ac:dyDescent="0.25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22.5" customHeight="1" x14ac:dyDescent="0.25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22.5" customHeight="1" x14ac:dyDescent="0.25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22.5" customHeight="1" x14ac:dyDescent="0.25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22.5" customHeight="1" x14ac:dyDescent="0.25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22.5" customHeight="1" x14ac:dyDescent="0.25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22.5" customHeight="1" x14ac:dyDescent="0.25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22.5" customHeight="1" x14ac:dyDescent="0.25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22.5" customHeight="1" x14ac:dyDescent="0.25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22.5" customHeight="1" x14ac:dyDescent="0.25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22.5" customHeight="1" x14ac:dyDescent="0.25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22.5" customHeight="1" x14ac:dyDescent="0.25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22.5" customHeight="1" x14ac:dyDescent="0.25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22.5" customHeight="1" x14ac:dyDescent="0.25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22.5" customHeight="1" x14ac:dyDescent="0.25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22.5" customHeight="1" x14ac:dyDescent="0.25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22.5" customHeight="1" x14ac:dyDescent="0.25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22.5" customHeight="1" x14ac:dyDescent="0.25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22.5" customHeight="1" x14ac:dyDescent="0.25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22.5" customHeight="1" x14ac:dyDescent="0.25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22.5" customHeight="1" x14ac:dyDescent="0.25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22.5" customHeight="1" x14ac:dyDescent="0.25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22.5" customHeight="1" x14ac:dyDescent="0.25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22.5" customHeight="1" x14ac:dyDescent="0.25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22.5" customHeight="1" x14ac:dyDescent="0.25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22.5" customHeight="1" x14ac:dyDescent="0.25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22.5" customHeight="1" x14ac:dyDescent="0.25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22.5" customHeight="1" x14ac:dyDescent="0.25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22.5" customHeight="1" x14ac:dyDescent="0.25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22.5" customHeight="1" x14ac:dyDescent="0.25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22.5" customHeight="1" x14ac:dyDescent="0.25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22.5" customHeight="1" x14ac:dyDescent="0.25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22.5" customHeight="1" x14ac:dyDescent="0.25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22.5" customHeight="1" x14ac:dyDescent="0.25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22.5" customHeight="1" x14ac:dyDescent="0.25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22.5" customHeight="1" x14ac:dyDescent="0.25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22.5" customHeight="1" x14ac:dyDescent="0.25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22.5" customHeight="1" x14ac:dyDescent="0.25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22.5" customHeight="1" x14ac:dyDescent="0.25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22.5" customHeight="1" x14ac:dyDescent="0.25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22.5" customHeight="1" x14ac:dyDescent="0.25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22.5" customHeight="1" x14ac:dyDescent="0.25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22.5" customHeight="1" x14ac:dyDescent="0.25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22.5" customHeight="1" x14ac:dyDescent="0.25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22.5" customHeight="1" x14ac:dyDescent="0.25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22.5" customHeight="1" x14ac:dyDescent="0.25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22.5" customHeight="1" x14ac:dyDescent="0.25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22.5" customHeight="1" x14ac:dyDescent="0.25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22.5" customHeight="1" x14ac:dyDescent="0.25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22.5" customHeight="1" x14ac:dyDescent="0.25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22.5" customHeight="1" x14ac:dyDescent="0.25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22.5" customHeight="1" x14ac:dyDescent="0.25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22.5" customHeight="1" x14ac:dyDescent="0.25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22.5" customHeight="1" x14ac:dyDescent="0.25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22.5" customHeight="1" x14ac:dyDescent="0.25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22.5" customHeight="1" x14ac:dyDescent="0.25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22.5" customHeight="1" x14ac:dyDescent="0.25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22.5" customHeight="1" x14ac:dyDescent="0.25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22.5" customHeight="1" x14ac:dyDescent="0.25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22.5" customHeight="1" x14ac:dyDescent="0.25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22.5" customHeight="1" x14ac:dyDescent="0.25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22.5" customHeight="1" x14ac:dyDescent="0.25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22.5" customHeight="1" x14ac:dyDescent="0.25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22.5" customHeight="1" x14ac:dyDescent="0.25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22.5" customHeight="1" x14ac:dyDescent="0.25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22.5" customHeight="1" x14ac:dyDescent="0.25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22.5" customHeight="1" x14ac:dyDescent="0.25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22.5" customHeight="1" x14ac:dyDescent="0.25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22.5" customHeight="1" x14ac:dyDescent="0.25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22.5" customHeight="1" x14ac:dyDescent="0.25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22.5" customHeight="1" x14ac:dyDescent="0.25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22.5" customHeight="1" x14ac:dyDescent="0.25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22.5" customHeight="1" x14ac:dyDescent="0.25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22.5" customHeight="1" x14ac:dyDescent="0.25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22.5" customHeight="1" x14ac:dyDescent="0.25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22.5" customHeight="1" x14ac:dyDescent="0.25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22.5" customHeight="1" x14ac:dyDescent="0.25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22.5" customHeight="1" x14ac:dyDescent="0.25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22.5" customHeight="1" x14ac:dyDescent="0.25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22.5" customHeight="1" x14ac:dyDescent="0.25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22.5" customHeight="1" x14ac:dyDescent="0.25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22.5" customHeight="1" x14ac:dyDescent="0.25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22.5" customHeight="1" x14ac:dyDescent="0.25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22.5" customHeight="1" x14ac:dyDescent="0.25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22.5" customHeight="1" x14ac:dyDescent="0.25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22.5" customHeight="1" x14ac:dyDescent="0.25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22.5" customHeight="1" x14ac:dyDescent="0.25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22.5" customHeight="1" x14ac:dyDescent="0.25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22.5" customHeight="1" x14ac:dyDescent="0.25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22.5" customHeight="1" x14ac:dyDescent="0.25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22.5" customHeight="1" x14ac:dyDescent="0.25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22.5" customHeight="1" x14ac:dyDescent="0.25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22.5" customHeight="1" x14ac:dyDescent="0.25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22.5" customHeight="1" x14ac:dyDescent="0.25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22.5" customHeight="1" x14ac:dyDescent="0.25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22.5" customHeight="1" x14ac:dyDescent="0.25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22.5" customHeight="1" x14ac:dyDescent="0.25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22.5" customHeight="1" x14ac:dyDescent="0.25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22.5" customHeight="1" x14ac:dyDescent="0.25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22.5" customHeight="1" x14ac:dyDescent="0.25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22.5" customHeight="1" x14ac:dyDescent="0.25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22.5" customHeight="1" x14ac:dyDescent="0.25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22.5" customHeight="1" x14ac:dyDescent="0.25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22.5" customHeight="1" x14ac:dyDescent="0.25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22.5" customHeight="1" x14ac:dyDescent="0.25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22.5" customHeight="1" x14ac:dyDescent="0.25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22.5" customHeight="1" x14ac:dyDescent="0.25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22.5" customHeight="1" x14ac:dyDescent="0.25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22.5" customHeight="1" x14ac:dyDescent="0.25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22.5" customHeight="1" x14ac:dyDescent="0.25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22.5" customHeight="1" x14ac:dyDescent="0.25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22.5" customHeight="1" x14ac:dyDescent="0.25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22.5" customHeight="1" x14ac:dyDescent="0.25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22.5" customHeight="1" x14ac:dyDescent="0.25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22.5" customHeight="1" x14ac:dyDescent="0.25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22.5" customHeight="1" x14ac:dyDescent="0.25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22.5" customHeight="1" x14ac:dyDescent="0.25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22.5" customHeight="1" x14ac:dyDescent="0.25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22.5" customHeight="1" x14ac:dyDescent="0.25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22.5" customHeight="1" x14ac:dyDescent="0.25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22.5" customHeight="1" x14ac:dyDescent="0.25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22.5" customHeight="1" x14ac:dyDescent="0.25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22.5" customHeight="1" x14ac:dyDescent="0.25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22.5" customHeight="1" x14ac:dyDescent="0.25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22.5" customHeight="1" x14ac:dyDescent="0.25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22.5" customHeight="1" x14ac:dyDescent="0.25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22.5" customHeight="1" x14ac:dyDescent="0.25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22.5" customHeight="1" x14ac:dyDescent="0.25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22.5" customHeight="1" x14ac:dyDescent="0.25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22.5" customHeight="1" x14ac:dyDescent="0.25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22.5" customHeight="1" x14ac:dyDescent="0.25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22.5" customHeight="1" x14ac:dyDescent="0.25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22.5" customHeight="1" x14ac:dyDescent="0.25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22.5" customHeight="1" x14ac:dyDescent="0.25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22.5" customHeight="1" x14ac:dyDescent="0.25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22.5" customHeight="1" x14ac:dyDescent="0.25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22.5" customHeight="1" x14ac:dyDescent="0.25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22.5" customHeight="1" x14ac:dyDescent="0.25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22.5" customHeight="1" x14ac:dyDescent="0.25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22.5" customHeight="1" x14ac:dyDescent="0.25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22.5" customHeight="1" x14ac:dyDescent="0.25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22.5" customHeight="1" x14ac:dyDescent="0.25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22.5" customHeight="1" x14ac:dyDescent="0.25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22.5" customHeight="1" x14ac:dyDescent="0.25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22.5" customHeight="1" x14ac:dyDescent="0.25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22.5" customHeight="1" x14ac:dyDescent="0.25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22.5" customHeight="1" x14ac:dyDescent="0.25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22.5" customHeight="1" x14ac:dyDescent="0.25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22.5" customHeight="1" x14ac:dyDescent="0.25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22.5" customHeight="1" x14ac:dyDescent="0.25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22.5" customHeight="1" x14ac:dyDescent="0.25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22.5" customHeight="1" x14ac:dyDescent="0.25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22.5" customHeight="1" x14ac:dyDescent="0.25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22.5" customHeight="1" x14ac:dyDescent="0.25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22.5" customHeight="1" x14ac:dyDescent="0.25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22.5" customHeight="1" x14ac:dyDescent="0.25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22.5" customHeight="1" x14ac:dyDescent="0.25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22.5" customHeight="1" x14ac:dyDescent="0.25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22.5" customHeight="1" x14ac:dyDescent="0.25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22.5" customHeight="1" x14ac:dyDescent="0.25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22.5" customHeight="1" x14ac:dyDescent="0.25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22.5" customHeight="1" x14ac:dyDescent="0.25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22.5" customHeight="1" x14ac:dyDescent="0.25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22.5" customHeight="1" x14ac:dyDescent="0.25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22.5" customHeight="1" x14ac:dyDescent="0.25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22.5" customHeight="1" x14ac:dyDescent="0.25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22.5" customHeight="1" x14ac:dyDescent="0.25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22.5" customHeight="1" x14ac:dyDescent="0.25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22.5" customHeight="1" x14ac:dyDescent="0.25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22.5" customHeight="1" x14ac:dyDescent="0.25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22.5" customHeight="1" x14ac:dyDescent="0.25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22.5" customHeight="1" x14ac:dyDescent="0.25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22.5" customHeight="1" x14ac:dyDescent="0.25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22.5" customHeight="1" x14ac:dyDescent="0.25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22.5" customHeight="1" x14ac:dyDescent="0.25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22.5" customHeight="1" x14ac:dyDescent="0.25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22.5" customHeight="1" x14ac:dyDescent="0.25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22.5" customHeight="1" x14ac:dyDescent="0.25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22.5" customHeight="1" x14ac:dyDescent="0.25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22.5" customHeight="1" x14ac:dyDescent="0.25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22.5" customHeight="1" x14ac:dyDescent="0.25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22.5" customHeight="1" x14ac:dyDescent="0.25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22.5" customHeight="1" x14ac:dyDescent="0.25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22.5" customHeight="1" x14ac:dyDescent="0.25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22.5" customHeight="1" x14ac:dyDescent="0.25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22.5" customHeight="1" x14ac:dyDescent="0.25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22.5" customHeight="1" x14ac:dyDescent="0.25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22.5" customHeight="1" x14ac:dyDescent="0.25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22.5" customHeight="1" x14ac:dyDescent="0.25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22.5" customHeight="1" x14ac:dyDescent="0.25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22.5" customHeight="1" x14ac:dyDescent="0.25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22.5" customHeight="1" x14ac:dyDescent="0.25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22.5" customHeight="1" x14ac:dyDescent="0.25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22.5" customHeight="1" x14ac:dyDescent="0.25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22.5" customHeight="1" x14ac:dyDescent="0.25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22.5" customHeight="1" x14ac:dyDescent="0.25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22.5" customHeight="1" x14ac:dyDescent="0.25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22.5" customHeight="1" x14ac:dyDescent="0.25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22.5" customHeight="1" x14ac:dyDescent="0.25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22.5" customHeight="1" x14ac:dyDescent="0.25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22.5" customHeight="1" x14ac:dyDescent="0.25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22.5" customHeight="1" x14ac:dyDescent="0.25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22.5" customHeight="1" x14ac:dyDescent="0.25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22.5" customHeight="1" x14ac:dyDescent="0.25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22.5" customHeight="1" x14ac:dyDescent="0.25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22.5" customHeight="1" x14ac:dyDescent="0.25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22.5" customHeight="1" x14ac:dyDescent="0.25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22.5" customHeight="1" x14ac:dyDescent="0.25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22.5" customHeight="1" x14ac:dyDescent="0.25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22.5" customHeight="1" x14ac:dyDescent="0.25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22.5" customHeight="1" x14ac:dyDescent="0.25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22.5" customHeight="1" x14ac:dyDescent="0.25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22.5" customHeight="1" x14ac:dyDescent="0.25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22.5" customHeight="1" x14ac:dyDescent="0.25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22.5" customHeight="1" x14ac:dyDescent="0.25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22.5" customHeight="1" x14ac:dyDescent="0.25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22.5" customHeight="1" x14ac:dyDescent="0.25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22.5" customHeight="1" x14ac:dyDescent="0.25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22.5" customHeight="1" x14ac:dyDescent="0.25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22.5" customHeight="1" x14ac:dyDescent="0.25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22.5" customHeight="1" x14ac:dyDescent="0.25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22.5" customHeight="1" x14ac:dyDescent="0.25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22.5" customHeight="1" x14ac:dyDescent="0.25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22.5" customHeight="1" x14ac:dyDescent="0.25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22.5" customHeight="1" x14ac:dyDescent="0.25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22.5" customHeight="1" x14ac:dyDescent="0.25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22.5" customHeight="1" x14ac:dyDescent="0.25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22.5" customHeight="1" x14ac:dyDescent="0.25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22.5" customHeight="1" x14ac:dyDescent="0.25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22.5" customHeight="1" x14ac:dyDescent="0.25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22.5" customHeight="1" x14ac:dyDescent="0.25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22.5" customHeight="1" x14ac:dyDescent="0.25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22.5" customHeight="1" x14ac:dyDescent="0.25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22.5" customHeight="1" x14ac:dyDescent="0.25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22.5" customHeight="1" x14ac:dyDescent="0.25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22.5" customHeight="1" x14ac:dyDescent="0.25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22.5" customHeight="1" x14ac:dyDescent="0.25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22.5" customHeight="1" x14ac:dyDescent="0.25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22.5" customHeight="1" x14ac:dyDescent="0.25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22.5" customHeight="1" x14ac:dyDescent="0.25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22.5" customHeight="1" x14ac:dyDescent="0.25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22.5" customHeight="1" x14ac:dyDescent="0.25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22.5" customHeight="1" x14ac:dyDescent="0.25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22.5" customHeight="1" x14ac:dyDescent="0.25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22.5" customHeight="1" x14ac:dyDescent="0.25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22.5" customHeight="1" x14ac:dyDescent="0.25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22.5" customHeight="1" x14ac:dyDescent="0.25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22.5" customHeight="1" x14ac:dyDescent="0.25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22.5" customHeight="1" x14ac:dyDescent="0.25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22.5" customHeight="1" x14ac:dyDescent="0.25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22.5" customHeight="1" x14ac:dyDescent="0.25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22.5" customHeight="1" x14ac:dyDescent="0.25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22.5" customHeight="1" x14ac:dyDescent="0.25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22.5" customHeight="1" x14ac:dyDescent="0.25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22.5" customHeight="1" x14ac:dyDescent="0.25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22.5" customHeight="1" x14ac:dyDescent="0.25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22.5" customHeight="1" x14ac:dyDescent="0.25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22.5" customHeight="1" x14ac:dyDescent="0.25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22.5" customHeight="1" x14ac:dyDescent="0.25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22.5" customHeight="1" x14ac:dyDescent="0.25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22.5" customHeight="1" x14ac:dyDescent="0.25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22.5" customHeight="1" x14ac:dyDescent="0.25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22.5" customHeight="1" x14ac:dyDescent="0.25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22.5" customHeight="1" x14ac:dyDescent="0.25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22.5" customHeight="1" x14ac:dyDescent="0.25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22.5" customHeight="1" x14ac:dyDescent="0.25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22.5" customHeight="1" x14ac:dyDescent="0.25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22.5" customHeight="1" x14ac:dyDescent="0.25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22.5" customHeight="1" x14ac:dyDescent="0.25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22.5" customHeight="1" x14ac:dyDescent="0.25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22.5" customHeight="1" x14ac:dyDescent="0.25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22.5" customHeight="1" x14ac:dyDescent="0.25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22.5" customHeight="1" x14ac:dyDescent="0.25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22.5" customHeight="1" x14ac:dyDescent="0.25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22.5" customHeight="1" x14ac:dyDescent="0.25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22.5" customHeight="1" x14ac:dyDescent="0.25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22.5" customHeight="1" x14ac:dyDescent="0.25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22.5" customHeight="1" x14ac:dyDescent="0.25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22.5" customHeight="1" x14ac:dyDescent="0.25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22.5" customHeight="1" x14ac:dyDescent="0.25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22.5" customHeight="1" x14ac:dyDescent="0.25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22.5" customHeight="1" x14ac:dyDescent="0.25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22.5" customHeight="1" x14ac:dyDescent="0.25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22.5" customHeight="1" x14ac:dyDescent="0.25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22.5" customHeight="1" x14ac:dyDescent="0.25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22.5" customHeight="1" x14ac:dyDescent="0.25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22.5" customHeight="1" x14ac:dyDescent="0.25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22.5" customHeight="1" x14ac:dyDescent="0.25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22.5" customHeight="1" x14ac:dyDescent="0.25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22.5" customHeight="1" x14ac:dyDescent="0.25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22.5" customHeight="1" x14ac:dyDescent="0.25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22.5" customHeight="1" x14ac:dyDescent="0.25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22.5" customHeight="1" x14ac:dyDescent="0.25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22.5" customHeight="1" x14ac:dyDescent="0.25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22.5" customHeight="1" x14ac:dyDescent="0.25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22.5" customHeight="1" x14ac:dyDescent="0.25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22.5" customHeight="1" x14ac:dyDescent="0.25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22.5" customHeight="1" x14ac:dyDescent="0.25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22.5" customHeight="1" x14ac:dyDescent="0.25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22.5" customHeight="1" x14ac:dyDescent="0.25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22.5" customHeight="1" x14ac:dyDescent="0.25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22.5" customHeight="1" x14ac:dyDescent="0.25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22.5" customHeight="1" x14ac:dyDescent="0.25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22.5" customHeight="1" x14ac:dyDescent="0.25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22.5" customHeight="1" x14ac:dyDescent="0.25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22.5" customHeight="1" x14ac:dyDescent="0.25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22.5" customHeight="1" x14ac:dyDescent="0.25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22.5" customHeight="1" x14ac:dyDescent="0.25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22.5" customHeight="1" x14ac:dyDescent="0.25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22.5" customHeight="1" x14ac:dyDescent="0.25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22.5" customHeight="1" x14ac:dyDescent="0.25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22.5" customHeight="1" x14ac:dyDescent="0.25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22.5" customHeight="1" x14ac:dyDescent="0.25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22.5" customHeight="1" x14ac:dyDescent="0.25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22.5" customHeight="1" x14ac:dyDescent="0.25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22.5" customHeight="1" x14ac:dyDescent="0.25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22.5" customHeight="1" x14ac:dyDescent="0.25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22.5" customHeight="1" x14ac:dyDescent="0.25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22.5" customHeight="1" x14ac:dyDescent="0.25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22.5" customHeight="1" x14ac:dyDescent="0.25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22.5" customHeight="1" x14ac:dyDescent="0.25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22.5" customHeight="1" x14ac:dyDescent="0.25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22.5" customHeight="1" x14ac:dyDescent="0.25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22.5" customHeight="1" x14ac:dyDescent="0.25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22.5" customHeight="1" x14ac:dyDescent="0.25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22.5" customHeight="1" x14ac:dyDescent="0.25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22.5" customHeight="1" x14ac:dyDescent="0.25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22.5" customHeight="1" x14ac:dyDescent="0.25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22.5" customHeight="1" x14ac:dyDescent="0.25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22.5" customHeight="1" x14ac:dyDescent="0.25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22.5" customHeight="1" x14ac:dyDescent="0.25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22.5" customHeight="1" x14ac:dyDescent="0.25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22.5" customHeight="1" x14ac:dyDescent="0.25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22.5" customHeight="1" x14ac:dyDescent="0.25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22.5" customHeight="1" x14ac:dyDescent="0.25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22.5" customHeight="1" x14ac:dyDescent="0.25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22.5" customHeight="1" x14ac:dyDescent="0.25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22.5" customHeight="1" x14ac:dyDescent="0.25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22.5" customHeight="1" x14ac:dyDescent="0.25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22.5" customHeight="1" x14ac:dyDescent="0.25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22.5" customHeight="1" x14ac:dyDescent="0.25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22.5" customHeight="1" x14ac:dyDescent="0.25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22.5" customHeight="1" x14ac:dyDescent="0.25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22.5" customHeight="1" x14ac:dyDescent="0.25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22.5" customHeight="1" x14ac:dyDescent="0.25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22.5" customHeight="1" x14ac:dyDescent="0.25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22.5" customHeight="1" x14ac:dyDescent="0.25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22.5" customHeight="1" x14ac:dyDescent="0.25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22.5" customHeight="1" x14ac:dyDescent="0.25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22.5" customHeight="1" x14ac:dyDescent="0.25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22.5" customHeight="1" x14ac:dyDescent="0.25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22.5" customHeight="1" x14ac:dyDescent="0.25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22.5" customHeight="1" x14ac:dyDescent="0.25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22.5" customHeight="1" x14ac:dyDescent="0.25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22.5" customHeight="1" x14ac:dyDescent="0.25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22.5" customHeight="1" x14ac:dyDescent="0.25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22.5" customHeight="1" x14ac:dyDescent="0.25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22.5" customHeight="1" x14ac:dyDescent="0.25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22.5" customHeight="1" x14ac:dyDescent="0.25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22.5" customHeight="1" x14ac:dyDescent="0.25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22.5" customHeight="1" x14ac:dyDescent="0.25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22.5" customHeight="1" x14ac:dyDescent="0.25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22.5" customHeight="1" x14ac:dyDescent="0.25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22.5" customHeight="1" x14ac:dyDescent="0.25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22.5" customHeight="1" x14ac:dyDescent="0.25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22.5" customHeight="1" x14ac:dyDescent="0.25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22.5" customHeight="1" x14ac:dyDescent="0.25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22.5" customHeight="1" x14ac:dyDescent="0.25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22.5" customHeight="1" x14ac:dyDescent="0.25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22.5" customHeight="1" x14ac:dyDescent="0.25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22.5" customHeight="1" x14ac:dyDescent="0.25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22.5" customHeight="1" x14ac:dyDescent="0.25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22.5" customHeight="1" x14ac:dyDescent="0.25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22.5" customHeight="1" x14ac:dyDescent="0.25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22.5" customHeight="1" x14ac:dyDescent="0.25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22.5" customHeight="1" x14ac:dyDescent="0.25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22.5" customHeight="1" x14ac:dyDescent="0.25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22.5" customHeight="1" x14ac:dyDescent="0.25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22.5" customHeight="1" x14ac:dyDescent="0.25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22.5" customHeight="1" x14ac:dyDescent="0.25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22.5" customHeight="1" x14ac:dyDescent="0.25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22.5" customHeight="1" x14ac:dyDescent="0.25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22.5" customHeight="1" x14ac:dyDescent="0.25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22.5" customHeight="1" x14ac:dyDescent="0.25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22.5" customHeight="1" x14ac:dyDescent="0.25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22.5" customHeight="1" x14ac:dyDescent="0.25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22.5" customHeight="1" x14ac:dyDescent="0.25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22.5" customHeight="1" x14ac:dyDescent="0.25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22.5" customHeight="1" x14ac:dyDescent="0.25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22.5" customHeight="1" x14ac:dyDescent="0.25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22.5" customHeight="1" x14ac:dyDescent="0.25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22.5" customHeight="1" x14ac:dyDescent="0.25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22.5" customHeight="1" x14ac:dyDescent="0.25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22.5" customHeight="1" x14ac:dyDescent="0.25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22.5" customHeight="1" x14ac:dyDescent="0.25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22.5" customHeight="1" x14ac:dyDescent="0.25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22.5" customHeight="1" x14ac:dyDescent="0.25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22.5" customHeight="1" x14ac:dyDescent="0.25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22.5" customHeight="1" x14ac:dyDescent="0.25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22.5" customHeight="1" x14ac:dyDescent="0.25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22.5" customHeight="1" x14ac:dyDescent="0.25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22.5" customHeight="1" x14ac:dyDescent="0.25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22.5" customHeight="1" x14ac:dyDescent="0.25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22.5" customHeight="1" x14ac:dyDescent="0.25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22.5" customHeight="1" x14ac:dyDescent="0.25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22.5" customHeight="1" x14ac:dyDescent="0.25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22.5" customHeight="1" x14ac:dyDescent="0.25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22.5" customHeight="1" x14ac:dyDescent="0.25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22.5" customHeight="1" x14ac:dyDescent="0.25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22.5" customHeight="1" x14ac:dyDescent="0.25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22.5" customHeight="1" x14ac:dyDescent="0.25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22.5" customHeight="1" x14ac:dyDescent="0.25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22.5" customHeight="1" x14ac:dyDescent="0.25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22.5" customHeight="1" x14ac:dyDescent="0.25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22.5" customHeight="1" x14ac:dyDescent="0.25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22.5" customHeight="1" x14ac:dyDescent="0.25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22.5" customHeight="1" x14ac:dyDescent="0.25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22.5" customHeight="1" x14ac:dyDescent="0.25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22.5" customHeight="1" x14ac:dyDescent="0.25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22.5" customHeight="1" x14ac:dyDescent="0.25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22.5" customHeight="1" x14ac:dyDescent="0.25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22.5" customHeight="1" x14ac:dyDescent="0.25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22.5" customHeight="1" x14ac:dyDescent="0.25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22.5" customHeight="1" x14ac:dyDescent="0.25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22.5" customHeight="1" x14ac:dyDescent="0.25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22.5" customHeight="1" x14ac:dyDescent="0.25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22.5" customHeight="1" x14ac:dyDescent="0.25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22.5" customHeight="1" x14ac:dyDescent="0.25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22.5" customHeight="1" x14ac:dyDescent="0.25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22.5" customHeight="1" x14ac:dyDescent="0.25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22.5" customHeight="1" x14ac:dyDescent="0.25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22.5" customHeight="1" x14ac:dyDescent="0.25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22.5" customHeight="1" x14ac:dyDescent="0.25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22.5" customHeight="1" x14ac:dyDescent="0.25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22.5" customHeight="1" x14ac:dyDescent="0.25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22.5" customHeight="1" x14ac:dyDescent="0.25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22.5" customHeight="1" x14ac:dyDescent="0.25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22.5" customHeight="1" x14ac:dyDescent="0.25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22.5" customHeight="1" x14ac:dyDescent="0.25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22.5" customHeight="1" x14ac:dyDescent="0.25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22.5" customHeight="1" x14ac:dyDescent="0.25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22.5" customHeight="1" x14ac:dyDescent="0.25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22.5" customHeight="1" x14ac:dyDescent="0.25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22.5" customHeight="1" x14ac:dyDescent="0.25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22.5" customHeight="1" x14ac:dyDescent="0.25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22.5" customHeight="1" x14ac:dyDescent="0.25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22.5" customHeight="1" x14ac:dyDescent="0.25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22.5" customHeight="1" x14ac:dyDescent="0.25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22.5" customHeight="1" x14ac:dyDescent="0.25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22.5" customHeight="1" x14ac:dyDescent="0.25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22.5" customHeight="1" x14ac:dyDescent="0.25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22.5" customHeight="1" x14ac:dyDescent="0.25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22.5" customHeight="1" x14ac:dyDescent="0.25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22.5" customHeight="1" x14ac:dyDescent="0.25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22.5" customHeight="1" x14ac:dyDescent="0.25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22.5" customHeight="1" x14ac:dyDescent="0.25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22.5" customHeight="1" x14ac:dyDescent="0.25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22.5" customHeight="1" x14ac:dyDescent="0.25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22.5" customHeight="1" x14ac:dyDescent="0.25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22.5" customHeight="1" x14ac:dyDescent="0.25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22.5" customHeight="1" x14ac:dyDescent="0.25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22.5" customHeight="1" x14ac:dyDescent="0.25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22.5" customHeight="1" x14ac:dyDescent="0.25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22.5" customHeight="1" x14ac:dyDescent="0.25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22.5" customHeight="1" x14ac:dyDescent="0.25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22.5" customHeight="1" x14ac:dyDescent="0.25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22.5" customHeight="1" x14ac:dyDescent="0.25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22.5" customHeight="1" x14ac:dyDescent="0.25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22.5" customHeight="1" x14ac:dyDescent="0.25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22.5" customHeight="1" x14ac:dyDescent="0.25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22.5" customHeight="1" x14ac:dyDescent="0.25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22.5" customHeight="1" x14ac:dyDescent="0.25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22.5" customHeight="1" x14ac:dyDescent="0.25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22.5" customHeight="1" x14ac:dyDescent="0.25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22.5" customHeight="1" x14ac:dyDescent="0.25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22.5" customHeight="1" x14ac:dyDescent="0.25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22.5" customHeight="1" x14ac:dyDescent="0.25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22.5" customHeight="1" x14ac:dyDescent="0.25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22.5" customHeight="1" x14ac:dyDescent="0.25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22.5" customHeight="1" x14ac:dyDescent="0.25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22.5" customHeight="1" x14ac:dyDescent="0.25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22.5" customHeight="1" x14ac:dyDescent="0.25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22.5" customHeight="1" x14ac:dyDescent="0.25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22.5" customHeight="1" x14ac:dyDescent="0.25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22.5" customHeight="1" x14ac:dyDescent="0.25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22.5" customHeight="1" x14ac:dyDescent="0.25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22.5" customHeight="1" x14ac:dyDescent="0.25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22.5" customHeight="1" x14ac:dyDescent="0.25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22.5" customHeight="1" x14ac:dyDescent="0.25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22.5" customHeight="1" x14ac:dyDescent="0.25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22.5" customHeight="1" x14ac:dyDescent="0.25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22.5" customHeight="1" x14ac:dyDescent="0.25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22.5" customHeight="1" x14ac:dyDescent="0.25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22.5" customHeight="1" x14ac:dyDescent="0.25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22.5" customHeight="1" x14ac:dyDescent="0.25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22.5" customHeight="1" x14ac:dyDescent="0.25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22.5" customHeight="1" x14ac:dyDescent="0.25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22.5" customHeight="1" x14ac:dyDescent="0.25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22.5" customHeight="1" x14ac:dyDescent="0.25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22.5" customHeight="1" x14ac:dyDescent="0.25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22.5" customHeight="1" x14ac:dyDescent="0.25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22.5" customHeight="1" x14ac:dyDescent="0.25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22.5" customHeight="1" x14ac:dyDescent="0.25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22.5" customHeight="1" x14ac:dyDescent="0.25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22.5" customHeight="1" x14ac:dyDescent="0.25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22.5" customHeight="1" x14ac:dyDescent="0.25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22.5" customHeight="1" x14ac:dyDescent="0.25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22.5" customHeight="1" x14ac:dyDescent="0.25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22.5" customHeight="1" x14ac:dyDescent="0.25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22.5" customHeight="1" x14ac:dyDescent="0.25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22.5" customHeight="1" x14ac:dyDescent="0.25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22.5" customHeight="1" x14ac:dyDescent="0.25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22.5" customHeight="1" x14ac:dyDescent="0.25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22.5" customHeight="1" x14ac:dyDescent="0.25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22.5" customHeight="1" x14ac:dyDescent="0.25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22.5" customHeight="1" x14ac:dyDescent="0.25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22.5" customHeight="1" x14ac:dyDescent="0.25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22.5" customHeight="1" x14ac:dyDescent="0.25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22.5" customHeight="1" x14ac:dyDescent="0.25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22.5" customHeight="1" x14ac:dyDescent="0.25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22.5" customHeight="1" x14ac:dyDescent="0.25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22.5" customHeight="1" x14ac:dyDescent="0.25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22.5" customHeight="1" x14ac:dyDescent="0.25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22.5" customHeight="1" x14ac:dyDescent="0.25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22.5" customHeight="1" x14ac:dyDescent="0.25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22.5" customHeight="1" x14ac:dyDescent="0.25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22.5" customHeight="1" x14ac:dyDescent="0.25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22.5" customHeight="1" x14ac:dyDescent="0.25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22.5" customHeight="1" x14ac:dyDescent="0.25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22.5" customHeight="1" x14ac:dyDescent="0.25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22.5" customHeight="1" x14ac:dyDescent="0.25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22.5" customHeight="1" x14ac:dyDescent="0.25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22.5" customHeight="1" x14ac:dyDescent="0.25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22.5" customHeight="1" x14ac:dyDescent="0.25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22.5" customHeight="1" x14ac:dyDescent="0.25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22.5" customHeight="1" x14ac:dyDescent="0.25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22.5" customHeight="1" x14ac:dyDescent="0.25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22.5" customHeight="1" x14ac:dyDescent="0.25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22.5" customHeight="1" x14ac:dyDescent="0.25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22.5" customHeight="1" x14ac:dyDescent="0.25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22.5" customHeight="1" x14ac:dyDescent="0.25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22.5" customHeight="1" x14ac:dyDescent="0.25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22.5" customHeight="1" x14ac:dyDescent="0.25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22.5" customHeight="1" x14ac:dyDescent="0.25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22.5" customHeight="1" x14ac:dyDescent="0.25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22.5" customHeight="1" x14ac:dyDescent="0.25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22.5" customHeight="1" x14ac:dyDescent="0.25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22.5" customHeight="1" x14ac:dyDescent="0.25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22.5" customHeight="1" x14ac:dyDescent="0.25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22.5" customHeight="1" x14ac:dyDescent="0.25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22.5" customHeight="1" x14ac:dyDescent="0.25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22.5" customHeight="1" x14ac:dyDescent="0.25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22.5" customHeight="1" x14ac:dyDescent="0.25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22.5" customHeight="1" x14ac:dyDescent="0.25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22.5" customHeight="1" x14ac:dyDescent="0.25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22.5" customHeight="1" x14ac:dyDescent="0.25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22.5" customHeight="1" x14ac:dyDescent="0.25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22.5" customHeight="1" x14ac:dyDescent="0.25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22.5" customHeight="1" x14ac:dyDescent="0.25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22.5" customHeight="1" x14ac:dyDescent="0.25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22.5" customHeight="1" x14ac:dyDescent="0.25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22.5" customHeight="1" x14ac:dyDescent="0.25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22.5" customHeight="1" x14ac:dyDescent="0.25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22.5" customHeight="1" x14ac:dyDescent="0.25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22.5" customHeight="1" x14ac:dyDescent="0.25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22.5" customHeight="1" x14ac:dyDescent="0.25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22.5" customHeight="1" x14ac:dyDescent="0.25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22.5" customHeight="1" x14ac:dyDescent="0.25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22.5" customHeight="1" x14ac:dyDescent="0.25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22.5" customHeight="1" x14ac:dyDescent="0.25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22.5" customHeight="1" x14ac:dyDescent="0.25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22.5" customHeight="1" x14ac:dyDescent="0.25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22.5" customHeight="1" x14ac:dyDescent="0.25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22.5" customHeight="1" x14ac:dyDescent="0.25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22.5" customHeight="1" x14ac:dyDescent="0.25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22.5" customHeight="1" x14ac:dyDescent="0.25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22.5" customHeight="1" x14ac:dyDescent="0.25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22.5" customHeight="1" x14ac:dyDescent="0.25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22.5" customHeight="1" x14ac:dyDescent="0.25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22.5" customHeight="1" x14ac:dyDescent="0.25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22.5" customHeight="1" x14ac:dyDescent="0.25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22.5" customHeight="1" x14ac:dyDescent="0.25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22.5" customHeight="1" x14ac:dyDescent="0.25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22.5" customHeight="1" x14ac:dyDescent="0.25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22.5" customHeight="1" x14ac:dyDescent="0.25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22.5" customHeight="1" x14ac:dyDescent="0.25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22.5" customHeight="1" x14ac:dyDescent="0.25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22.5" customHeight="1" x14ac:dyDescent="0.25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22.5" customHeight="1" x14ac:dyDescent="0.25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22.5" customHeight="1" x14ac:dyDescent="0.25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22.5" customHeight="1" x14ac:dyDescent="0.25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22.5" customHeight="1" x14ac:dyDescent="0.25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22.5" customHeight="1" x14ac:dyDescent="0.25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22.5" customHeight="1" x14ac:dyDescent="0.25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22.5" customHeight="1" x14ac:dyDescent="0.25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22.5" customHeight="1" x14ac:dyDescent="0.25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22.5" customHeight="1" x14ac:dyDescent="0.25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22.5" customHeight="1" x14ac:dyDescent="0.25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22.5" customHeight="1" x14ac:dyDescent="0.25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22.5" customHeight="1" x14ac:dyDescent="0.25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22.5" customHeight="1" x14ac:dyDescent="0.25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22.5" customHeight="1" x14ac:dyDescent="0.25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22.5" customHeight="1" x14ac:dyDescent="0.25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22.5" customHeight="1" x14ac:dyDescent="0.25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22.5" customHeight="1" x14ac:dyDescent="0.25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22.5" customHeight="1" x14ac:dyDescent="0.25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22.5" customHeight="1" x14ac:dyDescent="0.25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22.5" customHeight="1" x14ac:dyDescent="0.25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22.5" customHeight="1" x14ac:dyDescent="0.25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22.5" customHeight="1" x14ac:dyDescent="0.25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22.5" customHeight="1" x14ac:dyDescent="0.25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22.5" customHeight="1" x14ac:dyDescent="0.25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22.5" customHeight="1" x14ac:dyDescent="0.25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22.5" customHeight="1" x14ac:dyDescent="0.25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22.5" customHeight="1" x14ac:dyDescent="0.25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22.5" customHeight="1" x14ac:dyDescent="0.25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22.5" customHeight="1" x14ac:dyDescent="0.25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22.5" customHeight="1" x14ac:dyDescent="0.25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22.5" customHeight="1" x14ac:dyDescent="0.25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22.5" customHeight="1" x14ac:dyDescent="0.25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22.5" customHeight="1" x14ac:dyDescent="0.25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22.5" customHeight="1" x14ac:dyDescent="0.25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22.5" customHeight="1" x14ac:dyDescent="0.25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22.5" customHeight="1" x14ac:dyDescent="0.25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22.5" customHeight="1" x14ac:dyDescent="0.25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22.5" customHeight="1" x14ac:dyDescent="0.25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22.5" customHeight="1" x14ac:dyDescent="0.25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22.5" customHeight="1" x14ac:dyDescent="0.25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22.5" customHeight="1" x14ac:dyDescent="0.25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22.5" customHeight="1" x14ac:dyDescent="0.25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22.5" customHeight="1" x14ac:dyDescent="0.25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22.5" customHeight="1" x14ac:dyDescent="0.25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22.5" customHeight="1" x14ac:dyDescent="0.25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22.5" customHeight="1" x14ac:dyDescent="0.25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22.5" customHeight="1" x14ac:dyDescent="0.25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22.5" customHeight="1" x14ac:dyDescent="0.25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22.5" customHeight="1" x14ac:dyDescent="0.25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22.5" customHeight="1" x14ac:dyDescent="0.25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22.5" customHeight="1" x14ac:dyDescent="0.25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22.5" customHeight="1" x14ac:dyDescent="0.25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22.5" customHeight="1" x14ac:dyDescent="0.25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22.5" customHeight="1" x14ac:dyDescent="0.25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22.5" customHeight="1" x14ac:dyDescent="0.25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22.5" customHeight="1" x14ac:dyDescent="0.25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22.5" customHeight="1" x14ac:dyDescent="0.25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22.5" customHeight="1" x14ac:dyDescent="0.25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22.5" customHeight="1" x14ac:dyDescent="0.25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22.5" customHeight="1" x14ac:dyDescent="0.25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22.5" customHeight="1" x14ac:dyDescent="0.25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22.5" customHeight="1" x14ac:dyDescent="0.25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22.5" customHeight="1" x14ac:dyDescent="0.25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22.5" customHeight="1" x14ac:dyDescent="0.25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22.5" customHeight="1" x14ac:dyDescent="0.25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22.5" customHeight="1" x14ac:dyDescent="0.25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22.5" customHeight="1" x14ac:dyDescent="0.25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22.5" customHeight="1" x14ac:dyDescent="0.25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22.5" customHeight="1" x14ac:dyDescent="0.25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22.5" customHeight="1" x14ac:dyDescent="0.25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22.5" customHeight="1" x14ac:dyDescent="0.25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22.5" customHeight="1" x14ac:dyDescent="0.25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22.5" customHeight="1" x14ac:dyDescent="0.25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22.5" customHeight="1" x14ac:dyDescent="0.25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22.5" customHeight="1" x14ac:dyDescent="0.25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22.5" customHeight="1" x14ac:dyDescent="0.25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22.5" customHeight="1" x14ac:dyDescent="0.25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22.5" customHeight="1" x14ac:dyDescent="0.25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22.5" customHeight="1" x14ac:dyDescent="0.25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22.5" customHeight="1" x14ac:dyDescent="0.25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22.5" customHeight="1" x14ac:dyDescent="0.25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22.5" customHeight="1" x14ac:dyDescent="0.25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22.5" customHeight="1" x14ac:dyDescent="0.25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22.5" customHeight="1" x14ac:dyDescent="0.25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22.5" customHeight="1" x14ac:dyDescent="0.25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22.5" customHeight="1" x14ac:dyDescent="0.25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22.5" customHeight="1" x14ac:dyDescent="0.25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22.5" customHeight="1" x14ac:dyDescent="0.25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22.5" customHeight="1" x14ac:dyDescent="0.25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22.5" customHeight="1" x14ac:dyDescent="0.25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22.5" customHeight="1" x14ac:dyDescent="0.25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22.5" customHeight="1" x14ac:dyDescent="0.25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22.5" customHeight="1" x14ac:dyDescent="0.25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22.5" customHeight="1" x14ac:dyDescent="0.25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22.5" customHeight="1" x14ac:dyDescent="0.25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22.5" customHeight="1" x14ac:dyDescent="0.25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22.5" customHeight="1" x14ac:dyDescent="0.25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22.5" customHeight="1" x14ac:dyDescent="0.25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22.5" customHeight="1" x14ac:dyDescent="0.25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22.5" customHeight="1" x14ac:dyDescent="0.25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22.5" customHeight="1" x14ac:dyDescent="0.25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22.5" customHeight="1" x14ac:dyDescent="0.25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22.5" customHeight="1" x14ac:dyDescent="0.25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22.5" customHeight="1" x14ac:dyDescent="0.25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22.5" customHeight="1" x14ac:dyDescent="0.25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22.5" customHeight="1" x14ac:dyDescent="0.25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22.5" customHeight="1" x14ac:dyDescent="0.25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22.5" customHeight="1" x14ac:dyDescent="0.25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22.5" customHeight="1" x14ac:dyDescent="0.25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22.5" customHeight="1" x14ac:dyDescent="0.25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22.5" customHeight="1" x14ac:dyDescent="0.25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22.5" customHeight="1" x14ac:dyDescent="0.25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22.5" customHeight="1" x14ac:dyDescent="0.25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22.5" customHeight="1" x14ac:dyDescent="0.25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22.5" customHeight="1" x14ac:dyDescent="0.25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22.5" customHeight="1" x14ac:dyDescent="0.25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22.5" customHeight="1" x14ac:dyDescent="0.25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22.5" customHeight="1" x14ac:dyDescent="0.25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22.5" customHeight="1" x14ac:dyDescent="0.25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22.5" customHeight="1" x14ac:dyDescent="0.25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22.5" customHeight="1" x14ac:dyDescent="0.25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22.5" customHeight="1" x14ac:dyDescent="0.25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22.5" customHeight="1" x14ac:dyDescent="0.25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22.5" customHeight="1" x14ac:dyDescent="0.25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22.5" customHeight="1" x14ac:dyDescent="0.25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22.5" customHeight="1" x14ac:dyDescent="0.25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22.5" customHeight="1" x14ac:dyDescent="0.25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22.5" customHeight="1" x14ac:dyDescent="0.25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22.5" customHeight="1" x14ac:dyDescent="0.25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22.5" customHeight="1" x14ac:dyDescent="0.25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22.5" customHeight="1" x14ac:dyDescent="0.25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22.5" customHeight="1" x14ac:dyDescent="0.25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22.5" customHeight="1" x14ac:dyDescent="0.25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22.5" customHeight="1" x14ac:dyDescent="0.25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22.5" customHeight="1" x14ac:dyDescent="0.25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22.5" customHeight="1" x14ac:dyDescent="0.25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22.5" customHeight="1" x14ac:dyDescent="0.25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22.5" customHeight="1" x14ac:dyDescent="0.25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22.5" customHeight="1" x14ac:dyDescent="0.25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22.5" customHeight="1" x14ac:dyDescent="0.25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22.5" customHeight="1" x14ac:dyDescent="0.25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22.5" customHeight="1" x14ac:dyDescent="0.25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22.5" customHeight="1" x14ac:dyDescent="0.25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22.5" customHeight="1" x14ac:dyDescent="0.25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22.5" customHeight="1" x14ac:dyDescent="0.25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22.5" customHeight="1" x14ac:dyDescent="0.25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22.5" customHeight="1" x14ac:dyDescent="0.25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22.5" customHeight="1" x14ac:dyDescent="0.25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22.5" customHeight="1" x14ac:dyDescent="0.25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22.5" customHeight="1" x14ac:dyDescent="0.25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22.5" customHeight="1" x14ac:dyDescent="0.25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22.5" customHeight="1" x14ac:dyDescent="0.25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22.5" customHeight="1" x14ac:dyDescent="0.25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22.5" customHeight="1" x14ac:dyDescent="0.25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22.5" customHeight="1" x14ac:dyDescent="0.25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22.5" customHeight="1" x14ac:dyDescent="0.25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22.5" customHeight="1" x14ac:dyDescent="0.25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22.5" customHeight="1" x14ac:dyDescent="0.25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22.5" customHeight="1" x14ac:dyDescent="0.25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22.5" customHeight="1" x14ac:dyDescent="0.25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22.5" customHeight="1" x14ac:dyDescent="0.25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22.5" customHeight="1" x14ac:dyDescent="0.25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22.5" customHeight="1" x14ac:dyDescent="0.25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22.5" customHeight="1" x14ac:dyDescent="0.25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22.5" customHeight="1" x14ac:dyDescent="0.25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22.5" customHeight="1" x14ac:dyDescent="0.25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22.5" customHeight="1" x14ac:dyDescent="0.25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22.5" customHeight="1" x14ac:dyDescent="0.25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22.5" customHeight="1" x14ac:dyDescent="0.25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22.5" customHeight="1" x14ac:dyDescent="0.25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22.5" customHeight="1" x14ac:dyDescent="0.25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22.5" customHeight="1" x14ac:dyDescent="0.25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22.5" customHeight="1" x14ac:dyDescent="0.25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22.5" customHeight="1" x14ac:dyDescent="0.25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22.5" customHeight="1" x14ac:dyDescent="0.25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22.5" customHeight="1" x14ac:dyDescent="0.25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22.5" customHeight="1" x14ac:dyDescent="0.25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22.5" customHeight="1" x14ac:dyDescent="0.25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22.5" customHeight="1" x14ac:dyDescent="0.25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22.5" customHeight="1" x14ac:dyDescent="0.25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22.5" customHeight="1" x14ac:dyDescent="0.25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22.5" customHeight="1" x14ac:dyDescent="0.25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22.5" customHeight="1" x14ac:dyDescent="0.25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22.5" customHeight="1" x14ac:dyDescent="0.25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22.5" customHeight="1" x14ac:dyDescent="0.25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22.5" customHeight="1" x14ac:dyDescent="0.25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22.5" customHeight="1" x14ac:dyDescent="0.25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22.5" customHeight="1" x14ac:dyDescent="0.25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22.5" customHeight="1" x14ac:dyDescent="0.25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22.5" customHeight="1" x14ac:dyDescent="0.25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22.5" customHeight="1" x14ac:dyDescent="0.25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22.5" customHeight="1" x14ac:dyDescent="0.25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22.5" customHeight="1" x14ac:dyDescent="0.25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22.5" customHeight="1" x14ac:dyDescent="0.25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22.5" customHeight="1" x14ac:dyDescent="0.25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22.5" customHeight="1" x14ac:dyDescent="0.25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22.5" customHeight="1" x14ac:dyDescent="0.25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22.5" customHeight="1" x14ac:dyDescent="0.25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22.5" customHeight="1" x14ac:dyDescent="0.25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22.5" customHeight="1" x14ac:dyDescent="0.25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22.5" customHeight="1" x14ac:dyDescent="0.25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22.5" customHeight="1" x14ac:dyDescent="0.25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22.5" customHeight="1" x14ac:dyDescent="0.25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22.5" customHeight="1" x14ac:dyDescent="0.25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22.5" customHeight="1" x14ac:dyDescent="0.25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22.5" customHeight="1" x14ac:dyDescent="0.25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22.5" customHeight="1" x14ac:dyDescent="0.25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22.5" customHeight="1" x14ac:dyDescent="0.25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22.5" customHeight="1" x14ac:dyDescent="0.25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22.5" customHeight="1" x14ac:dyDescent="0.25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22.5" customHeight="1" x14ac:dyDescent="0.25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22.5" customHeight="1" x14ac:dyDescent="0.25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22.5" customHeight="1" x14ac:dyDescent="0.25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22.5" customHeight="1" x14ac:dyDescent="0.25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22.5" customHeight="1" x14ac:dyDescent="0.25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22.5" customHeight="1" x14ac:dyDescent="0.25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22.5" customHeight="1" x14ac:dyDescent="0.25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22.5" customHeight="1" x14ac:dyDescent="0.25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22.5" customHeight="1" x14ac:dyDescent="0.25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22.5" customHeight="1" x14ac:dyDescent="0.25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22.5" customHeight="1" x14ac:dyDescent="0.25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22.5" customHeight="1" x14ac:dyDescent="0.25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22.5" customHeight="1" x14ac:dyDescent="0.25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22.5" customHeight="1" x14ac:dyDescent="0.25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22.5" customHeight="1" x14ac:dyDescent="0.25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22.5" customHeight="1" x14ac:dyDescent="0.25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22.5" customHeight="1" x14ac:dyDescent="0.25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22.5" customHeight="1" x14ac:dyDescent="0.25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22.5" customHeight="1" x14ac:dyDescent="0.25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22.5" customHeight="1" x14ac:dyDescent="0.25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22.5" customHeight="1" x14ac:dyDescent="0.25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22.5" customHeight="1" x14ac:dyDescent="0.25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22.5" customHeight="1" x14ac:dyDescent="0.25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22.5" customHeight="1" x14ac:dyDescent="0.25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22.5" customHeight="1" x14ac:dyDescent="0.25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22.5" customHeight="1" x14ac:dyDescent="0.25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22.5" customHeight="1" x14ac:dyDescent="0.25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22.5" customHeight="1" x14ac:dyDescent="0.25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22.5" customHeight="1" x14ac:dyDescent="0.25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22.5" customHeight="1" x14ac:dyDescent="0.25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22.5" customHeight="1" x14ac:dyDescent="0.25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22.5" customHeight="1" x14ac:dyDescent="0.25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22.5" customHeight="1" x14ac:dyDescent="0.25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22.5" customHeight="1" x14ac:dyDescent="0.25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8" priority="1">
      <formula>TRIM(C2)="Realizado"</formula>
    </cfRule>
  </conditionalFormatting>
  <conditionalFormatting sqref="C2:C2001">
    <cfRule type="expression" dxfId="57" priority="2">
      <formula>TRIM(C2)="Cancelado"</formula>
    </cfRule>
  </conditionalFormatting>
  <conditionalFormatting sqref="C2:C2001">
    <cfRule type="expression" dxfId="56" priority="3">
      <formula>TRIM(C2)="Em andamento"</formula>
    </cfRule>
  </conditionalFormatting>
  <conditionalFormatting sqref="C2:C2001">
    <cfRule type="expression" dxfId="55" priority="4">
      <formula>TRIM(C2)="Adiado"</formula>
    </cfRule>
  </conditionalFormatting>
  <conditionalFormatting sqref="A2:A2001">
    <cfRule type="expression" dxfId="54" priority="5">
      <formula>AND($B2&lt;&gt;"",$A2="")</formula>
    </cfRule>
  </conditionalFormatting>
  <conditionalFormatting sqref="L2:M2001">
    <cfRule type="expression" dxfId="53" priority="6">
      <formula>L2=""</formula>
    </cfRule>
  </conditionalFormatting>
  <conditionalFormatting sqref="A2:T2001">
    <cfRule type="expression" dxfId="52" priority="7">
      <formula>MOD(ROW(),2)=0</formula>
    </cfRule>
  </conditionalFormatting>
  <conditionalFormatting sqref="A2:T2001">
    <cfRule type="expression" dxfId="51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2968</v>
      </c>
      <c r="H1" s="225" t="s">
        <v>2969</v>
      </c>
    </row>
    <row r="2" spans="1:8" x14ac:dyDescent="0.25">
      <c r="H2" s="224" t="s">
        <v>2970</v>
      </c>
    </row>
    <row r="3" spans="1:8" x14ac:dyDescent="0.25">
      <c r="A3" t="s">
        <v>0</v>
      </c>
      <c r="B3" t="s">
        <v>19</v>
      </c>
      <c r="C3" t="s">
        <v>2971</v>
      </c>
      <c r="D3" t="s">
        <v>2972</v>
      </c>
      <c r="E3" t="s">
        <v>3163</v>
      </c>
      <c r="H3" s="224" t="s">
        <v>2973</v>
      </c>
    </row>
    <row r="4" spans="1:8" x14ac:dyDescent="0.25">
      <c r="A4">
        <v>1</v>
      </c>
      <c r="B4" t="s">
        <v>2974</v>
      </c>
      <c r="D4" t="s">
        <v>2975</v>
      </c>
      <c r="E4" s="22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24" t="s">
        <v>2976</v>
      </c>
    </row>
    <row r="5" spans="1:8" x14ac:dyDescent="0.25">
      <c r="A5">
        <v>2</v>
      </c>
      <c r="B5" t="s">
        <v>2506</v>
      </c>
      <c r="D5" t="s">
        <v>2975</v>
      </c>
      <c r="E5" s="22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24" t="s">
        <v>2977</v>
      </c>
    </row>
    <row r="6" spans="1:8" x14ac:dyDescent="0.25">
      <c r="A6">
        <v>3</v>
      </c>
      <c r="B6" t="s">
        <v>1030</v>
      </c>
      <c r="D6" t="s">
        <v>2975</v>
      </c>
      <c r="E6" s="22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24"/>
    </row>
    <row r="7" spans="1:8" x14ac:dyDescent="0.25">
      <c r="A7">
        <v>4</v>
      </c>
      <c r="B7" t="s">
        <v>2978</v>
      </c>
      <c r="D7" t="s">
        <v>2975</v>
      </c>
      <c r="E7" s="22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25" t="s">
        <v>2979</v>
      </c>
    </row>
    <row r="8" spans="1:8" x14ac:dyDescent="0.25">
      <c r="A8">
        <v>5</v>
      </c>
      <c r="B8" t="s">
        <v>2980</v>
      </c>
      <c r="D8" t="s">
        <v>2975</v>
      </c>
      <c r="E8" s="22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2316</v>
      </c>
      <c r="D9" t="s">
        <v>2975</v>
      </c>
      <c r="E9" s="22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2415</v>
      </c>
      <c r="D10" t="s">
        <v>2975</v>
      </c>
      <c r="E10" s="22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2477</v>
      </c>
      <c r="D11" t="s">
        <v>2975</v>
      </c>
      <c r="E11" s="22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2729</v>
      </c>
      <c r="D12" t="s">
        <v>2975</v>
      </c>
      <c r="E12" s="22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2280</v>
      </c>
      <c r="D13" t="s">
        <v>2975</v>
      </c>
      <c r="E13" s="22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2376</v>
      </c>
      <c r="D14" t="s">
        <v>2975</v>
      </c>
      <c r="E14" s="22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2697</v>
      </c>
      <c r="D15" t="s">
        <v>2975</v>
      </c>
      <c r="E15" s="22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2975</v>
      </c>
      <c r="E16" s="22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2975</v>
      </c>
      <c r="E17" s="22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1957</v>
      </c>
      <c r="D18" t="s">
        <v>2975</v>
      </c>
      <c r="E18" s="22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2975</v>
      </c>
      <c r="E19" s="22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2121</v>
      </c>
      <c r="D20" t="s">
        <v>2975</v>
      </c>
      <c r="E20" s="22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2975</v>
      </c>
      <c r="E21" s="22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2261</v>
      </c>
      <c r="D22" t="s">
        <v>2975</v>
      </c>
      <c r="E22" s="22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2981</v>
      </c>
      <c r="D23" t="s">
        <v>2975</v>
      </c>
      <c r="E23" s="22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2975</v>
      </c>
      <c r="E24" s="22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2982</v>
      </c>
      <c r="D25" t="s">
        <v>2975</v>
      </c>
      <c r="E25" s="22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2983</v>
      </c>
      <c r="D26" t="s">
        <v>2975</v>
      </c>
      <c r="E26" s="22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2975</v>
      </c>
      <c r="E27" s="22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2975</v>
      </c>
      <c r="E28" s="22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2984</v>
      </c>
      <c r="D29" t="s">
        <v>2975</v>
      </c>
      <c r="E29" s="22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2108</v>
      </c>
      <c r="D30" t="s">
        <v>2975</v>
      </c>
      <c r="E30" s="22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2256</v>
      </c>
      <c r="D31" t="s">
        <v>2975</v>
      </c>
      <c r="E31" s="22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2511</v>
      </c>
      <c r="D32" t="s">
        <v>2975</v>
      </c>
      <c r="E32" s="22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2985</v>
      </c>
      <c r="D33" t="s">
        <v>2975</v>
      </c>
      <c r="E33" s="22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2986</v>
      </c>
      <c r="D34" t="s">
        <v>2975</v>
      </c>
      <c r="E34" s="22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2975</v>
      </c>
      <c r="E35" s="22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2975</v>
      </c>
      <c r="E36" s="22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2975</v>
      </c>
      <c r="E37" s="22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2987</v>
      </c>
      <c r="D38" t="s">
        <v>2975</v>
      </c>
      <c r="E38" s="22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2153</v>
      </c>
      <c r="D39" t="s">
        <v>2975</v>
      </c>
      <c r="E39" s="22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2988</v>
      </c>
      <c r="D40" t="s">
        <v>2975</v>
      </c>
      <c r="E40" s="22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2582</v>
      </c>
      <c r="D41" t="s">
        <v>2975</v>
      </c>
      <c r="E41" s="22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2989</v>
      </c>
      <c r="D42" t="s">
        <v>2975</v>
      </c>
      <c r="E42" s="22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2975</v>
      </c>
      <c r="E43" s="22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2975</v>
      </c>
      <c r="E44" s="22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2990</v>
      </c>
      <c r="D45" t="s">
        <v>2975</v>
      </c>
      <c r="E45" s="22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2160</v>
      </c>
      <c r="D46" t="s">
        <v>2975</v>
      </c>
      <c r="E46" s="22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2975</v>
      </c>
      <c r="E47" s="22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2975</v>
      </c>
      <c r="E48" s="22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2975</v>
      </c>
      <c r="E49" s="22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2991</v>
      </c>
      <c r="D50" t="s">
        <v>2975</v>
      </c>
      <c r="E50" s="22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2927</v>
      </c>
      <c r="D51" t="s">
        <v>2975</v>
      </c>
      <c r="E51" s="22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2992</v>
      </c>
      <c r="D52" t="s">
        <v>2975</v>
      </c>
      <c r="E52" s="22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2975</v>
      </c>
      <c r="E53" s="22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2975</v>
      </c>
      <c r="E54" s="22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2993</v>
      </c>
      <c r="D55" t="s">
        <v>2975</v>
      </c>
      <c r="E55" s="22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2975</v>
      </c>
      <c r="E56" s="22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2975</v>
      </c>
      <c r="E57" s="22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2054</v>
      </c>
      <c r="D58" t="s">
        <v>2975</v>
      </c>
      <c r="E58" s="22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2994</v>
      </c>
      <c r="D59" t="s">
        <v>2975</v>
      </c>
      <c r="E59" s="22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2975</v>
      </c>
      <c r="E60" s="22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2088</v>
      </c>
      <c r="D61" t="s">
        <v>2975</v>
      </c>
      <c r="E61" s="22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2020</v>
      </c>
      <c r="D62" t="s">
        <v>2975</v>
      </c>
      <c r="E62" s="22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2995</v>
      </c>
      <c r="D63" t="s">
        <v>2975</v>
      </c>
      <c r="E63" s="22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2996</v>
      </c>
      <c r="D64" t="s">
        <v>2975</v>
      </c>
      <c r="E64" s="22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2997</v>
      </c>
      <c r="D65" t="s">
        <v>2975</v>
      </c>
      <c r="E65" s="22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2998</v>
      </c>
      <c r="D66" t="s">
        <v>2975</v>
      </c>
      <c r="E66" s="22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2709</v>
      </c>
      <c r="D67" t="s">
        <v>2975</v>
      </c>
      <c r="E67" s="22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2555</v>
      </c>
      <c r="D68" t="s">
        <v>2975</v>
      </c>
      <c r="E68" s="22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2999</v>
      </c>
      <c r="D69" t="s">
        <v>2975</v>
      </c>
      <c r="E69" s="22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3000</v>
      </c>
      <c r="D70" t="s">
        <v>2975</v>
      </c>
      <c r="E70" s="22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2456</v>
      </c>
      <c r="D71" t="s">
        <v>2975</v>
      </c>
      <c r="E71" s="22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3001</v>
      </c>
      <c r="D72" t="s">
        <v>2975</v>
      </c>
      <c r="E72" s="22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2669</v>
      </c>
      <c r="D73" t="s">
        <v>2975</v>
      </c>
      <c r="E73" s="22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2321</v>
      </c>
      <c r="D74" t="s">
        <v>2975</v>
      </c>
      <c r="E74" s="22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2300</v>
      </c>
      <c r="D75" t="s">
        <v>2975</v>
      </c>
      <c r="E75" s="22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3002</v>
      </c>
      <c r="D76" t="s">
        <v>2975</v>
      </c>
      <c r="E76" s="22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2975</v>
      </c>
      <c r="E77" s="22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2975</v>
      </c>
      <c r="E78" s="22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2975</v>
      </c>
      <c r="E79" s="22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2975</v>
      </c>
      <c r="E80" s="22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3003</v>
      </c>
      <c r="D81" t="s">
        <v>2975</v>
      </c>
      <c r="E81" s="22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3053</v>
      </c>
      <c r="D82" t="s">
        <v>2975</v>
      </c>
      <c r="E82" s="22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3004</v>
      </c>
      <c r="D83" t="s">
        <v>2975</v>
      </c>
      <c r="E83" s="22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3005</v>
      </c>
      <c r="D84" t="s">
        <v>2975</v>
      </c>
      <c r="E84" s="22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2481</v>
      </c>
      <c r="D85" t="s">
        <v>2975</v>
      </c>
      <c r="E85" s="22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3006</v>
      </c>
      <c r="D86" t="s">
        <v>2975</v>
      </c>
      <c r="E86" s="22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2577</v>
      </c>
      <c r="D87" t="s">
        <v>2975</v>
      </c>
      <c r="E87" s="22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3007</v>
      </c>
      <c r="D88" t="s">
        <v>2975</v>
      </c>
      <c r="E88" s="22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3008</v>
      </c>
      <c r="D89" t="s">
        <v>2975</v>
      </c>
      <c r="E89" s="22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3009</v>
      </c>
      <c r="D90" t="s">
        <v>2975</v>
      </c>
      <c r="E90" s="22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3010</v>
      </c>
      <c r="D91" t="s">
        <v>2975</v>
      </c>
      <c r="E91" s="22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3011</v>
      </c>
      <c r="D92" t="s">
        <v>2975</v>
      </c>
      <c r="E92" s="22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3012</v>
      </c>
      <c r="D93" t="s">
        <v>2975</v>
      </c>
      <c r="E93" s="22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3013</v>
      </c>
      <c r="D94" t="s">
        <v>2975</v>
      </c>
      <c r="E94" s="22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3014</v>
      </c>
      <c r="D95" t="s">
        <v>2975</v>
      </c>
      <c r="E95" s="22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3015</v>
      </c>
      <c r="D96" t="s">
        <v>2975</v>
      </c>
      <c r="E96" s="22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2958</v>
      </c>
      <c r="D97" t="s">
        <v>2975</v>
      </c>
      <c r="E97" s="22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3049</v>
      </c>
      <c r="D98" t="s">
        <v>2975</v>
      </c>
      <c r="E98" s="22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2948</v>
      </c>
      <c r="D99" t="s">
        <v>2975</v>
      </c>
      <c r="E99" s="22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3047</v>
      </c>
      <c r="D100" t="s">
        <v>2975</v>
      </c>
      <c r="E100" s="22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3044</v>
      </c>
      <c r="D101" t="s">
        <v>2975</v>
      </c>
      <c r="E101" s="22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3048</v>
      </c>
      <c r="D102" t="s">
        <v>2975</v>
      </c>
      <c r="E102" s="22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3046</v>
      </c>
      <c r="D103" t="s">
        <v>2975</v>
      </c>
      <c r="E103" s="22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2878</v>
      </c>
      <c r="D104" t="s">
        <v>2975</v>
      </c>
      <c r="E104" s="22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3052</v>
      </c>
      <c r="D105" t="s">
        <v>2975</v>
      </c>
      <c r="E105" s="22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3043</v>
      </c>
      <c r="D106" t="s">
        <v>2975</v>
      </c>
      <c r="E106" s="22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2975</v>
      </c>
      <c r="E107" s="22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2975</v>
      </c>
      <c r="E108" s="22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2762</v>
      </c>
      <c r="D109" t="s">
        <v>2975</v>
      </c>
      <c r="E109" s="22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9" activePane="bottomLeft" state="frozen"/>
      <selection pane="bottomLeft" activeCell="D117" sqref="D117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3016</v>
      </c>
      <c r="C1" s="19" t="s">
        <v>3017</v>
      </c>
      <c r="D1" s="19" t="s">
        <v>4</v>
      </c>
      <c r="E1" s="19" t="s">
        <v>3018</v>
      </c>
      <c r="F1" s="19" t="s">
        <v>19</v>
      </c>
      <c r="G1" s="19" t="s">
        <v>3019</v>
      </c>
      <c r="H1" s="19" t="s">
        <v>3020</v>
      </c>
      <c r="I1" s="19" t="s">
        <v>3021</v>
      </c>
      <c r="J1" s="19" t="s">
        <v>3022</v>
      </c>
      <c r="L1" s="112" t="s">
        <v>3023</v>
      </c>
      <c r="M1" s="23">
        <v>2026</v>
      </c>
      <c r="U1" s="80" t="s">
        <v>3024</v>
      </c>
      <c r="V1" s="79"/>
      <c r="X1" s="78" t="s">
        <v>3025</v>
      </c>
      <c r="Y1" s="27"/>
      <c r="Z1" s="27"/>
      <c r="AA1" s="27"/>
      <c r="AC1" s="100" t="s">
        <v>3026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3" t="s">
        <v>3027</v>
      </c>
      <c r="M2" s="107" t="s">
        <v>2913</v>
      </c>
      <c r="X2" s="114" t="s">
        <v>3016</v>
      </c>
      <c r="Y2" s="114" t="s">
        <v>19</v>
      </c>
      <c r="Z2" s="114" t="s">
        <v>3028</v>
      </c>
      <c r="AA2" s="114" t="s">
        <v>3029</v>
      </c>
      <c r="AC2" s="115" t="s">
        <v>1</v>
      </c>
      <c r="AD2" s="115" t="s">
        <v>3030</v>
      </c>
      <c r="AE2" s="115" t="s">
        <v>3031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3" t="s">
        <v>3032</v>
      </c>
      <c r="M3" s="113" t="s">
        <v>3033</v>
      </c>
      <c r="N3" s="113" t="s">
        <v>3034</v>
      </c>
      <c r="O3" s="113" t="s">
        <v>3035</v>
      </c>
      <c r="P3" s="113" t="s">
        <v>3036</v>
      </c>
      <c r="Q3" s="113" t="s">
        <v>3037</v>
      </c>
      <c r="R3" s="113" t="s">
        <v>3038</v>
      </c>
      <c r="S3" s="113" t="s">
        <v>3039</v>
      </c>
      <c r="T3" s="113" t="s">
        <v>3040</v>
      </c>
      <c r="X3" t="s">
        <v>2790</v>
      </c>
      <c r="Y3" t="s">
        <v>2988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7">_xlfn.VSTACK(0,_xlfn._xlws.FILTER(S4:S200,S4:S200&lt;&gt;""))</f>
        <v>0</v>
      </c>
      <c r="X4" t="s">
        <v>2790</v>
      </c>
      <c r="Y4" t="s">
        <v>2729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2754</v>
      </c>
      <c r="Y5" t="s">
        <v>2729</v>
      </c>
      <c r="Z5">
        <v>1</v>
      </c>
      <c r="AA5">
        <v>0.6</v>
      </c>
      <c r="AC5" s="97">
        <v>2026</v>
      </c>
      <c r="AD5" s="18" t="s">
        <v>3041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2754</v>
      </c>
      <c r="Y6" t="s">
        <v>2988</v>
      </c>
      <c r="Z6">
        <v>1</v>
      </c>
      <c r="AA6">
        <v>0</v>
      </c>
      <c r="AC6" s="97">
        <v>2026</v>
      </c>
      <c r="AD6" s="18" t="s">
        <v>3042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2704</v>
      </c>
      <c r="Y7" t="s">
        <v>2709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2688</v>
      </c>
      <c r="Y11" s="18" t="s">
        <v>2982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2688</v>
      </c>
      <c r="Y12" s="18" t="s">
        <v>3000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2982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3000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2763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2763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2763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2763</v>
      </c>
      <c r="Y21" s="18" t="s">
        <v>2982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2763</v>
      </c>
      <c r="Y22" s="18" t="s">
        <v>3000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2750</v>
      </c>
      <c r="Y23" s="18" t="s">
        <v>2729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2026-027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46</v>
      </c>
      <c r="T24">
        <v>45</v>
      </c>
      <c r="X24" s="21" t="s">
        <v>2750</v>
      </c>
      <c r="Y24" s="18" t="s">
        <v>2988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2026-029</v>
      </c>
      <c r="N25" t="str">
        <v>Realizado</v>
      </c>
      <c r="O25" t="str">
        <v>UniTCDF: TCDF e a Fiscalização de Obras</v>
      </c>
      <c r="P25">
        <v>4</v>
      </c>
      <c r="Q25" t="str">
        <v>Adriana Cuoco Portugal</v>
      </c>
      <c r="R25">
        <v>1</v>
      </c>
      <c r="S25">
        <v>47</v>
      </c>
      <c r="T25">
        <v>46</v>
      </c>
      <c r="X25" t="s">
        <v>2839</v>
      </c>
      <c r="Y25" s="18" t="s">
        <v>2729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2026-031</v>
      </c>
      <c r="N26" t="str">
        <v>Realizado</v>
      </c>
      <c r="O26" t="str">
        <v>Fiscalizações Baseadas em Risco</v>
      </c>
      <c r="P26">
        <v>20</v>
      </c>
      <c r="Q26" t="str">
        <v>Reinaldo Alencar; Rogério Ribeiro</v>
      </c>
      <c r="R26">
        <v>2</v>
      </c>
      <c r="S26">
        <v>49</v>
      </c>
      <c r="T26">
        <v>47</v>
      </c>
      <c r="X26" t="s">
        <v>2839</v>
      </c>
      <c r="Y26" s="18" t="s">
        <v>2988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2026-032</v>
      </c>
      <c r="N27" t="str">
        <v>Realizado</v>
      </c>
      <c r="O27" t="str">
        <v>Curso de formação para gestores e fiscais de Contrato em equipamentos nas unidades hospitalares - T2</v>
      </c>
      <c r="P27">
        <v>12</v>
      </c>
      <c r="Q27" t="str">
        <v>Tarsila Firmino Ely; Luciana Alvim</v>
      </c>
      <c r="R27">
        <v>2</v>
      </c>
      <c r="S27">
        <v>51</v>
      </c>
      <c r="T27">
        <v>49</v>
      </c>
      <c r="X27" s="102" t="s">
        <v>2853</v>
      </c>
      <c r="Y27" s="18" t="s">
        <v>2709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2026-033</v>
      </c>
      <c r="N28" t="str">
        <v>Realizado</v>
      </c>
      <c r="O28" t="str">
        <v>Curso de formação para gestores e fiscais de Contrato em equipamentos nas unidades hospitalares - T3</v>
      </c>
      <c r="P28">
        <v>12</v>
      </c>
      <c r="Q28" t="str">
        <v>Tarsila Firmino Ely; Luciana Alvim</v>
      </c>
      <c r="R28">
        <v>2</v>
      </c>
      <c r="S28">
        <v>53</v>
      </c>
      <c r="T28">
        <v>51</v>
      </c>
      <c r="X28" s="102" t="s">
        <v>2830</v>
      </c>
      <c r="Y28" s="18" t="s">
        <v>3043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2026-034</v>
      </c>
      <c r="N29" t="str">
        <v>Realizado</v>
      </c>
      <c r="O29" t="str">
        <v>Curso “Sisaudit na Prática”</v>
      </c>
      <c r="P29">
        <v>12</v>
      </c>
      <c r="Q29" t="str">
        <v>Davi Assunção Salvador Nery de Castro; David da Silva de Araújo; Hamilton de Jesus Lopes Neto</v>
      </c>
      <c r="R29">
        <v>3</v>
      </c>
      <c r="S29">
        <v>56</v>
      </c>
      <c r="T29">
        <v>53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58</v>
      </c>
      <c r="T30">
        <v>56</v>
      </c>
      <c r="X30" s="102" t="s">
        <v>2830</v>
      </c>
      <c r="Y30" s="18" t="s">
        <v>3044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2026-037</v>
      </c>
      <c r="N31" t="str">
        <v>Realizado</v>
      </c>
      <c r="O31" t="str">
        <v>Introdução à Engenharia de Prompt - SEE</v>
      </c>
      <c r="P31">
        <v>8</v>
      </c>
      <c r="Q31" t="str">
        <v>Arthur Wú; Gustavo Takahashi</v>
      </c>
      <c r="R31">
        <v>2</v>
      </c>
      <c r="S31">
        <v>60</v>
      </c>
      <c r="T31">
        <v>58</v>
      </c>
      <c r="X31" s="102" t="s">
        <v>2839</v>
      </c>
      <c r="Y31" s="18" t="s">
        <v>2729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2026-038</v>
      </c>
      <c r="N32" t="str">
        <v>A realizar</v>
      </c>
      <c r="O32" t="str">
        <v>Introdução ao processo de controle externo - EAD</v>
      </c>
      <c r="P32">
        <v>16</v>
      </c>
      <c r="Q32" t="str">
        <v>Gabriel Heller</v>
      </c>
      <c r="R32">
        <v>1</v>
      </c>
      <c r="S32">
        <v>61</v>
      </c>
      <c r="T32">
        <v>60</v>
      </c>
      <c r="X32" s="102" t="s">
        <v>2777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2026-039</v>
      </c>
      <c r="N33" t="str">
        <v>Realizado</v>
      </c>
      <c r="O33" t="str">
        <v>MROSC para os gestores das Organizações da Sociedade Civil – OSCs</v>
      </c>
      <c r="P33">
        <v>12</v>
      </c>
      <c r="Q33" t="str">
        <v>Indio Artiaga do Brasil Rabelo; Leonardo de Melo</v>
      </c>
      <c r="R33">
        <v>2</v>
      </c>
      <c r="S33">
        <v>63</v>
      </c>
      <c r="T33">
        <v>61</v>
      </c>
      <c r="X33" s="102" t="s">
        <v>2777</v>
      </c>
      <c r="Y33" t="s">
        <v>3001</v>
      </c>
      <c r="Z33">
        <v>4</v>
      </c>
      <c r="AA33">
        <v>0.6</v>
      </c>
      <c r="AC33" s="99"/>
      <c r="AD33" s="116" t="s">
        <v>3045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2026-040</v>
      </c>
      <c r="N34" t="str">
        <v>Realizado</v>
      </c>
      <c r="O34" t="str">
        <v>Escola de Instrutores - Design Instrucional</v>
      </c>
      <c r="P34">
        <v>12</v>
      </c>
      <c r="Q34" t="str">
        <v>Paulo José Góes Daltro</v>
      </c>
      <c r="R34">
        <v>1</v>
      </c>
      <c r="S34">
        <v>64</v>
      </c>
      <c r="T34">
        <v>63</v>
      </c>
      <c r="X34" s="102" t="s">
        <v>2777</v>
      </c>
      <c r="Y34" t="s">
        <v>3002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2026-041</v>
      </c>
      <c r="N35" t="str">
        <v>Em andamento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66</v>
      </c>
      <c r="T35">
        <v>64</v>
      </c>
      <c r="X35" s="102" t="s">
        <v>2777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2026-042</v>
      </c>
      <c r="N36" t="str">
        <v>Realizado</v>
      </c>
      <c r="O36" t="str">
        <v>Curso de Formação para Conselheiros de Saúde do DF</v>
      </c>
      <c r="P36">
        <v>20</v>
      </c>
      <c r="Q36" t="str">
        <v>Tarsila Firmino Ely</v>
      </c>
      <c r="R36">
        <v>1</v>
      </c>
      <c r="S36">
        <v>67</v>
      </c>
      <c r="T36">
        <v>66</v>
      </c>
      <c r="X36" s="102" t="s">
        <v>2777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2026-043</v>
      </c>
      <c r="N37" t="str">
        <v>Realizado</v>
      </c>
      <c r="O37" t="str">
        <v>Painel MROSC</v>
      </c>
      <c r="P37">
        <v>4</v>
      </c>
      <c r="Q37" t="str">
        <v>Diversos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2026-044</v>
      </c>
      <c r="N38" t="str">
        <v>A realizar</v>
      </c>
      <c r="O38" t="str">
        <v>31º SEMAT</v>
      </c>
      <c r="P38">
        <v>8</v>
      </c>
      <c r="Q38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8">
        <v>10</v>
      </c>
      <c r="S38">
        <v>78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2026-046</v>
      </c>
      <c r="N39" t="str">
        <v>A realizar</v>
      </c>
      <c r="O39" t="str">
        <v>Oficina Temática – SEMAT: Falhas recorrentes em contratações de TI</v>
      </c>
      <c r="P39">
        <v>8</v>
      </c>
      <c r="Q39" t="str">
        <v>Felipe da Costa Malaquias</v>
      </c>
      <c r="R39">
        <v>1</v>
      </c>
      <c r="S39">
        <v>79</v>
      </c>
      <c r="T39">
        <v>78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81</v>
      </c>
      <c r="T40">
        <v>79</v>
      </c>
      <c r="X40" t="s">
        <v>2768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2026-048</v>
      </c>
      <c r="N41" t="str">
        <v>A realizar</v>
      </c>
      <c r="O41" t="str">
        <v>Oficina Temática - SEMAT: Reajuste de preços em contratos de obras e serviços de engenharia</v>
      </c>
      <c r="P41">
        <v>4</v>
      </c>
      <c r="Q41" t="str">
        <v>Thiago Magalhães de Oliveira; Silvia Lima Damasceno Carvalho</v>
      </c>
      <c r="R41">
        <v>2</v>
      </c>
      <c r="S41">
        <v>83</v>
      </c>
      <c r="T41">
        <v>81</v>
      </c>
      <c r="X41" t="s">
        <v>2879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2026-049</v>
      </c>
      <c r="N42" t="str">
        <v>A realizar</v>
      </c>
      <c r="O42" t="str">
        <v>Oficina Temática - SEMAT: Pesquisa de Preços em contratos de obras e serviços de engenharia</v>
      </c>
      <c r="P42">
        <v>4</v>
      </c>
      <c r="Q42" t="str">
        <v>Silvia Lima Damasceno Carvalho; Wibys Pereira</v>
      </c>
      <c r="R42">
        <v>2</v>
      </c>
      <c r="S42">
        <v>85</v>
      </c>
      <c r="T42">
        <v>83</v>
      </c>
      <c r="X42" t="s">
        <v>2879</v>
      </c>
      <c r="Y42" t="s">
        <v>2993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2026-050</v>
      </c>
      <c r="N43" t="str">
        <v>A realizar</v>
      </c>
      <c r="O43" t="str">
        <v>Encontro Técnico - SEMAT: Concursos públicos e registro de admissões</v>
      </c>
      <c r="P43">
        <v>4</v>
      </c>
      <c r="Q43" t="str">
        <v>Carlos Antônio</v>
      </c>
      <c r="R43">
        <v>1</v>
      </c>
      <c r="S43">
        <v>86</v>
      </c>
      <c r="T43">
        <v>85</v>
      </c>
      <c r="X43" t="s">
        <v>2883</v>
      </c>
      <c r="Y43" s="18" t="s">
        <v>3009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2026-051</v>
      </c>
      <c r="N44" t="str">
        <v>A realizar</v>
      </c>
      <c r="O44" t="str">
        <v>Oficina Temática – SEMAT: Controle Tecnológico de obras e serviços de engenharia</v>
      </c>
      <c r="P44">
        <v>4</v>
      </c>
      <c r="Q44" t="str">
        <v>Silvia Lima Damasceno Carvalho; Marcelo Silva Santana</v>
      </c>
      <c r="R44">
        <v>2</v>
      </c>
      <c r="S44">
        <v>88</v>
      </c>
      <c r="T44">
        <v>86</v>
      </c>
      <c r="X44" t="s">
        <v>2883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2026-052</v>
      </c>
      <c r="N45" t="str">
        <v>A realizar</v>
      </c>
      <c r="O45" t="str">
        <v>Encontro Técnico– SEMAT: Concessões e Fiscalização de Pessoal</v>
      </c>
      <c r="P45">
        <v>4</v>
      </c>
      <c r="Q45" t="str">
        <v>Jamile Medeiros Fon; José Roberto Alcuri Júnior</v>
      </c>
      <c r="R45">
        <v>2</v>
      </c>
      <c r="S45">
        <v>90</v>
      </c>
      <c r="T45">
        <v>88</v>
      </c>
      <c r="X45" t="s">
        <v>2868</v>
      </c>
      <c r="Y45" t="s">
        <v>3008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2026-053</v>
      </c>
      <c r="N46" t="str">
        <v>A realizar</v>
      </c>
      <c r="O46" t="str">
        <v>Oficina Temática - SEMAT: Aditivos na Contratação Integrada de obras e serviços de engenharia</v>
      </c>
      <c r="P46">
        <v>4</v>
      </c>
      <c r="Q46" t="str">
        <v>Douglas Vieira Silva Filho; Silvia Lima Damasceno Carvalho</v>
      </c>
      <c r="R46">
        <v>2</v>
      </c>
      <c r="S46">
        <v>92</v>
      </c>
      <c r="T46">
        <v>90</v>
      </c>
      <c r="X46" t="s">
        <v>2868</v>
      </c>
      <c r="Y46" t="s">
        <v>3046</v>
      </c>
      <c r="Z46">
        <v>1</v>
      </c>
      <c r="AA46">
        <v>0.3</v>
      </c>
    </row>
    <row r="47" spans="1:31" x14ac:dyDescent="0.25">
      <c r="A47">
        <v>2026</v>
      </c>
      <c r="B47" t="str">
        <v>2026-027</v>
      </c>
      <c r="C47" t="str">
        <v>Realizado</v>
      </c>
      <c r="D47" t="str">
        <v>Curso básico de e-TCDF</v>
      </c>
      <c r="E47">
        <v>16</v>
      </c>
      <c r="F47" t="str">
        <v>Cássio Murilo Alves Costa Filho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2026-054</v>
      </c>
      <c r="N47" t="str">
        <v>A realizar</v>
      </c>
      <c r="O47" t="str">
        <v>Café e Tertúlia: Encerramento da Semana da Saúde</v>
      </c>
      <c r="P47">
        <v>2</v>
      </c>
      <c r="Q47" t="str">
        <v>Cinthia Thais de Carvalho Luz Thomazi; Gabriel Heller; Isac Mendes Caixeta de Pamplona Araújo; Valéria Feitoza</v>
      </c>
      <c r="R47">
        <v>4</v>
      </c>
      <c r="S47">
        <v>96</v>
      </c>
      <c r="T47">
        <v>92</v>
      </c>
      <c r="X47" t="s">
        <v>2868</v>
      </c>
      <c r="Y47" t="s">
        <v>3047</v>
      </c>
      <c r="Z47">
        <v>1</v>
      </c>
      <c r="AA47">
        <v>0.3</v>
      </c>
    </row>
    <row r="48" spans="1:31" x14ac:dyDescent="0.25">
      <c r="A48">
        <v>2026</v>
      </c>
      <c r="B48" t="str">
        <v>2026-029</v>
      </c>
      <c r="C48" t="str">
        <v>Realizado</v>
      </c>
      <c r="D48" t="str">
        <v>UniTCDF: TCDF e a Fiscalização de Obras</v>
      </c>
      <c r="E48">
        <v>4</v>
      </c>
      <c r="F48" t="str">
        <v>Adriana Cuoco Portugal</v>
      </c>
      <c r="G48">
        <v>1</v>
      </c>
      <c r="H48">
        <v>4</v>
      </c>
      <c r="I48">
        <v>1.2</v>
      </c>
      <c r="J48">
        <v>5.2</v>
      </c>
      <c r="L48">
        <v>2026</v>
      </c>
      <c r="M48" t="str">
        <v>2026-055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97</v>
      </c>
      <c r="T48">
        <v>96</v>
      </c>
      <c r="X48" t="s">
        <v>2868</v>
      </c>
      <c r="Y48" t="s">
        <v>3048</v>
      </c>
      <c r="Z48">
        <v>1</v>
      </c>
      <c r="AA48">
        <v>0.3</v>
      </c>
    </row>
    <row r="49" spans="1:27" x14ac:dyDescent="0.25">
      <c r="A49">
        <v>2026</v>
      </c>
      <c r="B49" t="str">
        <v>2026-031</v>
      </c>
      <c r="C49" t="str">
        <v>Realizado</v>
      </c>
      <c r="D49" t="str">
        <v>Fiscalizações Baseadas em Risco</v>
      </c>
      <c r="E49">
        <v>20</v>
      </c>
      <c r="F49" t="str">
        <v>Reinaldo Alencar</v>
      </c>
      <c r="G49">
        <v>2</v>
      </c>
      <c r="H49">
        <v>20</v>
      </c>
      <c r="I49">
        <v>3</v>
      </c>
      <c r="J49">
        <v>23</v>
      </c>
      <c r="L49">
        <v>2026</v>
      </c>
      <c r="M49" t="str">
        <v>2026-056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98</v>
      </c>
      <c r="T49">
        <v>97</v>
      </c>
      <c r="X49" t="s">
        <v>2868</v>
      </c>
      <c r="Y49" t="s">
        <v>3049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Rogério Ribeiro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102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2026-032</v>
      </c>
      <c r="C51" t="str">
        <v>Realizado</v>
      </c>
      <c r="D51" t="str">
        <v>Curso de formação para gestores e fiscais de Contrato em equipamentos nas unidades hospitalares - T2</v>
      </c>
      <c r="E51">
        <v>12</v>
      </c>
      <c r="F51" t="str">
        <v>Tarsila Firmino Ely</v>
      </c>
      <c r="G51">
        <v>2</v>
      </c>
      <c r="H51">
        <v>12</v>
      </c>
      <c r="I51">
        <v>1.7999999999999998</v>
      </c>
      <c r="J51">
        <v>13.8</v>
      </c>
      <c r="L51">
        <v>2026</v>
      </c>
      <c r="M51" t="str">
        <v>2026-059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103</v>
      </c>
      <c r="T51">
        <v>102</v>
      </c>
      <c r="X51" t="s">
        <v>2868</v>
      </c>
      <c r="Y51" t="s">
        <v>3050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Luciana Alvim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2026-060</v>
      </c>
      <c r="N52" t="str">
        <v>A realizar</v>
      </c>
      <c r="O52" t="str">
        <v>TCendo o Futuro</v>
      </c>
      <c r="P52">
        <v>4</v>
      </c>
      <c r="Q52">
        <v>0</v>
      </c>
      <c r="R52">
        <v>1</v>
      </c>
      <c r="S52">
        <v>104</v>
      </c>
      <c r="T52">
        <v>103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2026-033</v>
      </c>
      <c r="C53" t="str">
        <v>Realizado</v>
      </c>
      <c r="D53" t="str">
        <v>Curso de formação para gestores e fiscais de Contrato em equipamentos nas unidades hospitalares - T3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2026-061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3051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2026-062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3052</v>
      </c>
      <c r="Z54">
        <v>0</v>
      </c>
      <c r="AA54">
        <v>0</v>
      </c>
    </row>
    <row r="55" spans="1:27" x14ac:dyDescent="0.25">
      <c r="A55">
        <v>2026</v>
      </c>
      <c r="B55" t="str">
        <v>2026-034</v>
      </c>
      <c r="C55" t="str">
        <v>Realizado</v>
      </c>
      <c r="D55" t="str">
        <v>Curso “Sisaudit na Prática”</v>
      </c>
      <c r="E55">
        <v>12</v>
      </c>
      <c r="F55" t="str">
        <v>Davi Assunção Salvador Nery de Castro</v>
      </c>
      <c r="G55">
        <v>3</v>
      </c>
      <c r="H55">
        <v>12</v>
      </c>
      <c r="I55">
        <v>1.2</v>
      </c>
      <c r="J55">
        <v>13.2</v>
      </c>
      <c r="L55">
        <v>2026</v>
      </c>
      <c r="M55" t="str">
        <v>2026-066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108</v>
      </c>
      <c r="T55">
        <v>106</v>
      </c>
      <c r="X55" t="s">
        <v>2899</v>
      </c>
      <c r="Y55" t="s">
        <v>3008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David da Silva de Araújo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2026-068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110</v>
      </c>
      <c r="T56">
        <v>108</v>
      </c>
      <c r="X56" t="s">
        <v>2928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Hamilton de Jesus Lopes Neto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T57">
        <v>110</v>
      </c>
      <c r="X57" t="s">
        <v>2918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2026-036</v>
      </c>
      <c r="C58" t="str">
        <v>Realizado</v>
      </c>
      <c r="D58" t="str">
        <v>Introdução à Engenharia de Prompt - T4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2918</v>
      </c>
      <c r="Y58" s="110" t="s">
        <v>3015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2918</v>
      </c>
      <c r="Y59" t="s">
        <v>3014</v>
      </c>
      <c r="Z59">
        <v>8</v>
      </c>
      <c r="AA59">
        <v>2.4</v>
      </c>
    </row>
    <row r="60" spans="1:27" x14ac:dyDescent="0.25">
      <c r="A60">
        <v>2026</v>
      </c>
      <c r="B60" t="str">
        <v>2026-037</v>
      </c>
      <c r="C60" t="str">
        <v>Realizado</v>
      </c>
      <c r="D60" t="str">
        <v>Introdução à Engenharia de Prompt - SEE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2918</v>
      </c>
      <c r="Y60" t="s">
        <v>3013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2908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2026-038</v>
      </c>
      <c r="C62" t="str">
        <v>A realizar</v>
      </c>
      <c r="D62" t="str">
        <v>Introdução ao processo de controle externo - EAD</v>
      </c>
      <c r="E62">
        <v>16</v>
      </c>
      <c r="F62" t="str">
        <v>Gabriel Heller</v>
      </c>
      <c r="G62">
        <v>1</v>
      </c>
      <c r="H62">
        <v>0</v>
      </c>
      <c r="I62">
        <v>32</v>
      </c>
      <c r="J62">
        <v>32</v>
      </c>
      <c r="R62" t="str">
        <v/>
      </c>
      <c r="S62" t="str">
        <v/>
      </c>
      <c r="X62" t="s">
        <v>2908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2026-039</v>
      </c>
      <c r="C63" t="str">
        <v>Realizado</v>
      </c>
      <c r="D63" t="str">
        <v>MROSC para os gestores das Organizações da Sociedade Civil – OSCs</v>
      </c>
      <c r="E63">
        <v>12</v>
      </c>
      <c r="F63" t="str">
        <v>Indio Artiaga do Brasil Rabelo</v>
      </c>
      <c r="G63">
        <v>2</v>
      </c>
      <c r="H63">
        <v>12</v>
      </c>
      <c r="I63">
        <v>3.6</v>
      </c>
      <c r="J63">
        <v>15.6</v>
      </c>
      <c r="R63" t="str">
        <v/>
      </c>
      <c r="S63" t="str">
        <v/>
      </c>
      <c r="X63" t="s">
        <v>2908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Leonardo de Melo</v>
      </c>
      <c r="G64">
        <v>2</v>
      </c>
      <c r="H64">
        <v>0</v>
      </c>
      <c r="I64">
        <v>0</v>
      </c>
      <c r="J64">
        <v>0</v>
      </c>
      <c r="R64" t="str">
        <v/>
      </c>
      <c r="S64" t="str">
        <v/>
      </c>
      <c r="X64" t="s">
        <v>2908</v>
      </c>
      <c r="Y64" t="s">
        <v>3005</v>
      </c>
      <c r="Z64">
        <v>0</v>
      </c>
      <c r="AA64">
        <v>0</v>
      </c>
    </row>
    <row r="65" spans="1:27" x14ac:dyDescent="0.25">
      <c r="A65">
        <v>2026</v>
      </c>
      <c r="B65" t="str">
        <v>2026-040</v>
      </c>
      <c r="C65" t="str">
        <v>Realizado</v>
      </c>
      <c r="D65" t="str">
        <v>Escola de Instrutores - Design Instrucional</v>
      </c>
      <c r="E65">
        <v>12</v>
      </c>
      <c r="F65" t="str">
        <v>Paulo José Góes Daltro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2949</v>
      </c>
      <c r="Y65" t="s">
        <v>2878</v>
      </c>
      <c r="Z65">
        <v>0</v>
      </c>
      <c r="AA65">
        <v>34.9</v>
      </c>
    </row>
    <row r="66" spans="1:27" x14ac:dyDescent="0.25">
      <c r="A66">
        <v>2026</v>
      </c>
      <c r="B66" t="str">
        <v>2026-041</v>
      </c>
      <c r="C66" t="str">
        <v>Em andamento</v>
      </c>
      <c r="D66" t="str">
        <v>O novo olhar sobre as políticas públicas para o Controle Externo</v>
      </c>
      <c r="E66">
        <v>24</v>
      </c>
      <c r="F66" t="str">
        <v>Reinaldo Alencar</v>
      </c>
      <c r="G66">
        <v>2</v>
      </c>
      <c r="H66">
        <v>24</v>
      </c>
      <c r="I66">
        <v>3.5999999999999996</v>
      </c>
      <c r="J66">
        <v>27.6</v>
      </c>
      <c r="R66" t="str">
        <v/>
      </c>
      <c r="S66" t="str">
        <v/>
      </c>
      <c r="X66" t="s">
        <v>2949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Rogério Ribeiro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2782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2026-042</v>
      </c>
      <c r="C68" t="str">
        <v>Realizado</v>
      </c>
      <c r="D68" t="str">
        <v>Curso de Formação para Conselheiros de Saúde do DF</v>
      </c>
      <c r="E68">
        <v>20</v>
      </c>
      <c r="F68" t="str">
        <v>Tarsila Firmino Ely</v>
      </c>
      <c r="G68">
        <v>1</v>
      </c>
      <c r="H68">
        <v>20</v>
      </c>
      <c r="I68">
        <v>6</v>
      </c>
      <c r="J68">
        <v>26</v>
      </c>
      <c r="R68" t="str">
        <v/>
      </c>
      <c r="S68" t="str">
        <v/>
      </c>
      <c r="X68" t="s">
        <v>2782</v>
      </c>
      <c r="Y68" t="s">
        <v>3053</v>
      </c>
      <c r="Z68">
        <v>3</v>
      </c>
      <c r="AA68">
        <v>0.9</v>
      </c>
    </row>
    <row r="69" spans="1:27" x14ac:dyDescent="0.25">
      <c r="A69">
        <v>2026</v>
      </c>
      <c r="B69" t="str">
        <v>2026-043</v>
      </c>
      <c r="C69" t="str">
        <v>Realizado</v>
      </c>
      <c r="D69" t="str">
        <v>Painel MROSC</v>
      </c>
      <c r="E69">
        <v>4</v>
      </c>
      <c r="F69" t="str">
        <v>Diversos</v>
      </c>
      <c r="G69">
        <v>1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2709</v>
      </c>
      <c r="Z69">
        <v>0</v>
      </c>
      <c r="AA69">
        <v>0</v>
      </c>
    </row>
    <row r="70" spans="1:27" x14ac:dyDescent="0.25">
      <c r="A70">
        <v>2026</v>
      </c>
      <c r="B70" t="str">
        <v>2026-044</v>
      </c>
      <c r="C70" t="str">
        <v>A realizar</v>
      </c>
      <c r="D70" t="str">
        <v>31º SEMAT</v>
      </c>
      <c r="E70">
        <v>8</v>
      </c>
      <c r="F70" t="str">
        <v>José Roberto Alcuri Júnior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  <c r="X70" t="s">
        <v>2842</v>
      </c>
      <c r="Y70" s="18" t="s">
        <v>2729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Felipe Ramos Barbosa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2842</v>
      </c>
      <c r="Y71" s="18" t="s">
        <v>2988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Carolina Pereira de Oliveira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Eustáquio Rabelo de Souza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2849</v>
      </c>
      <c r="Y73" t="s">
        <v>2993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Alinne Patrícia de Andrade Carvalho</v>
      </c>
      <c r="G74">
        <v>10</v>
      </c>
      <c r="H74">
        <v>0</v>
      </c>
      <c r="I74">
        <v>0</v>
      </c>
      <c r="J74">
        <v>0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Silvia Lima Damasceno Carvalho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  <c r="X75" t="s">
        <v>2872</v>
      </c>
      <c r="Y75" t="s">
        <v>2709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Marcelo Silva Santana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  <c r="X76" t="s">
        <v>2887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Cinthia Thais de Carvalho Luz Thomazi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2887</v>
      </c>
      <c r="Y77" t="s">
        <v>3006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Igor Queiroz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2895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Guilherme Bride Fernandes</v>
      </c>
      <c r="G79">
        <v>10</v>
      </c>
      <c r="H79">
        <v>0</v>
      </c>
      <c r="I79">
        <v>0</v>
      </c>
      <c r="J79">
        <v>0</v>
      </c>
      <c r="R79" t="str">
        <v/>
      </c>
      <c r="S79" t="str">
        <v/>
      </c>
      <c r="X79" t="s">
        <v>2895</v>
      </c>
      <c r="Y79" t="s">
        <v>3010</v>
      </c>
      <c r="AA79">
        <v>1.2</v>
      </c>
    </row>
    <row r="80" spans="1:27" x14ac:dyDescent="0.25">
      <c r="A80">
        <v>2026</v>
      </c>
      <c r="B80" t="str">
        <v>2026-046</v>
      </c>
      <c r="C80" t="str">
        <v>A realizar</v>
      </c>
      <c r="D80" t="str">
        <v>Oficina Temática – SEMAT: Falhas recorrentes em contratações de TI</v>
      </c>
      <c r="E80">
        <v>8</v>
      </c>
      <c r="F80" t="str">
        <v>Felipe da Costa Malaquias</v>
      </c>
      <c r="G80">
        <v>1</v>
      </c>
      <c r="H80">
        <v>8</v>
      </c>
      <c r="I80">
        <v>2.4</v>
      </c>
      <c r="J80">
        <v>10.4</v>
      </c>
      <c r="R80" t="str">
        <v/>
      </c>
      <c r="S80" t="str">
        <v/>
      </c>
      <c r="X80" t="s">
        <v>2899</v>
      </c>
      <c r="Y80" t="s">
        <v>3007</v>
      </c>
      <c r="AA80">
        <v>1.2</v>
      </c>
    </row>
    <row r="81" spans="1:27" x14ac:dyDescent="0.25">
      <c r="A81">
        <v>2026</v>
      </c>
      <c r="B81" t="str">
        <v>2026-047</v>
      </c>
      <c r="C81" t="str">
        <v>A realizar</v>
      </c>
      <c r="D81" t="str">
        <v>Oficina Temática - SEMAT: MROSC para servidores do GDF</v>
      </c>
      <c r="E81">
        <v>4</v>
      </c>
      <c r="F81" t="str">
        <v>Indio Artiaga do Brasil Rabelo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2904</v>
      </c>
      <c r="Y81" t="s">
        <v>942</v>
      </c>
      <c r="AA81">
        <v>1.2</v>
      </c>
    </row>
    <row r="82" spans="1:27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Leonardo de Melo</v>
      </c>
      <c r="G82">
        <v>2</v>
      </c>
      <c r="H82">
        <v>0</v>
      </c>
      <c r="I82">
        <v>0</v>
      </c>
      <c r="J82">
        <v>0</v>
      </c>
      <c r="R82" t="str">
        <v/>
      </c>
      <c r="S82" t="str">
        <v/>
      </c>
      <c r="X82" t="s">
        <v>2904</v>
      </c>
      <c r="Y82" t="s">
        <v>3011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2026-049</v>
      </c>
      <c r="C85" t="str">
        <v>A realizar</v>
      </c>
      <c r="D85" t="str">
        <v>Oficina Temática - SEMAT: Pesquisa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Wibys Pereira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 x14ac:dyDescent="0.25">
      <c r="A87">
        <v>2026</v>
      </c>
      <c r="B87" t="str">
        <v>2026-050</v>
      </c>
      <c r="C87" t="str">
        <v>A realizar</v>
      </c>
      <c r="D87" t="str">
        <v>Encontro Técnico - SEMAT: Concursos públicos e registro de admissões</v>
      </c>
      <c r="E87">
        <v>4</v>
      </c>
      <c r="F87" t="str">
        <v>Carlos Antônio</v>
      </c>
      <c r="G87">
        <v>1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 x14ac:dyDescent="0.25">
      <c r="A88">
        <v>2026</v>
      </c>
      <c r="B88" t="str">
        <v>2026-051</v>
      </c>
      <c r="C88" t="str">
        <v>A realizar</v>
      </c>
      <c r="D88" t="str">
        <v>Oficina Temática – SEMAT: Controle Tecnológico de obras e serviços de engenharia</v>
      </c>
      <c r="E88">
        <v>4</v>
      </c>
      <c r="F88" t="str">
        <v>Silvia Lima Damasceno Carvalho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Marcelo Silva Santana</v>
      </c>
      <c r="G89">
        <v>2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2026-052</v>
      </c>
      <c r="C90" t="str">
        <v>A realizar</v>
      </c>
      <c r="D90" t="str">
        <v>Encontro Técnico– SEMAT: Concessões e Fiscalização de Pessoal</v>
      </c>
      <c r="E90">
        <v>4</v>
      </c>
      <c r="F90" t="str">
        <v>Jamile Medeiros Fon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José Roberto Alcuri Júnior</v>
      </c>
      <c r="G91">
        <v>2</v>
      </c>
      <c r="H91">
        <v>0</v>
      </c>
      <c r="I91">
        <v>0</v>
      </c>
      <c r="J91">
        <v>0</v>
      </c>
      <c r="R91" t="str">
        <v/>
      </c>
      <c r="S91" t="str">
        <v/>
      </c>
    </row>
    <row r="92" spans="1:27" x14ac:dyDescent="0.25">
      <c r="A92">
        <v>2026</v>
      </c>
      <c r="B92" t="str">
        <v>2026-053</v>
      </c>
      <c r="C92" t="str">
        <v>A realizar</v>
      </c>
      <c r="D92" t="str">
        <v>Oficina Temática - SEMAT: Aditivos na Contratação Integrada de obras e serviços de engenharia</v>
      </c>
      <c r="E92">
        <v>4</v>
      </c>
      <c r="F92" t="str">
        <v>Douglas Vieira Silva Filho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Silvia Lima Damasceno Carvalho</v>
      </c>
      <c r="G93">
        <v>2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2026-054</v>
      </c>
      <c r="C94" t="str">
        <v>A realizar</v>
      </c>
      <c r="D94" t="str">
        <v>Café e Tertúlia: Encerramento da Semana da Saúde</v>
      </c>
      <c r="E94">
        <v>2</v>
      </c>
      <c r="F94" t="str">
        <v>Cinthia Thais de Carvalho Luz Thomazi</v>
      </c>
      <c r="G94">
        <v>4</v>
      </c>
      <c r="H94">
        <v>0</v>
      </c>
      <c r="I94">
        <v>0</v>
      </c>
      <c r="J94">
        <v>0</v>
      </c>
      <c r="R94" t="str">
        <v/>
      </c>
      <c r="S94" t="str">
        <v/>
      </c>
    </row>
    <row r="95" spans="1:27" x14ac:dyDescent="0.25">
      <c r="A95">
        <v>2026</v>
      </c>
      <c r="B95" t="str">
        <v>2026-054</v>
      </c>
      <c r="C95" t="str">
        <v>A realizar</v>
      </c>
      <c r="D95" t="str">
        <v>Café e Tertúlia: Encerramento da Semana da Saúde</v>
      </c>
      <c r="E95">
        <v>2</v>
      </c>
      <c r="F95" t="str">
        <v>Gabriel Heller</v>
      </c>
      <c r="G95">
        <v>4</v>
      </c>
      <c r="H95">
        <v>0</v>
      </c>
      <c r="I95">
        <v>0</v>
      </c>
      <c r="J95">
        <v>0</v>
      </c>
      <c r="R95" t="str">
        <v/>
      </c>
      <c r="S95" t="str">
        <v/>
      </c>
    </row>
    <row r="96" spans="1:27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Isac Mendes Caixeta de Pamplona Araújo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Valéria Feitoza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2026-055</v>
      </c>
      <c r="C98" t="str">
        <v>A realizar</v>
      </c>
      <c r="D98" t="str">
        <v>TCendo o Futuro</v>
      </c>
      <c r="E98">
        <v>4</v>
      </c>
      <c r="F98" t="str">
        <v>0</v>
      </c>
      <c r="G98">
        <v>1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2026-056</v>
      </c>
      <c r="C99" t="str">
        <v>A realizar</v>
      </c>
      <c r="D99" t="str">
        <v>TCendo o Futuro</v>
      </c>
      <c r="E99">
        <v>4</v>
      </c>
      <c r="F99" t="str">
        <v>0</v>
      </c>
      <c r="G99">
        <v>1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2026-057</v>
      </c>
      <c r="C100" t="str">
        <v>A realizar</v>
      </c>
      <c r="D100" t="str">
        <v>Curso de formação sobre "Programa de Descentralização Progressiva das Ações de Saúde - PDPAS</v>
      </c>
      <c r="E100">
        <v>20</v>
      </c>
      <c r="F100" t="str">
        <v>Tarsila Firmino Ely</v>
      </c>
      <c r="G100">
        <v>4</v>
      </c>
      <c r="H100">
        <v>20</v>
      </c>
      <c r="I100">
        <v>3.6</v>
      </c>
      <c r="J100">
        <v>23.6</v>
      </c>
      <c r="R100" t="str">
        <v/>
      </c>
      <c r="S100" t="str">
        <v/>
      </c>
    </row>
    <row r="101" spans="1:19" x14ac:dyDescent="0.25">
      <c r="A101">
        <v>2026</v>
      </c>
      <c r="B101" t="str">
        <v>2026-057</v>
      </c>
      <c r="C101" t="str">
        <v>A realizar</v>
      </c>
      <c r="D101" t="str">
        <v>Curso de formação sobre "Programa de Descentralização Progressiva das Ações de Saúde - PDPAS</v>
      </c>
      <c r="E101">
        <v>20</v>
      </c>
      <c r="F101" t="str">
        <v>Sara Cristina Lins Ramos</v>
      </c>
      <c r="G101">
        <v>4</v>
      </c>
      <c r="H101">
        <v>8</v>
      </c>
      <c r="I101">
        <v>2.4</v>
      </c>
      <c r="J101">
        <v>10.4</v>
      </c>
      <c r="R101" t="str">
        <v/>
      </c>
      <c r="S101" t="str">
        <v/>
      </c>
    </row>
    <row r="102" spans="1:19" x14ac:dyDescent="0.25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Carina de Souza Mariuba Herthel</v>
      </c>
      <c r="G102">
        <v>4</v>
      </c>
      <c r="H102">
        <v>8</v>
      </c>
      <c r="I102">
        <v>2.4</v>
      </c>
      <c r="J102">
        <v>10.4</v>
      </c>
      <c r="R102" t="str">
        <v/>
      </c>
      <c r="S102" t="str">
        <v/>
      </c>
    </row>
    <row r="103" spans="1:19" x14ac:dyDescent="0.25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Elvis Aaron Teixeira dos Santos Lima</v>
      </c>
      <c r="G103">
        <v>4</v>
      </c>
      <c r="H103">
        <v>0</v>
      </c>
      <c r="I103">
        <v>0</v>
      </c>
      <c r="J103">
        <v>0</v>
      </c>
      <c r="R103" t="str">
        <v/>
      </c>
      <c r="S103" t="str">
        <v/>
      </c>
    </row>
    <row r="104" spans="1:19" x14ac:dyDescent="0.25">
      <c r="A104">
        <v>2026</v>
      </c>
      <c r="B104" t="str">
        <v>2026-059</v>
      </c>
      <c r="C104" t="str">
        <v>A realizar</v>
      </c>
      <c r="D104" t="str">
        <v>TCendo o Futuro</v>
      </c>
      <c r="E104">
        <v>4</v>
      </c>
      <c r="F104" t="str">
        <v>0</v>
      </c>
      <c r="G104">
        <v>1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2026-060</v>
      </c>
      <c r="C105" t="str">
        <v>A realizar</v>
      </c>
      <c r="D105" t="str">
        <v>TCendo o Futuro</v>
      </c>
      <c r="E105">
        <v>4</v>
      </c>
      <c r="F105" t="str">
        <v>0</v>
      </c>
      <c r="G105">
        <v>1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2026-061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2026-062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2026-066</v>
      </c>
      <c r="C108" t="str">
        <v>A realizar</v>
      </c>
      <c r="D108" t="str">
        <v>Contratações de TIC com base na jurisprudência do TCDF - EAD</v>
      </c>
      <c r="E108">
        <v>17.45</v>
      </c>
      <c r="F108" t="str">
        <v>Flávio José Fonseca de Souza</v>
      </c>
      <c r="G108">
        <v>2</v>
      </c>
      <c r="H108">
        <v>0</v>
      </c>
      <c r="I108">
        <v>34.9</v>
      </c>
      <c r="J108">
        <v>34.9</v>
      </c>
      <c r="R108" t="str">
        <v/>
      </c>
      <c r="S108" t="str">
        <v/>
      </c>
    </row>
    <row r="109" spans="1:19" x14ac:dyDescent="0.25">
      <c r="A109">
        <v>2026</v>
      </c>
      <c r="B109" t="str">
        <v>2026-066</v>
      </c>
      <c r="C109" t="str">
        <v>A realizar</v>
      </c>
      <c r="D109" t="str">
        <v>Contratações de TIC com base na jurisprudência do TCDF - EAD</v>
      </c>
      <c r="E109">
        <v>17.45</v>
      </c>
      <c r="F109" t="str">
        <v>Felipe da Costa Malaquias</v>
      </c>
      <c r="G109">
        <v>2</v>
      </c>
      <c r="H109">
        <v>0</v>
      </c>
      <c r="I109">
        <v>34.9</v>
      </c>
      <c r="J109">
        <v>34.9</v>
      </c>
      <c r="R109" t="str">
        <v/>
      </c>
      <c r="S109" t="str">
        <v/>
      </c>
    </row>
    <row r="110" spans="1:19" x14ac:dyDescent="0.25">
      <c r="A110">
        <v>2026</v>
      </c>
      <c r="B110" t="str">
        <v>2026-068</v>
      </c>
      <c r="C110" t="str">
        <v>A realizar</v>
      </c>
      <c r="D110" t="str">
        <v>Oficina Temática - SEMAT: Matriz de Riscos em contratos de obras e serviços de engenharia</v>
      </c>
      <c r="E110">
        <v>4</v>
      </c>
      <c r="F110" t="str">
        <v>Silvia Lima Damasceno Carvalho</v>
      </c>
      <c r="G110">
        <v>2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2026-068</v>
      </c>
      <c r="C111" t="str">
        <v>A realizar</v>
      </c>
      <c r="D111" t="str">
        <v>Oficina Temática - SEMAT: Matriz de Riscos em contratos de obras e serviços de engenharia</v>
      </c>
      <c r="E111">
        <v>4</v>
      </c>
      <c r="F111" t="str">
        <v>Renan Dias da Silva</v>
      </c>
      <c r="G111">
        <v>2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3054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3055</v>
      </c>
      <c r="B4" s="231"/>
      <c r="D4" s="232" t="s">
        <v>3056</v>
      </c>
      <c r="E4" s="233"/>
      <c r="G4" s="45" t="s">
        <v>3057</v>
      </c>
    </row>
    <row r="5" spans="1:7" ht="54.95" customHeight="1" thickBot="1" x14ac:dyDescent="0.75">
      <c r="A5" s="35">
        <f>COUNTIF('Ações InCompany'!B:B,2026)</f>
        <v>73</v>
      </c>
      <c r="B5" s="36" t="s">
        <v>3058</v>
      </c>
      <c r="D5" s="43">
        <f>COUNTIFS('Ações InCompany'!B:B,2026,'Ações InCompany'!C:C,"Realizado")</f>
        <v>37</v>
      </c>
      <c r="E5" s="44" t="s">
        <v>3058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3059</v>
      </c>
      <c r="B8" s="227"/>
      <c r="D8" s="227" t="s">
        <v>3060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3061</v>
      </c>
      <c r="D10" s="28" t="s">
        <v>3062</v>
      </c>
      <c r="E10" s="28" t="s">
        <v>3063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3067</v>
      </c>
      <c r="B14" s="34">
        <f>SUM(B11:B13)</f>
        <v>37</v>
      </c>
      <c r="D14" s="33" t="s">
        <v>3068</v>
      </c>
      <c r="E14" s="34">
        <f>SUM(E11:E13)</f>
        <v>1824</v>
      </c>
    </row>
    <row r="30" spans="1:5" ht="17.25" x14ac:dyDescent="0.3">
      <c r="A30" s="227" t="s">
        <v>3069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3070</v>
      </c>
      <c r="C32" s="28" t="s">
        <v>3071</v>
      </c>
      <c r="D32" s="28" t="s">
        <v>3072</v>
      </c>
      <c r="E32" s="28" t="s">
        <v>3073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2727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2707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2748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2701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3074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3075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3081</v>
      </c>
      <c r="B2" s="12" t="s">
        <v>3082</v>
      </c>
      <c r="C2" s="12" t="s">
        <v>1736</v>
      </c>
      <c r="D2" s="12" t="s">
        <v>3083</v>
      </c>
      <c r="E2" s="12" t="s">
        <v>3084</v>
      </c>
    </row>
    <row r="3" spans="1:5" ht="18" customHeight="1" x14ac:dyDescent="0.25">
      <c r="A3" s="12" t="s">
        <v>3081</v>
      </c>
      <c r="B3" s="12" t="s">
        <v>3082</v>
      </c>
      <c r="C3" s="14" t="s">
        <v>25</v>
      </c>
      <c r="D3" s="12" t="s">
        <v>3085</v>
      </c>
      <c r="E3" s="12" t="s">
        <v>3086</v>
      </c>
    </row>
    <row r="4" spans="1:5" ht="18" customHeight="1" x14ac:dyDescent="0.25">
      <c r="A4" s="12" t="s">
        <v>3081</v>
      </c>
      <c r="B4" s="12" t="s">
        <v>3082</v>
      </c>
      <c r="C4" s="12" t="s">
        <v>75</v>
      </c>
      <c r="D4" s="12" t="s">
        <v>3083</v>
      </c>
      <c r="E4" s="12" t="s">
        <v>3087</v>
      </c>
    </row>
    <row r="5" spans="1:5" ht="18" customHeight="1" x14ac:dyDescent="0.25">
      <c r="A5" s="12" t="s">
        <v>3081</v>
      </c>
      <c r="B5" s="12" t="s">
        <v>3082</v>
      </c>
      <c r="C5" s="12" t="s">
        <v>79</v>
      </c>
      <c r="D5" s="12" t="s">
        <v>3088</v>
      </c>
      <c r="E5" s="12" t="s">
        <v>3089</v>
      </c>
    </row>
    <row r="6" spans="1:5" ht="18" customHeight="1" x14ac:dyDescent="0.25">
      <c r="A6" s="12" t="s">
        <v>3081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3081</v>
      </c>
      <c r="B7" s="12" t="s">
        <v>3092</v>
      </c>
      <c r="C7" s="12" t="s">
        <v>36</v>
      </c>
      <c r="D7" s="12" t="s">
        <v>3093</v>
      </c>
      <c r="E7" s="12" t="s">
        <v>3094</v>
      </c>
    </row>
    <row r="8" spans="1:5" ht="18" customHeight="1" x14ac:dyDescent="0.25">
      <c r="A8" s="12" t="s">
        <v>3081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3081</v>
      </c>
      <c r="B9" s="12" t="s">
        <v>3097</v>
      </c>
      <c r="C9" s="12" t="s">
        <v>464</v>
      </c>
      <c r="D9" s="12" t="s">
        <v>3098</v>
      </c>
      <c r="E9" s="12" t="s">
        <v>3099</v>
      </c>
    </row>
    <row r="10" spans="1:5" ht="18" customHeight="1" x14ac:dyDescent="0.25">
      <c r="A10" s="12" t="s">
        <v>3081</v>
      </c>
      <c r="B10" s="12" t="s">
        <v>3097</v>
      </c>
      <c r="C10" s="12" t="s">
        <v>206</v>
      </c>
      <c r="D10" s="12" t="s">
        <v>24</v>
      </c>
      <c r="E10" s="12" t="s">
        <v>3100</v>
      </c>
    </row>
    <row r="11" spans="1:5" ht="18" customHeight="1" x14ac:dyDescent="0.25">
      <c r="A11" s="12" t="s">
        <v>3081</v>
      </c>
      <c r="B11" s="12" t="s">
        <v>3097</v>
      </c>
      <c r="C11" s="12" t="s">
        <v>371</v>
      </c>
      <c r="D11" s="12" t="s">
        <v>24</v>
      </c>
      <c r="E11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3102</v>
      </c>
      <c r="B1" s="5" t="s">
        <v>10</v>
      </c>
      <c r="C1" s="15" t="s">
        <v>3103</v>
      </c>
      <c r="D1" s="15" t="s">
        <v>3017</v>
      </c>
    </row>
    <row r="2" spans="1:4" ht="21" customHeight="1" x14ac:dyDescent="0.25">
      <c r="A2" s="103" t="s">
        <v>24</v>
      </c>
      <c r="B2" s="103" t="s">
        <v>38</v>
      </c>
      <c r="C2" s="12" t="s">
        <v>3104</v>
      </c>
      <c r="D2" s="12" t="s">
        <v>2773</v>
      </c>
    </row>
    <row r="3" spans="1:4" ht="21" customHeight="1" x14ac:dyDescent="0.25">
      <c r="A3" s="12" t="s">
        <v>69</v>
      </c>
      <c r="B3" s="103" t="s">
        <v>27</v>
      </c>
      <c r="C3" s="12" t="s">
        <v>3105</v>
      </c>
      <c r="D3" s="12" t="s">
        <v>2565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3107</v>
      </c>
      <c r="B2" s="12" t="s">
        <v>3082</v>
      </c>
      <c r="C2" s="14" t="s">
        <v>25</v>
      </c>
      <c r="D2" s="12" t="s">
        <v>3083</v>
      </c>
      <c r="E2" s="17" t="s">
        <v>3108</v>
      </c>
    </row>
    <row r="3" spans="1:5" ht="18" customHeight="1" x14ac:dyDescent="0.25">
      <c r="A3" s="12" t="s">
        <v>3107</v>
      </c>
      <c r="B3" s="12" t="s">
        <v>3082</v>
      </c>
      <c r="C3" s="12" t="s">
        <v>75</v>
      </c>
      <c r="D3" s="12" t="s">
        <v>3085</v>
      </c>
      <c r="E3" s="12" t="s">
        <v>3109</v>
      </c>
    </row>
    <row r="4" spans="1:5" ht="18" customHeight="1" x14ac:dyDescent="0.25">
      <c r="A4" s="12" t="s">
        <v>3107</v>
      </c>
      <c r="B4" s="12" t="s">
        <v>3082</v>
      </c>
      <c r="C4" s="12" t="s">
        <v>79</v>
      </c>
      <c r="D4" s="12" t="s">
        <v>3088</v>
      </c>
      <c r="E4" s="12" t="s">
        <v>3110</v>
      </c>
    </row>
    <row r="5" spans="1:5" ht="27.75" customHeight="1" x14ac:dyDescent="0.25">
      <c r="A5" s="12" t="s">
        <v>3107</v>
      </c>
      <c r="B5" s="12" t="s">
        <v>3082</v>
      </c>
      <c r="C5" s="12" t="s">
        <v>2701</v>
      </c>
      <c r="D5" s="17" t="s">
        <v>3111</v>
      </c>
      <c r="E5" s="12" t="s">
        <v>3112</v>
      </c>
    </row>
    <row r="6" spans="1:5" ht="18" customHeight="1" x14ac:dyDescent="0.25">
      <c r="A6" s="12" t="s">
        <v>3107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3107</v>
      </c>
      <c r="B7" s="12" t="s">
        <v>3092</v>
      </c>
      <c r="C7" s="12" t="s">
        <v>2727</v>
      </c>
      <c r="D7" s="12" t="s">
        <v>3113</v>
      </c>
      <c r="E7" s="12" t="s">
        <v>3114</v>
      </c>
    </row>
    <row r="8" spans="1:5" ht="18" customHeight="1" x14ac:dyDescent="0.25">
      <c r="A8" s="12" t="s">
        <v>3107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3107</v>
      </c>
      <c r="B9" s="12" t="s">
        <v>3092</v>
      </c>
      <c r="C9" s="12" t="s">
        <v>2707</v>
      </c>
      <c r="D9" s="12" t="s">
        <v>3115</v>
      </c>
      <c r="E9" s="17" t="s">
        <v>3116</v>
      </c>
    </row>
    <row r="10" spans="1:5" ht="18" customHeight="1" x14ac:dyDescent="0.25">
      <c r="A10" s="12" t="s">
        <v>3107</v>
      </c>
      <c r="B10" s="12" t="s">
        <v>3117</v>
      </c>
      <c r="C10" s="12" t="s">
        <v>3074</v>
      </c>
      <c r="D10" s="12" t="s">
        <v>3118</v>
      </c>
      <c r="E10" s="17" t="s">
        <v>3119</v>
      </c>
    </row>
    <row r="11" spans="1:5" ht="18" customHeight="1" x14ac:dyDescent="0.25">
      <c r="A11" s="12" t="s">
        <v>3107</v>
      </c>
      <c r="B11" s="12" t="s">
        <v>3117</v>
      </c>
      <c r="C11" s="12" t="s">
        <v>206</v>
      </c>
      <c r="D11" s="12" t="s">
        <v>24</v>
      </c>
      <c r="E11" s="12" t="s">
        <v>3100</v>
      </c>
    </row>
    <row r="12" spans="1:5" ht="18" customHeight="1" x14ac:dyDescent="0.25">
      <c r="A12" s="12" t="s">
        <v>3107</v>
      </c>
      <c r="B12" s="12" t="s">
        <v>3117</v>
      </c>
      <c r="C12" s="12" t="s">
        <v>371</v>
      </c>
      <c r="D12" s="12" t="s">
        <v>24</v>
      </c>
      <c r="E12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3120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3121</v>
      </c>
    </row>
    <row r="4" spans="1:8" ht="21.95" customHeight="1" x14ac:dyDescent="0.25">
      <c r="A4" s="235" t="s">
        <v>3122</v>
      </c>
      <c r="B4" s="236"/>
      <c r="D4" s="235" t="s">
        <v>3123</v>
      </c>
      <c r="E4" s="236"/>
      <c r="G4" s="235" t="s">
        <v>3124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3125</v>
      </c>
      <c r="B7" s="62" t="s">
        <v>3126</v>
      </c>
      <c r="C7" s="62" t="s">
        <v>1</v>
      </c>
      <c r="D7" s="62" t="s">
        <v>3127</v>
      </c>
      <c r="E7" s="62" t="s">
        <v>3128</v>
      </c>
      <c r="F7" s="62" t="s">
        <v>3017</v>
      </c>
      <c r="G7" s="62" t="s">
        <v>5</v>
      </c>
      <c r="H7" s="62" t="s">
        <v>3129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3130</v>
      </c>
      <c r="B1" s="240"/>
      <c r="C1" s="240"/>
      <c r="D1" s="240"/>
      <c r="E1" s="240"/>
      <c r="F1" s="240"/>
    </row>
    <row r="2" spans="1:7" x14ac:dyDescent="0.25">
      <c r="A2" s="241" t="s">
        <v>3131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3020</v>
      </c>
      <c r="C4" s="25" t="s">
        <v>3021</v>
      </c>
      <c r="D4" s="25" t="s">
        <v>3132</v>
      </c>
      <c r="E4" s="25" t="s">
        <v>3022</v>
      </c>
      <c r="F4" s="25" t="s">
        <v>3133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79.999999999999986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155.99999999999997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3068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3134</v>
      </c>
      <c r="B1" s="123" t="s">
        <v>3135</v>
      </c>
      <c r="C1" s="123" t="s">
        <v>3136</v>
      </c>
      <c r="D1" s="123" t="s">
        <v>3137</v>
      </c>
      <c r="E1" s="123" t="s">
        <v>3138</v>
      </c>
      <c r="F1" s="123" t="s">
        <v>3139</v>
      </c>
      <c r="G1" s="123" t="s">
        <v>10</v>
      </c>
      <c r="H1" s="123" t="s">
        <v>3140</v>
      </c>
      <c r="I1" s="123" t="s">
        <v>3141</v>
      </c>
      <c r="J1" s="123" t="s">
        <v>3142</v>
      </c>
      <c r="K1" s="123" t="s">
        <v>3143</v>
      </c>
      <c r="L1" s="123" t="s">
        <v>3144</v>
      </c>
      <c r="N1" s="124" t="s">
        <v>3145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3146</v>
      </c>
      <c r="L2" t="str">
        <f>IF(K2="","",IFERROR(INDEX(Tabela2[Curso],MATCH(K2,Tabela2[ID],0)),""))</f>
        <v/>
      </c>
      <c r="N2" s="123" t="s">
        <v>3016</v>
      </c>
      <c r="O2" s="123" t="s">
        <v>4</v>
      </c>
      <c r="P2" s="123" t="s">
        <v>3147</v>
      </c>
      <c r="Q2" s="123" t="s">
        <v>3148</v>
      </c>
      <c r="R2" s="123" t="s">
        <v>3149</v>
      </c>
      <c r="S2" s="123" t="s">
        <v>3150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3146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3146</v>
      </c>
      <c r="L4" t="str">
        <f>IF(K4="","",IFERROR(INDEX(Tabela2[Curso],MATCH(K4,Tabela2[ID],0)),""))</f>
        <v/>
      </c>
      <c r="N4" t="s">
        <v>2777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3146</v>
      </c>
      <c r="L5" t="str">
        <f>IF(K5="","",IFERROR(INDEX(Tabela2[Curso],MATCH(K5,Tabela2[ID],0)),""))</f>
        <v/>
      </c>
      <c r="N5" t="s">
        <v>2928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3146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3146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3146</v>
      </c>
      <c r="L10" t="str">
        <f>IF(K10="","",IFERROR(INDEX(Tabela2[Curso],MATCH(K10,Tabela2[ID],0)),""))</f>
        <v/>
      </c>
      <c r="N10" s="122" t="s">
        <v>3151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3146</v>
      </c>
      <c r="L11" t="str">
        <f>IF(K11="","",IFERROR(INDEX(Tabela2[Curso],MATCH(K11,Tabela2[ID],0)),""))</f>
        <v/>
      </c>
      <c r="N11" s="125" t="s">
        <v>3152</v>
      </c>
      <c r="O11" s="125" t="s">
        <v>3153</v>
      </c>
      <c r="P11" s="125" t="s">
        <v>3154</v>
      </c>
      <c r="Q11" s="125" t="s">
        <v>3137</v>
      </c>
      <c r="R11" s="125" t="s">
        <v>3138</v>
      </c>
      <c r="S11" s="125" t="s">
        <v>3155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3146</v>
      </c>
      <c r="L12" t="str">
        <f>IF(K12="","",IFERROR(INDEX(Tabela2[Curso],MATCH(K12,Tabela2[ID],0)),""))</f>
        <v/>
      </c>
      <c r="N12" t="s">
        <v>3156</v>
      </c>
      <c r="O12" t="s">
        <v>2777</v>
      </c>
      <c r="P12" t="s">
        <v>3157</v>
      </c>
      <c r="Q12">
        <v>0</v>
      </c>
      <c r="R12">
        <v>0</v>
      </c>
      <c r="S12" t="s">
        <v>3158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3146</v>
      </c>
      <c r="L13" t="str">
        <f>IF(K13="","",IFERROR(INDEX(Tabela2[Curso],MATCH(K13,Tabela2[ID],0)),""))</f>
        <v/>
      </c>
      <c r="N13" t="s">
        <v>3159</v>
      </c>
      <c r="O13" t="s">
        <v>2868</v>
      </c>
      <c r="P13" t="s">
        <v>3160</v>
      </c>
      <c r="Q13">
        <v>0</v>
      </c>
      <c r="R13">
        <v>0</v>
      </c>
      <c r="S13" t="s">
        <v>3161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2026-07-31T16:34:17Z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