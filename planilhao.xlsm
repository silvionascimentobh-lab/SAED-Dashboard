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20" documentId="13_ncr:1_{6A2CC3E2-FAFB-4D8F-B284-5E8FB5045DFE}" xr6:coauthVersionLast="47" xr6:coauthVersionMax="47" xr10:uidLastSave="{CB424AFB-A7B9-411F-A63F-716D730AAAAE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<sst xmlns="http://schemas.openxmlformats.org/spreadsheetml/2006/main" count="7315" uniqueCount="3218">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</sst>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20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4"/>
        <filter val="2025"/>
        <filter val="2026"/>
      </filters>
    </filterColumn>
    <filterColumn colId="2">
      <filters>
        <filter val="A realizar"/>
        <filter val="Realizado"/>
      </filters>
    </filterColumn>
    <filterColumn colId="10">
      <filters>
        <filter val="Instrutoria Extern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36" activePane="bottomLeft" state="frozen"/>
      <selection pane="bottomLeft" activeCell="E577" sqref="E57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hidden="1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hidden="1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hidden="1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hidden="1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hidden="1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hidden="1" x14ac:dyDescent="0.25">
      <c r="A739" s="191" t="s">
        <v>3007</v>
      </c>
      <c r="B739" s="183">
        <v>2026</v>
      </c>
      <c r="C739" s="183" t="s">
        <v>22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Realizado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Realizado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54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20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3123</v>
      </c>
      <c r="B14" s="34">
        <f>SUM(B11:B13)</f>
        <v>52</v>
      </c>
      <c r="D14" s="33" t="s">
        <v>3124</v>
      </c>
      <c r="E14" s="34">
        <f>SUM(E11:E13)</f>
        <v>2814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54</v>
      </c>
      <c r="C45" s="41">
        <f>SUM(C33:C44)</f>
        <v>27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2026-09-03T17:13:38Z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