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19" documentId="13_ncr:1_{6A2CC3E2-FAFB-4D8F-B284-5E8FB5045DFE}" xr6:coauthVersionLast="47" xr6:coauthVersionMax="47" xr10:uidLastSave="{570F4BA2-480C-411F-ACE5-539AAB3FE328}"/>
  <bookViews>
    <workbookView xWindow="-108" yWindow="-108" windowWidth="23256" windowHeight="12456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6" i="3"/>
  <c r="E109" i="28" a="1"/>
  <c r="E108" i="28" a="1"/>
  <c r="A734" i="3"/>
  <c r="A735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R4" i="20" s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s="1" a="1"/>
  <c r="T4" i="20" l="1"/>
  <c r="A2" i="20" s="1" a="1"/>
  <c r="A5" i="23" l="1" a="1"/>
  <c r="E105" i="23"/>
  <c r="A2" i="20"/>
  <c r="D64" i="23" l="1"/>
  <c r="C64" i="23"/>
  <c r="B64" i="23"/>
  <c r="E64" i="23"/>
  <c r="F64" i="23"/>
  <c r="D53" i="23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<sst xmlns="http://schemas.openxmlformats.org/spreadsheetml/2006/main" count="7411" uniqueCount="3263">
  <si>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</si>
  <si>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</si>
  <si>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</si>
  <si>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</si>
  <si>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</si>
  <si>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</si>
  <si>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</si>
  <si>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</si>
  <si>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</si>
  <si>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</si>
  <si>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</si>
  <si>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</si>
  <si>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</si>
  <si>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</si>
  <si>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</si>
  <si>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</si>
  <si>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</si>
  <si>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</si>
  <si>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</si>
  <si>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</si>
  <si>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</si>
  <si>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</si>
  <si>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</si>
  <si>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</si>
  <si>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</si>
  <si>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</si>
  <si>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</si>
  <si>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</si>
  <si>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</si>
  <si>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</si>
  <si>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</si>
  <si>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</si>
  <si>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</si>
  <si>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</si>
  <si>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</si>
  <si>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</si>
  <si>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</si>
  <si>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</si>
  <si>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</si>
  <si>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</si>
  <si>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</si>
  <si>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</si>
  <si>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</si>
  <si>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</si>
  <si>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</si>
  <si>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</si>
  <si>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</si>
  <si>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</si>
  <si>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</si>
  <si>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</si>
  <si>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</si>
  <si>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</si>
  <si>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</si>
  <si>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</si>
  <si>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</si>
  <si>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</si>
  <si>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</si>
  <si>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</si>
  <si>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</si>
  <si>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</si>
  <si>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</si>
  <si>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</si>
  <si>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</si>
  <si>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</si>
  <si>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</si>
  <si>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</si>
  <si>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</si>
  <si>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</si>
  <si>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</si>
  <si>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</si>
  <si>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</si>
  <si>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</si>
  <si>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</si>
  <si>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</si>
  <si>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</si>
  <si>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</si>
  <si>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</si>
  <si>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</si>
  <si>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</si>
  <si>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</si>
  <si>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</si>
  <si>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</si>
  <si>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</si>
  <si>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</si>
  <si>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</si>
  <si>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</si>
  <si>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</si>
  <si>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</si>
  <si>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</si>
  <si>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</si>
  <si>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</si>
  <si>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</si>
  <si>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</si>
  <si>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</si>
  <si>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</si>
  <si>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</si>
  <si>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</si>
  <si>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</si>
  <si>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</si>
  <si>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</si>
  <si>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</si>
  <si>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</si>
  <si>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</si>
  <si>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</si>
  <si>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</si>
  <si>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</si>
  <si>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</si>
  <si>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</si>
  <si>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</si>
  <si>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</si>
  <si>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</si>
  <si>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</si>
  <si>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</si>
  <si>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</si>
  <si>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</si>
  <si>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</si>
  <si>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</si>
  <si>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</si>
  <si>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</si>
  <si>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</si>
  <si>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</si>
  <si>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</si>
  <si>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</si>
  <si>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</si>
  <si>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</si>
  <si>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</si>
  <si>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</si>
  <si>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</si>
  <si>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</si>
  <si>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</si>
  <si>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</si>
  <si>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</si>
  <si>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</si>
  <si>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</si>
  <si>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</si>
  <si>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</si>
  <si>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</si>
  <si>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</si>
  <si>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</si>
  <si>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</si>
  <si>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</si>
  <si>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</si>
  <si>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</si>
  <si>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</si>
  <si>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</si>
  <si>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</si>
  <si>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</si>
  <si>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</si>
  <si>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</si>
  <si>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</si>
  <si>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</si>
  <si>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</si>
  <si>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</si>
  <si>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</si>
  <si>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</si>
  <si>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</si>
  <si>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</si>
  <si>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</si>
  <si>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</si>
  <si>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</si>
  <si>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</si>
  <si>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</si>
  <si>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</si>
  <si>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</si>
  <si>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</si>
  <si>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</si>
  <si>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</si>
  <si>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</si>
  <si>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</si>
  <si>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</si>
  <si>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</si>
  <si>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</si>
  <si>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</si>
  <si>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</si>
  <si>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</si>
  <si>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</si>
  <si>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</si>
  <si>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</si>
  <si>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</si>
  <si>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</si>
  <si>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</si>
  <si>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</si>
  <si>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</si>
  <si>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</si>
  <si>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</si>
  <si>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</si>
  <si>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</si>
  <si>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</si>
  <si>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</si>
  <si>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</si>
  <si>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</si>
  <si>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</si>
  <si>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</si>
  <si>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</si>
  <si>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</si>
  <si>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</si>
  <si>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</si>
  <si>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</si>
  <si>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</si>
  <si>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</si>
  <si>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</si>
  <si>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</si>
  <si>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</si>
  <si>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</si>
  <si>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</si>
  <si>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</si>
  <si>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</si>
  <si>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</si>
  <si>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</si>
  <si>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</si>
  <si>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</si>
  <si>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</si>
  <si>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</si>
  <si>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</si>
  <si>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</si>
  <si>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</si>
  <si>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</si>
  <si>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</si>
  <si>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</si>
  <si>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</si>
  <si>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</si>
  <si>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</si>
  <si>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</si>
  <si>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</si>
  <si>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</si>
  <si>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</si>
  <si>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</si>
  <si>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</si>
  <si>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</si>
  <si>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</si>
  <si>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</si>
  <si>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</si>
  <si>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</si>
  <si>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</si>
  <si>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</si>
  <si>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</si>
  <si>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</si>
  <si>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</si>
  <si>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</si>
  <si>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</si>
  <si>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</si>
  <si>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</si>
  <si>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</si>
  <si>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</si>
  <si>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</si>
  <si>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</si>
  <si>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</si>
  <si>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</si>
  <si>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</si>
  <si>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</si>
  <si>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</si>
  <si>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</si>
  <si>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</si>
  <si>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</si>
  <si>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</si>
  <si>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</si>
  <si>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</si>
  <si>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</si>
  <si>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</si>
  <si>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</si>
  <si>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</si>
  <si>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</si>
  <si>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</si>
  <si>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</si>
  <si>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</si>
  <si>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</si>
  <si>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</si>
  <si>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</si>
  <si>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</si>
  <si>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</si>
  <si>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</si>
  <si>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</si>
  <si>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</si>
  <si>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</si>
  <si>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</si>
  <si>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</si>
  <si>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</si>
  <si>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</si>
  <si>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</si>
  <si>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</si>
  <si>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</si>
  <si>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</si>
  <si>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</si>
  <si>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</si>
  <si>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</si>
  <si>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</si>
  <si>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</si>
  <si>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</si>
  <si>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</si>
  <si>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</si>
  <si>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</si>
  <si>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</si>
  <si>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</si>
  <si>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</si>
  <si>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</si>
  <si>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</si>
  <si>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</si>
  <si>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</si>
  <si>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</si>
  <si>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</si>
  <si>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</si>
  <si>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</si>
  <si>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</si>
  <si>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</si>
  <si>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</si>
  <si>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</si>
  <si>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</si>
  <si>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</si>
  <si>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</si>
  <si>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</si>
  <si>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</si>
  <si>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</si>
  <si>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</si>
  <si>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</si>
  <si>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</si>
  <si>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</si>
  <si>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</si>
  <si>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</si>
  <si>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</si>
  <si>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</si>
  <si>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</si>
  <si>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</si>
  <si>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</si>
  <si>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</si>
  <si>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</si>
  <si>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</si>
  <si>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</si>
  <si>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</si>
  <si>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</si>
  <si>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</si>
  <si>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</si>
  <si>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</si>
  <si>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</si>
  <si>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</si>
  <si>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</si>
  <si>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</si>
  <si>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</si>
  <si>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</si>
  <si>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</si>
  <si>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</si>
  <si>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</si>
  <si>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</si>
  <si>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</si>
  <si>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</si>
  <si>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</si>
  <si>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</si>
  <si>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</si>
  <si>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</si>
  <si>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</si>
  <si>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</si>
  <si>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</si>
  <si>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</si>
  <si>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</si>
  <si>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</si>
  <si>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</si>
  <si>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</si>
  <si>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</si>
  <si>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</si>
  <si>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</si>
  <si>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</si>
  <si>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</si>
  <si>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</si>
  <si>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</si>
  <si>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</si>
  <si>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</si>
  <si>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</si>
  <si>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</si>
  <si>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</si>
  <si>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</si>
  <si>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</si>
  <si>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</si>
  <si>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</si>
  <si>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</si>
  <si>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</si>
  <si>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</si>
  <si>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</si>
  <si>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</si>
  <si>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</si>
  <si>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</si>
  <si>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</si>
  <si>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</si>
  <si>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</si>
  <si>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</si>
  <si>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</si>
  <si>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</si>
  <si>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</si>
  <si>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</si>
  <si>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</si>
  <si>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</si>
  <si>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</si>
  <si>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</si>
  <si>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</si>
  <si>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</si>
  <si>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</si>
  <si>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</si>
  <si>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</si>
  <si>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</si>
  <si>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</si>
  <si>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</si>
  <si>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</si>
  <si>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</si>
  <si>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</si>
  <si>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</si>
  <si>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</si>
  <si>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</si>
  <si>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</si>
  <si>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</si>
  <si>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</si>
  <si>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</si>
  <si>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</si>
  <si>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</si>
  <si>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</si>
  <si>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</si>
  <si>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</si>
  <si>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</si>
  <si>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</si>
  <si>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</si>
  <si>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</si>
  <si>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</si>
  <si>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</si>
  <si>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</si>
  <si>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</si>
  <si>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</si>
  <si>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</si>
  <si>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</si>
  <si>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</si>
  <si>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</si>
  <si>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</si>
  <si>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</si>
  <si>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</si>
  <si>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</si>
  <si>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</si>
  <si>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</si>
  <si>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</si>
  <si>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</si>
  <si>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</si>
  <si>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</si>
  <si>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</si>
  <si>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</si>
  <si>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</si>
  <si>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</si>
  <si>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</si>
  <si>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</si>
  <si>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</si>
  <si>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</si>
  <si>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</si>
  <si>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</si>
  <si>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</si>
  <si>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</si>
  <si>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</si>
  <si>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</si>
  <si>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</si>
  <si>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</si>
  <si>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</si>
  <si>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</si>
  <si>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</si>
  <si>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</si>
  <si>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</si>
  <si>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</si>
  <si>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</si>
  <si>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</si>
  <si>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</si>
  <si>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</si>
  <si>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</si>
  <si>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</si>
  <si>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</si>
  <si>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</si>
  <si>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</si>
  <si>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</si>
  <si>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</si>
  <si>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</si>
  <si>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</si>
  <si>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</si>
  <si>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</si>
  <si>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</si>
  <si>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</si>
  <si>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</si>
  <si>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</si>
  <si>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</si>
  <si>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</si>
  <si>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</si>
  <si>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</si>
  <si>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</si>
  <si>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</si>
  <si>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</si>
  <si>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</si>
  <si>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</si>
  <si>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</si>
  <si>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</si>
  <si>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</si>
  <si>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</si>
  <si>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</si>
  <si>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</si>
  <si>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</si>
  <si>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</si>
  <si>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</si>
  <si>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</si>
  <si>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</si>
  <si>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</si>
  <si>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</si>
  <si>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</si>
  <si>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</si>
  <si>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</si>
  <si>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</si>
  <si>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</si>
  <si>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</si>
  <si>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</si>
  <si>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</si>
  <si>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</si>
  <si>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</si>
  <si>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</si>
  <si>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</si>
  <si>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</si>
  <si>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</si>
  <si>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</si>
  <si>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</si>
  <si>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</si>
  <si>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</si>
  <si>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</si>
  <si>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</si>
  <si>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</si>
  <si>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</si>
  <si>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</si>
  <si>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</si>
  <si>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</si>
  <si>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</si>
  <si>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</si>
  <si>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</si>
  <si>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</si>
  <si>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</si>
  <si>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</si>
  <si>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</si>
  <si>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</si>
  <si>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</si>
  <si>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</si>
  <si>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</si>
  <si>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</si>
  <si>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</si>
  <si>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</si>
  <si>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</si>
  <si>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</si>
  <si>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</si>
  <si>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</si>
  <si>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</si>
  <si>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</si>
  <si>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</si>
  <si>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</si>
  <si>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</si>
  <si>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</si>
  <si>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</si>
  <si>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</si>
  <si>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</si>
  <si>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</si>
  <si>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</si>
  <si>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</si>
  <si>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</si>
  <si>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</si>
  <si>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</si>
  <si>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</si>
  <si>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</si>
  <si>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</si>
  <si>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</si>
  <si>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</si>
  <si>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</si>
  <si>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</si>
  <si>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</si>
  <si>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</si>
  <si>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</si>
  <si>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</si>
  <si>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</si>
  <si>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</si>
  <si>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</si>
  <si>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</si>
  <si>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</si>
  <si>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</si>
  <si>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</si>
  <si>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</si>
  <si>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</si>
  <si>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</si>
  <si>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</si>
  <si>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</si>
  <si>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</si>
  <si>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</si>
  <si>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</si>
  <si>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</si>
  <si>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</si>
  <si>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</si>
  <si>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</si>
  <si>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</si>
  <si>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</si>
  <si>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</si>
  <si>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</si>
  <si>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</si>
  <si>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</si>
  <si>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</si>
  <si>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</si>
  <si>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</si>
  <si>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</si>
  <si>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</si>
  <si>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</si>
  <si>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</si>
  <si>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</si>
  <si>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</si>
  <si>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</si>
  <si>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</si>
  <si>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</si>
  <si>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</si>
  <si>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</si>
  <si>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</si>
  <si>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</si>
  <si>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</si>
  <si>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</si>
  <si>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</si>
  <si>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</si>
  <si>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</si>
  <si>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</si>
  <si>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</si>
  <si>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</si>
  <si>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</si>
  <si>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</si>
  <si>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</si>
  <si>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</si>
  <si>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</si>
  <si>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</si>
  <si>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</si>
  <si>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</si>
  <si>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</si>
  <si>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</si>
  <si>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</si>
  <si>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</si>
  <si>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</si>
  <si>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</si>
  <si>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</si>
  <si>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</si>
  <si>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</si>
  <si>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</si>
  <si>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</si>
  <si>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</si>
  <si>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</si>
  <si>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</si>
  <si>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</si>
  <si>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</si>
  <si>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</si>
  <si>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</si>
  <si>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</si>
  <si>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</si>
  <si>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</si>
  <si>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</si>
  <si>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</si>
  <si>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</si>
  <si>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</si>
  <si>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</si>
  <si>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</si>
  <si>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</si>
  <si>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</si>
  <si>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</si>
  <si>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</si>
  <si>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</si>
  <si>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</si>
  <si>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</si>
  <si>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</si>
  <si>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</si>
  <si>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</si>
  <si>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</si>
  <si>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</si>
  <si>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</si>
  <si>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</si>
  <si>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</si>
  <si>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</si>
  <si>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</si>
  <si>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</si>
  <si>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</si>
  <si>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</si>
  <si>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</si>
  <si>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</si>
  <si>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</si>
  <si>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</si>
  <si>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</si>
  <si>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</si>
  <si>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</si>
  <si>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</si>
  <si>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</si>
  <si>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</si>
  <si>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</si>
  <si>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</si>
  <si>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</si>
  <si>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</si>
  <si>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</si>
  <si>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</si>
  <si>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</si>
  <si>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</si>
  <si>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</si>
  <si>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</si>
  <si>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</si>
  <si>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</si>
  <si>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</si>
  <si>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</si>
  <si>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</si>
  <si>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</si>
  <si>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</si>
  <si>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</si>
  <si>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</si>
  <si>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</si>
  <si>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</si>
  <si>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</si>
  <si>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</si>
  <si>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</si>
  <si>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</si>
  <si>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</si>
  <si>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</si>
  <si>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</si>
  <si>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</si>
  <si>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</si>
  <si>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</si>
  <si>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</si>
  <si>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</si>
  <si>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</si>
  <si>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</si>
  <si>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</si>
  <si>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</si>
  <si>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</si>
  <si>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</si>
  <si>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</si>
  <si>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</si>
  <si>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</si>
  <si>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</si>
  <si>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</si>
  <si>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</si>
  <si>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</si>
  <si>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</si>
  <si>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</si>
  <si>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</si>
  <si>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</si>
  <si>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</si>
  <si>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</si>
  <si>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</si>
  <si>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</si>
  <si>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</si>
  <si>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</si>
  <si>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</si>
  <si>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</si>
  <si>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</si>
  <si>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</si>
  <si>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</si>
  <si>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</si>
  <si>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</si>
  <si>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</si>
  <si>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</si>
  <si>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</si>
  <si>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</si>
  <si>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</si>
  <si>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</si>
  <si>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</si>
  <si>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</si>
  <si>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</si>
  <si>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</si>
  <si>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</si>
  <si>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</si>
  <si>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</si>
  <si>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</si>
  <si>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</si>
  <si>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</si>
  <si>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</si>
  <si>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</si>
  <si>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</si>
  <si>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</si>
  <si>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</si>
  <si>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</si>
  <si>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</si>
  <si>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</si>
  <si>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</si>
  <si>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</si>
  <si>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</si>
  <si>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</si>
  <si>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</si>
  <si>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</si>
  <si>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</si>
  <si>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</si>
  <si>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</si>
  <si>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</si>
  <si>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</si>
  <si>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</si>
  <si>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</si>
  <si>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</si>
  <si>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</si>
  <si>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</si>
  <si>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</si>
  <si>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</si>
  <si>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</si>
  <si>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</si>
  <si>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</si>
  <si>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</si>
  <si>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</si>
  <si>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</si>
  <si>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</si>
  <si>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</si>
  <si>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</si>
  <si>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</si>
  <si>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</si>
  <si>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</si>
  <si>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</si>
  <si>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</si>
  <si>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</si>
  <si>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</si>
  <si>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</si>
  <si>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</si>
  <si>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</si>
  <si>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</si>
  <si>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</si>
  <si>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</si>
  <si>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</si>
  <si>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</si>
  <si>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</si>
  <si>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</si>
  <si>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</si>
  <si>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</si>
  <si>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</si>
  <si>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</si>
  <si>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</si>
  <si>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</si>
  <si>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</si>
  <si>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</si>
  <si>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</si>
  <si>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</si>
  <si>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</si>
  <si>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</si>
  <si>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</si>
  <si>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</si>
  <si>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</si>
  <si>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</si>
  <si>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</si>
  <si>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</si>
  <si>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</si>
  <si>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</si>
  <si>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</si>
  <si>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</si>
  <si>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</si>
  <si>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</si>
  <si>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</si>
  <si>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</si>
  <si>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</si>
  <si>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</si>
  <si>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</si>
  <si>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</si>
  <si>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</si>
  <si>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</si>
  <si>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</si>
  <si>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</si>
  <si>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</si>
  <si>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</si>
  <si>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</si>
  <si>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</si>
  <si>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</si>
  <si>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</si>
  <si>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</si>
  <si>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</si>
  <si>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</si>
  <si>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</si>
  <si>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</si>
  <si>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</si>
  <si>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</si>
  <si>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</si>
  <si>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</si>
  <si>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</si>
  <si>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</si>
  <si>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</si>
  <si>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</si>
  <si>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</si>
  <si>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</si>
  <si>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</si>
  <si>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</si>
  <si>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</si>
  <si>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</si>
  <si>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</si>
  <si>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</si>
  <si>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</si>
  <si>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</si>
  <si>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</si>
  <si>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</si>
  <si>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</si>
  <si>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</si>
  <si>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</si>
  <si>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</si>
  <si>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</si>
  <si>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</si>
  <si>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</si>
  <si>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</si>
  <si>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</si>
  <si>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</si>
  <si>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</si>
  <si>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</si>
  <si>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</si>
  <si>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</si>
  <si>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</si>
  <si>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</si>
  <si>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</si>
  <si>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</si>
  <si>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</si>
  <si>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</si>
  <si>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</si>
  <si>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</si>
  <si>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</si>
  <si>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</si>
  <si>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</si>
  <si>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</si>
  <si>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</si>
  <si>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</si>
  <si>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</si>
  <si>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</si>
  <si>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</si>
  <si>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</si>
  <si>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</si>
  <si>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</si>
  <si>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</si>
  <si>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</si>
  <si>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</si>
  <si>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</si>
  <si>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</si>
  <si>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</si>
  <si>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</si>
  <si>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</si>
  <si>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</si>
  <si>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</si>
  <si>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</si>
  <si>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</si>
  <si>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</si>
  <si>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</si>
  <si>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</si>
  <si>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</si>
  <si>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</si>
  <si>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</si>
  <si>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</si>
  <si>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</si>
  <si>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</si>
  <si>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</si>
  <si>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</si>
  <si>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</si>
  <si>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</si>
  <si>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</si>
  <si>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</si>
  <si>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</si>
  <si>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</si>
  <si>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</si>
  <si>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</si>
  <si>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</si>
  <si>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</si>
  <si>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</si>
  <si>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</si>
  <si>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</si>
  <si>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</si>
  <si>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</si>
  <si>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</si>
  <si>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</si>
  <si>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</si>
  <si>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</si>
  <si>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</si>
  <si>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</si>
  <si>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</si>
  <si>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</si>
  <si>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</si>
  <si>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</si>
  <si>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</si>
  <si>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</si>
  <si>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</si>
  <si>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</si>
  <si>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</si>
  <si>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</si>
  <si>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</si>
  <si>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</si>
  <si>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</si>
  <si>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</si>
  <si>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</si>
  <si>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</si>
  <si>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</si>
  <si>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</si>
  <si>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</si>
  <si>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</si>
  <si>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</si>
  <si>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</si>
  <si>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</si>
  <si>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</si>
  <si>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</si>
  <si>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</si>
  <si>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</si>
  <si>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</si>
  <si>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</si>
  <si>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</si>
  <si>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</si>
  <si>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</si>
  <si>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</si>
  <si>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</si>
  <si>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</si>
  <si>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</si>
  <si>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</si>
  <si>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</si>
  <si>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</si>
  <si>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</si>
  <si>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</si>
  <si>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</si>
  <si>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</si>
  <si>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</si>
  <si>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</si>
  <si>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</si>
  <si>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</si>
  <si>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</si>
  <si>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</si>
  <si>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</si>
  <si>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</si>
  <si>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</si>
  <si>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</si>
  <si>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</si>
  <si>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</si>
  <si>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</si>
  <si>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</si>
  <si>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</si>
  <si>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</si>
  <si>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</si>
  <si>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</si>
  <si>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</si>
  <si>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</si>
  <si>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</si>
  <si>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</si>
  <si>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</si>
  <si>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</si>
  <si>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</si>
  <si>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</si>
  <si>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</si>
  <si>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</si>
  <si>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</si>
  <si>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</si>
  <si>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</si>
  <si>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</si>
  <si>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</si>
  <si>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</si>
  <si>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</si>
  <si>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</si>
  <si>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</si>
  <si>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</si>
  <si>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</si>
  <si>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</si>
  <si>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</si>
  <si>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</si>
  <si>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</si>
  <si>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</si>
  <si>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</si>
  <si>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</si>
  <si>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</si>
  <si>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</si>
  <si>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</si>
  <si>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</si>
  <si>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</si>
  <si>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</si>
  <si>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</si>
  <si>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</si>
  <si>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</si>
  <si>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</si>
  <si>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</si>
  <si>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</si>
  <si>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</si>
  <si>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</si>
  <si>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</si>
  <si>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</si>
  <si>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</si>
  <si>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</si>
  <si>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</si>
  <si>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</si>
  <si>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</si>
  <si>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</si>
  <si>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</si>
  <si>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</si>
  <si>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</si>
  <si>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</si>
  <si>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</si>
  <si>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</si>
  <si>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</si>
  <si>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</si>
  <si>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</si>
  <si>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</si>
  <si>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</si>
  <si>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</si>
  <si>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</si>
  <si>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</si>
  <si>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</si>
  <si>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</si>
  <si>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</si>
  <si>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</si>
  <si>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</si>
  <si>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</si>
  <si>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</si>
  <si>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</si>
  <si>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</si>
  <si>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</si>
  <si>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</si>
  <si>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</si>
  <si>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</si>
  <si>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</si>
  <si>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</si>
  <si>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</si>
  <si>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</si>
  <si>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</si>
  <si>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</si>
  <si>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</si>
  <si>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</si>
  <si>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</si>
  <si>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</si>
  <si>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</si>
  <si>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</si>
  <si>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</si>
  <si>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</si>
  <si>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</si>
  <si>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</si>
  <si>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</si>
  <si>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</si>
  <si>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</si>
  <si>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</si>
  <si>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</si>
  <si>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</si>
  <si>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</si>
  <si>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</si>
  <si>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</si>
  <si>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</si>
  <si>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</si>
  <si>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</si>
  <si>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</si>
  <si>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</si>
  <si>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</si>
  <si>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</si>
  <si>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</si>
  <si>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</si>
  <si>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</si>
  <si>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</si>
  <si>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</si>
  <si>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</si>
  <si>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</si>
  <si>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</si>
  <si>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</si>
  <si>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</si>
  <si>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</si>
  <si>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</si>
  <si>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</si>
  <si>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</si>
  <si>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</si>
  <si>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</si>
  <si>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</si>
  <si>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</si>
  <si>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</si>
  <si>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</si>
  <si>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</si>
  <si>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</si>
  <si>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</si>
  <si>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</si>
  <si>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</si>
  <si>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</si>
  <si>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</si>
  <si>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</si>
  <si>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</si>
  <si>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</si>
  <si>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</si>
  <si>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</si>
  <si>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</si>
  <si>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</si>
  <si>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</si>
  <si>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</si>
  <si>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</si>
  <si>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</si>
  <si>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</si>
  <si>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</si>
  <si>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</si>
  <si>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</si>
  <si>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</si>
  <si>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</si>
  <si>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</si>
  <si>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</si>
  <si>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</si>
  <si>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</si>
  <si>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</si>
  <si>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</si>
  <si>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</si>
  <si>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</si>
  <si>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</si>
  <si>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</si>
  <si>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</si>
  <si>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</si>
  <si>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</si>
  <si>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</si>
  <si>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</si>
  <si>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</si>
  <si>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</si>
  <si>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</si>
  <si>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</si>
  <si>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</si>
  <si>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</si>
  <si>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</si>
  <si>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</si>
  <si>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</si>
  <si>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</si>
  <si>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</si>
  <si>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</si>
  <si>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</si>
  <si>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</si>
  <si>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</si>
  <si>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</si>
  <si>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</si>
  <si>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</si>
  <si>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</si>
  <si>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</si>
  <si>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</si>
  <si>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</si>
  <si>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</si>
  <si>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</si>
  <si>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</si>
  <si>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</si>
  <si>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</si>
  <si>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</si>
  <si>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</si>
  <si>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</si>
  <si>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</si>
  <si>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</si>
  <si>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</si>
  <si>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</si>
  <si>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</si>
  <si>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</si>
  <si>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</si>
  <si>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</si>
  <si>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</si>
  <si>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</si>
  <si>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</si>
  <si>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</si>
  <si>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</si>
  <si>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</si>
  <si>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</si>
  <si>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</si>
  <si>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</si>
  <si>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</si>
  <si>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</si>
  <si>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</si>
  <si>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</si>
  <si>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</si>
  <si>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</si>
  <si>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</si>
  <si>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</si>
  <si>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</si>
  <si>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</si>
  <si>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</si>
  <si>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</si>
  <si>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</si>
  <si>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</si>
  <si>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</si>
  <si>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</si>
  <si>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</si>
  <si>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</si>
  <si>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</si>
  <si>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</si>
  <si>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</si>
  <si>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</si>
  <si>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</si>
  <si>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</si>
  <si>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</si>
  <si>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</si>
  <si>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</si>
  <si>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</si>
  <si>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</si>
  <si>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</si>
  <si>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</si>
  <si>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</si>
  <si>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</si>
  <si>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</si>
  <si>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</si>
  <si>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</si>
  <si>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</si>
  <si>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</si>
  <si>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</si>
  <si>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</si>
  <si>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</si>
  <si>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</si>
  <si>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</si>
  <si>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</si>
  <si>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</si>
  <si>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</si>
  <si>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</si>
  <si>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</si>
  <si>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</si>
  <si>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</si>
  <si>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</si>
  <si>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</si>
  <si>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</si>
  <si>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</si>
  <si>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</si>
  <si>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</si>
  <si>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</si>
  <si>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</si>
  <si>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</si>
  <si>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</si>
  <si>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</si>
  <si>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</si>
  <si>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</si>
  <si>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</si>
  <si>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</si>
  <si>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</si>
  <si>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</si>
  <si>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</si>
  <si>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</si>
  <si>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</si>
  <si>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</si>
  <si>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</si>
  <si>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</si>
  <si>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</si>
  <si>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</si>
  <si>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</si>
  <si>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</si>
  <si>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</si>
  <si>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</si>
  <si>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</si>
  <si>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</si>
  <si>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</si>
  <si>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</si>
  <si>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</si>
  <si>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</si>
  <si>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</si>
  <si>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</si>
  <si>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</si>
  <si>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</si>
  <si>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</si>
  <si>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</si>
  <si>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</si>
  <si>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</si>
  <si>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</si>
  <si>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</si>
  <si>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</si>
  <si>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</si>
  <si>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</si>
  <si>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</si>
  <si>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</si>
  <si>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</si>
  <si>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</si>
  <si>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</si>
  <si>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</si>
  <si>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</si>
  <si>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</si>
  <si>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</si>
  <si>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</si>
  <si>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</si>
  <si>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</si>
  <si>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</si>
  <si>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</si>
  <si>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</si>
  <si>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</si>
  <si>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</si>
  <si>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</si>
  <si>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</si>
  <si>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</si>
  <si>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</si>
  <si>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</si>
  <si>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</si>
  <si>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</si>
  <si>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</si>
  <si>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</si>
  <si>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</si>
  <si>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</si>
  <si>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</si>
  <si>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</si>
  <si>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</si>
  <si>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</si>
  <si>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</si>
  <si>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</si>
  <si>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</si>
  <si>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</si>
  <si>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</si>
  <si>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</si>
  <si>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</si>
  <si>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</si>
  <si>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</si>
  <si>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</si>
  <si>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</si>
  <si>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</si>
  <si>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</si>
  <si>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</si>
  <si>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</si>
  <si>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</si>
  <si>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</si>
  <si>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</si>
  <si>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</si>
  <si>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</si>
  <si>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</si>
  <si>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</si>
  <si>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</si>
  <si>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</si>
  <si>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</si>
  <si>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</si>
  <si>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</si>
  <si>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</si>
  <si>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</si>
  <si>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</si>
  <si>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</si>
  <si>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</si>
  <si>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</si>
  <si>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</si>
  <si>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</si>
  <si>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</si>
  <si>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</si>
  <si>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</si>
  <si>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</si>
  <si>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</si>
  <si>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</si>
  <si>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</si>
  <si>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</si>
  <si>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</si>
  <si>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</si>
  <si>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</si>
  <si>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</si>
  <si>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</si>
  <si>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</si>
  <si>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</si>
  <si>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</si>
  <si>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</si>
  <si>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</si>
  <si>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</si>
  <si>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</si>
  <si>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</si>
  <si>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</si>
  <si>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</si>
  <si>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</si>
  <si>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</si>
  <si>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</si>
  <si>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</si>
  <si>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</si>
  <si>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</si>
  <si>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</si>
  <si>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</si>
  <si>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</si>
  <si>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</si>
  <si>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</si>
  <si>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</si>
  <si>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</si>
  <si>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</si>
  <si>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</si>
  <si>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</si>
  <si>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</si>
  <si>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</si>
  <si>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</si>
  <si>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</si>
  <si>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</si>
  <si>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</si>
  <si>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</si>
  <si>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</si>
  <si>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</si>
  <si>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</si>
  <si>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</si>
  <si>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</si>
  <si>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</si>
  <si>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</si>
  <si>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</si>
  <si>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</si>
  <si>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</si>
  <si>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</si>
  <si>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</si>
  <si>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</si>
  <si>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</si>
  <si>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</si>
  <si>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</si>
  <si>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</si>
  <si>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</si>
  <si>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</si>
  <si>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</si>
  <si>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</si>
  <si>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</si>
  <si>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</si>
  <si>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</si>
  <si>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</si>
  <si>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</si>
  <si>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</si>
  <si>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</si>
  <si>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</si>
  <si>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</si>
  <si>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</si>
  <si>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</si>
  <si>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</si>
  <si>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</si>
  <si>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</si>
  <si>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</si>
  <si>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</si>
  <si>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</si>
  <si>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</si>
  <si>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</si>
  <si>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</si>
  <si>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</si>
  <si>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</si>
  <si>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</si>
  <si>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</si>
  <si>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</si>
  <si>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</si>
  <si>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</si>
  <si>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</si>
  <si>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</si>
  <si>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</si>
  <si>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</si>
  <si>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</si>
  <si>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</si>
  <si>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</si>
  <si>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</si>
  <si>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</si>
  <si>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</si>
  <si>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</si>
  <si>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</si>
  <si>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</si>
  <si>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</si>
  <si>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</si>
  <si>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</si>
  <si>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</si>
  <si>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</si>
  <si>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</si>
  <si>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</si>
  <si>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</si>
  <si>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</si>
  <si>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</si>
  <si>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</si>
  <si>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</si>
  <si>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</si>
  <si>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</si>
  <si>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</si>
  <si>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</si>
  <si>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</si>
  <si>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</si>
  <si>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</si>
  <si>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</si>
  <si>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</si>
  <si>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</si>
  <si>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</si>
  <si>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</si>
  <si>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</si>
  <si>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</si>
  <si>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</si>
  <si>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</si>
  <si>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</si>
  <si>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</si>
  <si>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</si>
  <si>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</si>
  <si>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</si>
  <si>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</si>
  <si>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</si>
  <si>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</si>
  <si>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</si>
  <si>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</si>
  <si>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</si>
  <si>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</si>
  <si>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</si>
  <si>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</si>
  <si>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</si>
  <si>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</si>
  <si>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</si>
  <si>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</si>
  <si>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</si>
  <si>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</si>
  <si>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</si>
  <si>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</si>
  <si>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</si>
  <si>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</si>
  <si>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</si>
  <si>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</si>
  <si>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</si>
  <si>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</si>
  <si>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</si>
  <si>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</si>
  <si>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</si>
  <si>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</si>
  <si>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</si>
  <si>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</si>
  <si>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</si>
  <si>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</si>
  <si>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</si>
  <si>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</si>
  <si>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</si>
  <si>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</si>
  <si>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</si>
  <si>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</si>
  <si>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</si>
  <si>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</si>
  <si>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</si>
  <si>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</si>
  <si>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</si>
  <si>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</si>
  <si>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</si>
  <si>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</si>
  <si>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</si>
  <si>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</si>
  <si>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</si>
  <si>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</si>
  <si>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</si>
  <si>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</si>
  <si>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</si>
  <si>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</si>
  <si>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</si>
  <si>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</si>
  <si>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</si>
  <si>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</si>
  <si>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</si>
  <si>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</si>
  <si>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</si>
  <si>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</si>
  <si>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</si>
  <si>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</si>
  <si>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</si>
  <si>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</si>
  <si>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</si>
  <si>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</si>
  <si>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</si>
  <si>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</si>
  <si>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</si>
  <si>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</si>
  <si>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</si>
  <si>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</si>
  <si>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</si>
  <si>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</si>
  <si>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</si>
  <si>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</si>
  <si>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</si>
  <si>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</si>
  <si>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</si>
  <si>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</si>
  <si>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</si>
  <si>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</si>
  <si>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</si>
  <si>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</si>
  <si>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</si>
  <si>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</si>
  <si>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</si>
  <si>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</si>
  <si>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</si>
  <si>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</si>
  <si>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</si>
  <si>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</si>
  <si>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</si>
  <si>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</si>
  <si>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</si>
  <si>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</si>
  <si>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</si>
  <si>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</si>
  <si>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</si>
  <si>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</si>
  <si>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</si>
  <si>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</si>
  <si>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</si>
  <si>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</si>
  <si>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</si>
  <si>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</si>
  <si>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</si>
  <si>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</si>
  <si>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</si>
  <si>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</si>
  <si>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</si>
  <si>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</si>
  <si>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</si>
  <si>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</si>
  <si>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</si>
  <si>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</si>
  <si>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</si>
  <si>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</si>
  <si>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</si>
  <si>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</si>
  <si>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</si>
  <si>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</si>
  <si>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</si>
  <si>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</si>
  <si>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</si>
  <si>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</si>
  <si>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</si>
  <si>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</si>
  <si>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</si>
  <si>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</si>
  <si>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</si>
  <si>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</si>
  <si>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</si>
  <si>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</si>
  <si>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</si>
  <si>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</si>
  <si>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</si>
  <si>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</si>
  <si>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</si>
  <si>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</si>
  <si>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</si>
  <si>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</si>
  <si>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</si>
  <si>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</si>
  <si>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</si>
  <si>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</si>
  <si>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</si>
  <si>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</si>
  <si>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</si>
  <si>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</si>
  <si>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</si>
  <si>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</si>
  <si>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</si>
  <si>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</si>
  <si>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</si>
  <si>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</si>
  <si>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</si>
  <si>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</si>
  <si>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</si>
  <si>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</si>
  <si>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</si>
  <si>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</si>
  <si>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</si>
  <si>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</si>
  <si>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</si>
  <si>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</si>
  <si>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</si>
  <si>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</si>
  <si>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</si>
  <si>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</si>
  <si>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</si>
  <si>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</si>
  <si>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</si>
  <si>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</si>
  <si>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</si>
  <si>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</si>
  <si>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</si>
  <si>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</si>
  <si>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</si>
  <si>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</si>
  <si>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</si>
  <si>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</si>
  <si>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</si>
  <si>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</si>
  <si>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</si>
  <si>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</si>
  <si>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</si>
  <si>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</si>
  <si>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</si>
  <si>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</si>
  <si>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</si>
  <si>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</si>
  <si>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</si>
  <si>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</si>
  <si>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</si>
  <si>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</si>
  <si>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</si>
  <si>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</si>
  <si>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</si>
  <si>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</si>
  <si>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</si>
  <si>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</si>
  <si>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</si>
  <si>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</si>
  <si>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</si>
  <si>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</si>
  <si>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</si>
  <si>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</si>
  <si>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</si>
  <si>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</si>
  <si>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</si>
  <si>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</si>
  <si>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</si>
  <si>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</si>
  <si>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</si>
  <si>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</si>
  <si>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</si>
  <si>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</si>
  <si>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</si>
  <si>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</si>
  <si>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</si>
  <si>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</si>
  <si>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</si>
  <si>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</si>
  <si>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</si>
  <si>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</si>
  <si>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</si>
  <si>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</si>
  <si>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</si>
  <si>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</si>
  <si>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</si>
  <si>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</si>
  <si>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</si>
  <si>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</si>
  <si>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</si>
  <si>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</si>
  <si>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</si>
  <si>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</si>
  <si>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</si>
  <si>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</si>
  <si>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</si>
  <si>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</si>
  <si>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</si>
  <si>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</si>
  <si>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</si>
  <si>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</si>
  <si>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</si>
  <si>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</si>
  <si>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</si>
  <si>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</si>
  <si>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</si>
  <si>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</si>
  <si>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</si>
  <si>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</si>
  <si>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</si>
  <si>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</si>
  <si>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</si>
  <si>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</si>
  <si>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</si>
  <si>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</si>
  <si>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</si>
  <si>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</si>
  <si>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</si>
  <si>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</si>
  <si>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</si>
  <si>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</si>
  <si>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</si>
  <si>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</si>
  <si>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</si>
  <si>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</si>
  <si>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</si>
  <si>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</si>
  <si>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</si>
  <si>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</si>
  <si>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</si>
  <si>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</si>
  <si>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</si>
  <si>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</si>
  <si>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</si>
  <si>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</si>
  <si>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</si>
  <si>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</si>
  <si>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</si>
  <si>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</si>
  <si>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</si>
  <si>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</si>
  <si>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</si>
  <si>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</si>
  <si>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</si>
  <si>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</si>
  <si>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</si>
  <si>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</si>
  <si>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</si>
  <si>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</si>
  <si>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</si>
  <si>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</si>
  <si>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</si>
  <si>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</si>
  <si>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</si>
  <si>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</si>
  <si>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</si>
  <si>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</si>
  <si>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</si>
  <si>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</si>
  <si>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</si>
  <si>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</si>
  <si>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</si>
  <si>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</si>
  <si>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</si>
  <si>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</si>
  <si>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</si>
  <si>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</si>
  <si>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</si>
  <si>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</si>
  <si>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</si>
  <si>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</si>
  <si>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</si>
  <si>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</si>
  <si>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</si>
  <si>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</si>
  <si>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</si>
  <si>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</si>
  <si>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</si>
  <si>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</si>
  <si>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</si>
  <si>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</si>
  <si>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</si>
  <si>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</si>
  <si>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</si>
  <si>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</si>
  <si>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</si>
  <si>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</si>
  <si>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</si>
  <si>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</si>
  <si>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</si>
  <si>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</si>
  <si>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</si>
  <si>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</si>
  <si>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</si>
  <si>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</si>
  <si>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</si>
  <si>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</si>
  <si>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</si>
  <si>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</si>
  <si>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</si>
  <si>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</si>
  <si>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</si>
  <si>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</si>
  <si>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</si>
  <si>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</si>
  <si>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</si>
  <si>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</si>
  <si>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</si>
  <si>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</si>
  <si>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</si>
  <si>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</si>
  <si>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</si>
  <si>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</si>
  <si>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</si>
  <si>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</si>
  <si>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</si>
  <si>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</si>
  <si>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</si>
  <si>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</si>
  <si>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</si>
  <si>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</si>
  <si>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</si>
  <si>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</si>
  <si>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</si>
  <si>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</si>
  <si>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</si>
  <si>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</si>
  <si>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</si>
  <si>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</si>
  <si>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</si>
  <si>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</si>
  <si>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</si>
  <si>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</si>
  <si>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</si>
  <si>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</si>
  <si>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</si>
  <si>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</si>
  <si>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</si>
  <si>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</si>
  <si>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</si>
  <si>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</si>
  <si>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</si>
  <si>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</si>
  <si>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</si>
  <si>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</si>
  <si>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</si>
  <si>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</si>
  <si>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</si>
  <si>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</si>
  <si>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</si>
  <si>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</si>
  <si>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</si>
  <si>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</si>
  <si>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</si>
  <si>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</si>
  <si>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</si>
  <si>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</si>
  <si>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</si>
  <si>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</si>
  <si>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</si>
  <si>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</si>
  <si>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</si>
  <si>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</si>
  <si>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</si>
  <si>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</si>
  <si>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</si>
  <si>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</si>
  <si>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</si>
  <si>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</si>
  <si>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</si>
  <si>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</si>
  <si>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</si>
  <si>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</si>
  <si>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</si>
  <si>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</si>
  <si>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</si>
  <si>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</si>
  <si>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</si>
  <si>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</si>
  <si>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</si>
  <si>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</si>
  <si>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</si>
  <si>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</si>
  <si>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</si>
  <si>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</si>
  <si>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</si>
  <si>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</si>
  <si>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</si>
  <si>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</si>
  <si>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</si>
  <si>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</si>
  <si>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</si>
  <si>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</si>
  <si>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</si>
  <si>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</si>
  <si>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</si>
  <si>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</si>
  <si>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</si>
  <si>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</si>
  <si>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</si>
  <si>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</si>
  <si>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</si>
  <si>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</si>
  <si>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</si>
  <si>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</si>
  <si>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</si>
  <si>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</si>
  <si>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</si>
  <si>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</si>
  <si>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</si>
  <si>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</si>
  <si>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</si>
  <si>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</si>
  <si>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</si>
  <si>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</si>
  <si>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</si>
  <si>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</si>
  <si>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</si>
  <si>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</si>
  <si>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</si>
  <si>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</si>
  <si>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</si>
  <si>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</si>
  <si>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</si>
  <si>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</si>
  <si>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</si>
  <si>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</si>
  <si>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</si>
  <si>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</si>
  <si>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</si>
  <si>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</si>
  <si>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</si>
  <si>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</si>
  <si>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</si>
  <si>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</si>
  <si>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</si>
  <si>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</si>
  <si>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</si>
  <si>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</si>
  <si>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</si>
  <si>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</si>
  <si>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</si>
  <si>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</si>
  <si>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</si>
  <si>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</si>
  <si>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</si>
  <si>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</si>
  <si>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</si>
  <si>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</si>
  <si>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</si>
  <si>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</si>
  <si>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</si>
  <si>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</si>
  <si>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</si>
  <si>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</si>
  <si>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</si>
  <si>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</si>
  <si>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</si>
  <si>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</si>
  <si>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</si>
  <si>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</si>
  <si>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</si>
  <si>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</si>
  <si>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</si>
  <si>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</si>
  <si>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</si>
  <si>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</si>
  <si>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</si>
  <si>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</si>
  <si>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</si>
  <si>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</si>
  <si>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</si>
  <si>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</si>
  <si>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</si>
  <si>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</si>
  <si>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</si>
  <si>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</si>
  <si>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</si>
  <si>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</si>
  <si>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</si>
  <si>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</si>
  <si>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</si>
  <si>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</si>
  <si>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</si>
  <si>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</si>
  <si>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</si>
  <si>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</si>
  <si>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</si>
  <si>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</si>
  <si>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</si>
  <si>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</si>
  <si>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</si>
  <si>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</si>
  <si>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</si>
  <si>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</si>
  <si>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</si>
  <si>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</si>
  <si>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</si>
  <si>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</si>
  <si>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</si>
  <si>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</si>
  <si>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</si>
  <si>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</si>
  <si>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</si>
  <si>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</si>
  <si>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</si>
  <si>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</si>
  <si>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</si>
  <si>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</si>
  <si>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</si>
  <si>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</si>
  <si>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</si>
  <si>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</si>
  <si>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</si>
  <si>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</si>
  <si>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</si>
  <si>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</si>
  <si>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</si>
  <si>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</si>
  <si>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</si>
  <si>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</si>
  <si>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</si>
  <si>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</si>
  <si>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</si>
  <si>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</si>
  <si>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</si>
  <si>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</si>
  <si>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</si>
  <si>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</si>
  <si>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</si>
  <si>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</si>
  <si>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</si>
  <si>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</si>
  <si>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</si>
  <si>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</si>
  <si>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</si>
  <si>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</si>
  <si>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</si>
  <si>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</si>
  <si>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</si>
  <si>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</si>
  <si>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</si>
  <si>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</si>
  <si>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</si>
  <si>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</si>
  <si>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</si>
  <si>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</si>
  <si>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</si>
  <si>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</si>
  <si>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</si>
  <si>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</si>
  <si>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</si>
  <si>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</si>
  <si>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</si>
  <si>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</si>
  <si>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</si>
  <si>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</si>
  <si>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</si>
  <si>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</si>
  <si>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</si>
  <si>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</si>
  <si>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</si>
  <si>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</si>
  <si>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</si>
  <si>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</si>
  <si>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</si>
  <si>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</si>
  <si>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</si>
  <si>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</si>
  <si>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</si>
  <si>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</si>
  <si>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</si>
  <si>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</si>
  <si>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</si>
  <si>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</si>
  <si>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</si>
  <si>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</si>
  <si>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</si>
  <si>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</si>
  <si>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</si>
  <si>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</si>
  <si>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</si>
  <si>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</si>
  <si>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</si>
  <si>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</si>
  <si>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</si>
  <si>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</si>
  <si>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</si>
  <si>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</si>
  <si>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</si>
  <si>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</si>
  <si>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</si>
  <si>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</si>
  <si>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</si>
  <si>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</si>
  <si>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</si>
  <si>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</si>
  <si>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</si>
  <si>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</si>
  <si>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</si>
  <si>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</si>
  <si>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</si>
  <si>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</si>
  <si>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</si>
  <si>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</si>
  <si>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</si>
  <si>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</si>
  <si>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</si>
  <si>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</si>
  <si>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</si>
  <si>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</si>
  <si>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</si>
  <si>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</si>
  <si>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</si>
  <si>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</si>
  <si>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</si>
  <si>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</si>
  <si>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</si>
  <si>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</si>
  <si>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</si>
  <si>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</si>
  <si>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</si>
  <si>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</si>
  <si>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</si>
  <si>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</si>
  <si>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</si>
  <si>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</si>
  <si>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</si>
  <si>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</si>
  <si>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</si>
  <si>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</si>
  <si>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</si>
  <si>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</si>
  <si>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</si>
  <si>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</si>
  <si>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</si>
  <si>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</si>
  <si>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</si>
  <si>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</si>
  <si>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</si>
  <si>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</si>
  <si>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</si>
  <si>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</si>
  <si>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</si>
  <si>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</si>
  <si>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</si>
  <si>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</si>
  <si>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</si>
  <si>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</si>
  <si>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</si>
  <si>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</si>
  <si>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</si>
  <si>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</si>
  <si>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</si>
  <si>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</si>
  <si>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</si>
  <si>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</si>
  <si>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</si>
  <si>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</si>
  <si>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</si>
  <si>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</si>
  <si>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</si>
  <si>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</si>
  <si>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</si>
  <si>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</si>
  <si>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</si>
  <si>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</si>
  <si>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</si>
  <si>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</si>
  <si>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</si>
  <si>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</si>
  <si>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</si>
  <si>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</si>
  <si>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</si>
  <si>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</si>
  <si>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</si>
  <si>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</si>
  <si>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</si>
  <si>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</si>
  <si>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</si>
  <si>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</si>
  <si>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</si>
  <si>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</si>
  <si>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</si>
  <si>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</si>
  <si>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</si>
  <si>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</si>
  <si>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</si>
  <si>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</si>
  <si>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</si>
  <si>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</si>
  <si>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</si>
  <si>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</si>
  <si>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</si>
  <si>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</si>
  <si>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</si>
  <si>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</si>
  <si>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</si>
  <si>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</si>
  <si>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</si>
  <si>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</si>
  <si>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</si>
  <si>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</si>
  <si>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</si>
  <si>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</si>
  <si>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</si>
  <si>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</si>
  <si>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</si>
  <si>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</si>
  <si>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</si>
  <si>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</si>
  <si>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</si>
  <si>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</si>
  <si>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</si>
  <si>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</si>
  <si>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</si>
  <si>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</si>
  <si>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</si>
  <si>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</si>
  <si>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</si>
  <si>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</si>
  <si>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</si>
  <si>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</si>
  <si>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</si>
  <si>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</si>
  <si>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</si>
  <si>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</si>
  <si>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</si>
  <si>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</si>
  <si>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</si>
  <si>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</si>
  <si>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</si>
  <si>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</si>
  <si>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</si>
  <si>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</si>
  <si>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</si>
  <si>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</si>
  <si>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</si>
  <si>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</si>
  <si>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</si>
  <si>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</si>
  <si>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</si>
  <si>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</si>
  <si>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</si>
  <si>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</si>
  <si>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</si>
  <si>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</si>
  <si>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</si>
  <si>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</si>
  <si>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</si>
  <si>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</si>
  <si>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</si>
  <si>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</si>
  <si>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</si>
  <si>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</si>
  <si>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</si>
  <si>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</si>
  <si>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</si>
  <si>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</si>
  <si>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</si>
  <si>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</si>
  <si>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</si>
  <si>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</si>
  <si>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</si>
  <si>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</si>
  <si>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</si>
  <si>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</si>
  <si>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</si>
  <si>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</si>
  <si>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</si>
  <si>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</si>
  <si>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</si>
  <si>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</si>
  <si>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</si>
  <si>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</si>
  <si>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</si>
  <si>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</si>
  <si>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</si>
  <si>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</si>
  <si>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</si>
  <si>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</si>
  <si>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</si>
  <si>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</si>
  <si>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</si>
  <si>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</si>
  <si>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</si>
  <si>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</si>
  <si>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</si>
  <si>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</si>
  <si>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</si>
  <si>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</si>
  <si>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</si>
  <si>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</si>
  <si>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</si>
  <si>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</si>
  <si>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</si>
  <si>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</si>
  <si>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</si>
  <si>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</si>
  <si>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</si>
  <si>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</si>
  <si>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</si>
  <si>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</si>
  <si>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</si>
  <si>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</si>
  <si>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</si>
  <si>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</si>
  <si>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</si>
  <si>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</si>
  <si>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</si>
  <si>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</si>
  <si>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</si>
  <si>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</si>
  <si>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</si>
  <si>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</si>
  <si>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</si>
  <si>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</si>
  <si>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</si>
  <si>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</si>
  <si>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</si>
  <si>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</si>
  <si>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</si>
  <si>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</si>
  <si>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</si>
  <si>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</si>
  <si>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</si>
  <si>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</si>
  <si>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</si>
  <si>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</si>
  <si>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</si>
  <si>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</si>
  <si>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</si>
  <si>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</si>
  <si>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</si>
  <si>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</si>
  <si>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</si>
  <si>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</si>
  <si>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</si>
  <si>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</si>
  <si>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</si>
  <si>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</si>
  <si>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</si>
  <si>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</si>
  <si>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</si>
  <si>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</si>
  <si>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</si>
  <si>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</si>
  <si>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</si>
  <si>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</si>
  <si>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</si>
  <si>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</si>
  <si>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</si>
  <si>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</si>
  <si>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</si>
  <si>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</si>
  <si>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</si>
  <si>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</si>
  <si>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</si>
  <si>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</si>
  <si>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</si>
  <si>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</si>
  <si>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</si>
  <si>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</si>
  <si>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</si>
  <si>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</si>
  <si>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</si>
  <si>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</si>
  <si>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</si>
  <si>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</si>
  <si>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</si>
  <si>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</si>
  <si>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</si>
  <si>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</si>
  <si>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</si>
  <si>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</si>
  <si>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</si>
  <si>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</si>
  <si>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</si>
  <si>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</si>
  <si>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</si>
  <si>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</si>
  <si>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</si>
  <si>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</si>
  <si>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</si>
  <si>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</si>
  <si>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</si>
  <si>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</si>
  <si>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</si>
  <si>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</si>
  <si>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</si>
  <si>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</si>
  <si>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</si>
  <si>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</si>
  <si>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</si>
  <si>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</si>
  <si>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</si>
  <si>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</si>
  <si>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</si>
  <si>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</si>
  <si>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</si>
  <si>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</si>
  <si>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</si>
  <si>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</si>
  <si>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</si>
  <si>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</si>
  <si>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</si>
  <si>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</si>
  <si>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</si>
  <si>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</si>
  <si>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</si>
  <si>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</si>
  <si>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</si>
  <si>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</si>
  <si>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</si>
  <si>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</si>
  <si>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</si>
  <si>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</si>
  <si>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</si>
  <si>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</si>
  <si>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</si>
  <si>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</si>
  <si>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</si>
  <si>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</si>
  <si>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</si>
  <si>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</si>
  <si>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</si>
  <si>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</si>
  <si>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</si>
  <si>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</si>
  <si>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</si>
  <si>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</si>
  <si>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</si>
  <si>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</si>
  <si>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</si>
  <si>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</si>
  <si>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</si>
  <si>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</si>
  <si>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</si>
  <si>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</si>
  <si>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</si>
  <si>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</si>
  <si>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</si>
  <si>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</si>
  <si>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</si>
  <si>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</si>
  <si>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</si>
  <si>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</si>
  <si>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</si>
  <si>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</si>
  <si>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</si>
  <si>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</si>
  <si>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</si>
  <si>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</si>
  <si>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</si>
  <si>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</si>
  <si>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</si>
  <si>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</si>
  <si>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</si>
  <si>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</si>
  <si>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</si>
  <si>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</si>
  <si>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</si>
  <si>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</si>
  <si>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</si>
  <si>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</si>
  <si>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</si>
  <si>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</si>
  <si>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</si>
  <si>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</si>
  <si>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</si>
  <si>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</si>
  <si>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</si>
  <si>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</si>
  <si>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</si>
  <si>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</si>
  <si>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</si>
  <si>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</si>
  <si>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</si>
  <si>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</si>
  <si>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</si>
  <si>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</si>
  <si>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</si>
  <si>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</si>
  <si>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</si>
  <si>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</si>
  <si>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</si>
  <si>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</si>
  <si>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</si>
  <si>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</si>
  <si>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</si>
  <si>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</si>
  <si>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</si>
  <si>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</si>
  <si>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</si>
  <si>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</si>
  <si>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</si>
  <si>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</si>
  <si>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</si>
  <si>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</si>
  <si>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</si>
  <si>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</si>
  <si>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</si>
  <si>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</si>
  <si>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</si>
  <si>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</si>
  <si>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</si>
  <si>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</si>
  <si>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</si>
  <si>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</si>
  <si>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</si>
  <si>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</si>
  <si>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</si>
  <si>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</si>
  <si>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</si>
  <si>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</si>
  <si>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</si>
  <si>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</si>
  <si>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</si>
  <si>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</si>
  <si>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</si>
  <si>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</si>
  <si>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</si>
  <si>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</si>
  <si>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</si>
  <si>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</si>
  <si>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</si>
  <si>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</si>
  <si>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</si>
  <si>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</si>
  <si>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</si>
  <si>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</si>
  <si>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</si>
  <si>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</si>
  <si>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</si>
  <si>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</si>
  <si>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</si>
  <si>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</si>
  <si>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</si>
  <si>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</si>
  <si>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</si>
  <si>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</si>
  <si>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</si>
  <si>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</si>
  <si>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</si>
  <si>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</si>
  <si>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</si>
  <si>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</si>
  <si>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</si>
  <si>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</si>
  <si>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</si>
  <si>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</si>
  <si>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</si>
  <si>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</si>
  <si>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</si>
  <si>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</si>
  <si>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</si>
  <si>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</si>
  <si>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</si>
  <si>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</si>
  <si>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</si>
  <si>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</si>
  <si>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</si>
  <si>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</si>
  <si>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</si>
  <si>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</si>
  <si>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</si>
  <si>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</si>
  <si>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</si>
  <si>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</si>
  <si>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</si>
  <si>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</si>
  <si>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</si>
  <si>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</si>
  <si>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</si>
  <si>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</si>
  <si>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</si>
  <si>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</si>
  <si>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</si>
  <si>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</si>
  <si>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</si>
  <si>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</si>
  <si>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</si>
  <si>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</si>
  <si>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</si>
  <si>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</si>
  <si>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</si>
  <si>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</si>
  <si>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</si>
  <si>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</si>
  <si>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</si>
  <si>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</si>
  <si>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</si>
  <si>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</si>
  <si>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</si>
  <si>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</si>
  <si>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</si>
  <si>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</si>
  <si>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</si>
  <si>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</si>
  <si>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</si>
  <si>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</si>
  <si>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</si>
  <si>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</si>
  <si>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</si>
  <si>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</si>
  <si>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</si>
  <si>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</si>
  <si>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</si>
  <si>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</si>
  <si>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</si>
  <si>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</si>
  <si>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</si>
  <si>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</si>
  <si>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</si>
  <si>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</si>
  <si>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</si>
  <si>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</si>
  <si>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</si>
  <si>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</si>
  <si>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</si>
  <si>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</si>
  <si>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</si>
  <si>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</si>
  <si>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</si>
  <si>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</si>
  <si>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</si>
  <si>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</si>
  <si>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</si>
  <si>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</si>
  <si>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</si>
  <si>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</si>
  <si>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</si>
  <si>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</si>
  <si>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</si>
  <si>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</si>
  <si>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</si>
  <si>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</si>
  <si>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</si>
  <si>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</si>
  <si>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</si>
  <si>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</si>
  <si>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</si>
  <si>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</si>
  <si>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</si>
  <si>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</si>
  <si>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</si>
  <si>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</si>
  <si>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</si>
  <si>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</si>
  <si>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</si>
  <si>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</si>
  <si>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</si>
  <si>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</si>
  <si>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</si>
  <si>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</si>
  <si>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</si>
  <si>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</si>
  <si>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</si>
  <si>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</si>
  <si>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</si>
  <si>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</si>
  <si>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</si>
  <si>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</si>
  <si>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</si>
  <si>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</si>
  <si>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</si>
  <si>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</si>
  <si>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</si>
  <si>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</si>
  <si>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</si>
  <si>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</si>
  <si>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</si>
  <si>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</si>
  <si>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</si>
  <si>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</si>
  <si>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</si>
  <si>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</si>
  <si>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</si>
  <si>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</si>
  <si>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</si>
  <si>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</si>
  <si>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</si>
  <si>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</si>
  <si>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</si>
  <si>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</si>
  <si>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</si>
  <si>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</si>
  <si>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</si>
  <si>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</si>
  <si>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</si>
  <si>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</si>
  <si>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</si>
  <si>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</si>
  <si>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</si>
  <si>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</si>
  <si>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</si>
  <si>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</si>
  <si>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</si>
  <si>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</si>
  <si>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</si>
  <si>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</si>
  <si>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</si>
  <si>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</si>
  <si>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</si>
  <si>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</si>
  <si>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</si>
  <si>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</si>
  <si>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</si>
  <si>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</si>
  <si>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</si>
  <si>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</si>
  <si>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</si>
  <si>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</si>
  <si>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</si>
  <si>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</si>
  <si>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</si>
  <si>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</si>
  <si>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</si>
  <si>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</si>
  <si>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</si>
  <si>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</si>
  <si>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</si>
  <si>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</si>
  <si>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</si>
  <si>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</si>
  <si>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</si>
  <si>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</si>
  <si>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</si>
  <si>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</si>
  <si>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</si>
  <si>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</si>
  <si>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</si>
  <si>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</si>
  <si>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</si>
  <si>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</si>
  <si>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</si>
  <si>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</si>
  <si>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</si>
  <si>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</si>
  <si>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</si>
  <si>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</si>
  <si>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</si>
  <si>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</si>
  <si>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</si>
  <si>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</si>
  <si>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</si>
  <si>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</si>
  <si>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</si>
  <si>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</si>
  <si>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</si>
  <si>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</si>
  <si>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</si>
  <si>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</si>
  <si>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</si>
  <si>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</si>
  <si>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</si>
  <si>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</si>
  <si>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</si>
  <si>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</si>
  <si>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</si>
  <si>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</si>
  <si>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</si>
  <si>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</si>
  <si>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</si>
  <si>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</si>
  <si>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</si>
  <si>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</si>
  <si>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</si>
  <si>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</si>
  <si>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</si>
  <si>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</si>
  <si>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</si>
  <si>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</si>
  <si>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</si>
  <si>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</si>
  <si>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</si>
  <si>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</si>
  <si>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</si>
  <si>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</si>
  <si>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</si>
  <si>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</si>
  <si>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</si>
  <si>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</si>
  <si>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</si>
  <si>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</si>
  <si>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</si>
  <si>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</si>
  <si>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</si>
  <si>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</si>
  <si>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</si>
  <si>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</si>
  <si>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</si>
  <si>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</si>
  <si>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</si>
  <si>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</si>
  <si>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</si>
  <si>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</si>
  <si>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</si>
  <si>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</si>
  <si>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</si>
  <si>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</si>
  <si>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</si>
  <si>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</si>
  <si>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</si>
  <si>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</si>
  <si>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</si>
  <si>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</si>
  <si>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</si>
  <si>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</si>
  <si>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</si>
  <si>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</si>
  <si>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</si>
  <si>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</si>
  <si>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</si>
  <si>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</si>
  <si>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</si>
  <si>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</si>
  <si>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</si>
  <si>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</si>
  <si>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</si>
  <si>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</si>
  <si>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</si>
  <si>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</si>
  <si>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</si>
  <si>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</si>
  <si>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</si>
  <si>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</si>
  <si>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</si>
  <si>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</si>
  <si>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</si>
  <si>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</si>
  <si>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</si>
  <si>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</si>
  <si>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</si>
  <si>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</si>
  <si>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</si>
  <si>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</si>
  <si>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</si>
  <si>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</si>
  <si>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</si>
  <si>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</si>
  <si>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</si>
  <si>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</si>
  <si>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</si>
  <si>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</si>
  <si>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</si>
  <si>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</si>
  <si>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</si>
  <si>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</si>
  <si>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</si>
  <si>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</si>
  <si>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</si>
  <si>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</si>
  <si>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</si>
  <si>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</si>
  <si>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</si>
  <si>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</si>
  <si>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</si>
  <si>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</si>
  <si>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</si>
  <si>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</si>
  <si>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</si>
  <si>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</si>
  <si>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</si>
  <si>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</si>
  <si>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</si>
  <si>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</si>
  <si>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</si>
  <si>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</si>
  <si>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</si>
  <si>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</si>
  <si>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</si>
  <si>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</si>
  <si>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</si>
  <si>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</si>
  <si>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</si>
  <si>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</si>
  <si>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</si>
  <si>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</si>
  <si>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</si>
  <si>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</si>
  <si>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</si>
  <si>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</si>
  <si>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</si>
  <si>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</si>
  <si>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</si>
  <si>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</si>
  <si>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</si>
  <si>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</si>
  <si>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</si>
  <si>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</si>
  <si>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</si>
  <si>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</si>
  <si>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</si>
  <si>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</si>
  <si>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</si>
  <si>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</si>
  <si>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</si>
  <si>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</si>
  <si>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</si>
  <si>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</si>
  <si>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</si>
  <si>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</si>
  <si>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2026-073</t>
  </si>
  <si>
    <t>UniTCDF: Gestão Pública (Novos)</t>
  </si>
  <si>
    <t>///////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</si>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</sst>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6" tableId="2">
      <sortRules>
        <sortRule colId="8" id="{62016C67-3729-4C41-B72D-09D6616B7474}">
          <sortCondition ref="I1:I2006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6" totalsRowShown="0" headerRowDxfId="52" dataDxfId="51" totalsRowDxfId="50" totalsRowBorderDxfId="49">
  <autoFilter ref="A1:U2006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8"/>
  <sheetViews>
    <sheetView tabSelected="1" topLeftCell="K1" zoomScaleNormal="100" workbookViewId="0">
      <pane ySplit="1" topLeftCell="J722" activePane="bottomLeft" state="frozen"/>
      <selection pane="bottomLeft" activeCell="U729" sqref="U729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8.9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1498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2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/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8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58" t="s">
        <v>2988</v>
      </c>
      <c r="F729" s="169" t="s">
        <v>89</v>
      </c>
      <c r="G729" s="154" t="s">
        <v>2718</v>
      </c>
      <c r="H729" s="155"/>
      <c r="I729" s="189"/>
      <c r="J729" s="189"/>
      <c r="K729" s="153"/>
      <c r="L729" s="159"/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10" t="s">
        <v>2989</v>
      </c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2966</v>
      </c>
      <c r="E730" s="199" t="s">
        <v>2991</v>
      </c>
      <c r="F730" s="169" t="s">
        <v>89</v>
      </c>
      <c r="G730" s="154" t="s">
        <v>2718</v>
      </c>
      <c r="H730" s="155" t="s">
        <v>2992</v>
      </c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10"/>
    </row>
    <row r="731" spans="1:21" ht="14.45">
      <c r="A731" s="155" t="s">
        <v>2993</v>
      </c>
      <c r="B731" s="153">
        <v>2026</v>
      </c>
      <c r="C731" s="153" t="s">
        <v>2711</v>
      </c>
      <c r="D731" s="153" t="s">
        <v>2994</v>
      </c>
      <c r="E731" s="158" t="s">
        <v>2995</v>
      </c>
      <c r="F731" s="169" t="s">
        <v>25</v>
      </c>
      <c r="G731" s="154" t="s">
        <v>207</v>
      </c>
      <c r="H731" s="155"/>
      <c r="I731" s="189"/>
      <c r="J731" s="189"/>
      <c r="K731" s="153"/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10"/>
    </row>
    <row r="732" spans="1:21" ht="14.45">
      <c r="A732" s="155" t="s">
        <v>2996</v>
      </c>
      <c r="B732" s="153">
        <v>2026</v>
      </c>
      <c r="C732" s="153" t="s">
        <v>2711</v>
      </c>
      <c r="D732" s="153"/>
      <c r="E732" s="199" t="s">
        <v>2997</v>
      </c>
      <c r="F732" s="169" t="s">
        <v>25</v>
      </c>
      <c r="G732" s="154" t="s">
        <v>2718</v>
      </c>
      <c r="H732" s="155" t="s">
        <v>2998</v>
      </c>
      <c r="I732" s="189">
        <v>46343</v>
      </c>
      <c r="J732" s="189">
        <v>46343</v>
      </c>
      <c r="K732" s="153" t="s">
        <v>39</v>
      </c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4.45">
      <c r="A733" s="155" t="s">
        <v>2999</v>
      </c>
      <c r="B733" s="153">
        <v>2026</v>
      </c>
      <c r="C733" s="153" t="s">
        <v>2711</v>
      </c>
      <c r="D733" s="153" t="s">
        <v>3000</v>
      </c>
      <c r="E733" s="158" t="s">
        <v>3001</v>
      </c>
      <c r="F733" s="169" t="s">
        <v>89</v>
      </c>
      <c r="G733" s="154" t="s">
        <v>43</v>
      </c>
      <c r="H733" s="155"/>
      <c r="I733" s="189"/>
      <c r="J733" s="189"/>
      <c r="K733" s="153"/>
      <c r="L733" s="159"/>
      <c r="M733" s="181"/>
      <c r="N733" s="157"/>
      <c r="O733" s="157"/>
      <c r="P733" s="157"/>
      <c r="Q733" s="157"/>
      <c r="R733" s="157">
        <f t="shared" si="15"/>
        <v>0</v>
      </c>
      <c r="S733" s="153"/>
      <c r="T733" s="154"/>
      <c r="U733" s="210"/>
    </row>
    <row r="734" spans="1:21" ht="14.45">
      <c r="A734" s="153" t="str">
        <f ca="1">IF(E734="","",IF(B734="",YEAR(TODAY()),B734)&amp;"-"&amp;TEXT(COUNTIF($B$2:B734,IF(B734="",YEAR(TODAY()),B734))+COUNTIFS($E$2:E734,"&lt;&gt;",$B$2:B734,""),"000"))</f>
        <v>2026-078</v>
      </c>
      <c r="B734" s="153">
        <v>2026</v>
      </c>
      <c r="C734" s="153" t="s">
        <v>23</v>
      </c>
      <c r="D734" s="153" t="s">
        <v>3002</v>
      </c>
      <c r="E734" s="158" t="s">
        <v>3003</v>
      </c>
      <c r="F734" s="169" t="s">
        <v>25</v>
      </c>
      <c r="G734" s="154" t="s">
        <v>207</v>
      </c>
      <c r="H734" s="155" t="s">
        <v>3004</v>
      </c>
      <c r="I734" s="189">
        <v>46122</v>
      </c>
      <c r="J734" s="189">
        <v>46122</v>
      </c>
      <c r="K734" s="153" t="s">
        <v>39</v>
      </c>
      <c r="L734" s="159"/>
      <c r="M734" s="181"/>
      <c r="N734" s="157">
        <v>170</v>
      </c>
      <c r="O734" s="157"/>
      <c r="P734" s="157">
        <v>0</v>
      </c>
      <c r="Q734" s="157">
        <v>0</v>
      </c>
      <c r="R734" s="157">
        <f t="shared" si="15"/>
        <v>0</v>
      </c>
      <c r="S734" s="153">
        <v>2</v>
      </c>
      <c r="T734" s="154" t="s">
        <v>3005</v>
      </c>
      <c r="U734" s="210"/>
    </row>
    <row r="735" spans="1:21" ht="14.45" hidden="1">
      <c r="A735" s="153" t="str">
        <f ca="1">IF(E735="","",IF(B735="",YEAR(TODAY()),B735)&amp;"-"&amp;TEXT(COUNTIF($B$2:B735,IF(B735="",YEAR(TODAY()),B735))+COUNTIFS($E$2:E735,"&lt;&gt;",$B$2:B735,""),"000"))</f>
        <v>2026-079</v>
      </c>
      <c r="B735" s="153">
        <v>2026</v>
      </c>
      <c r="C735" s="153" t="s">
        <v>2790</v>
      </c>
      <c r="D735" s="153" t="s">
        <v>3006</v>
      </c>
      <c r="E735" s="158" t="s">
        <v>3007</v>
      </c>
      <c r="F735" s="169"/>
      <c r="G735" s="154" t="s">
        <v>43</v>
      </c>
      <c r="H735" s="155"/>
      <c r="I735" s="189"/>
      <c r="J735" s="189"/>
      <c r="K735" s="153"/>
      <c r="L735" s="159"/>
      <c r="M735" s="181"/>
      <c r="N735" s="157"/>
      <c r="O735" s="157"/>
      <c r="P735" s="157"/>
      <c r="Q735" s="157"/>
      <c r="R735" s="157">
        <f t="shared" si="15"/>
        <v>0</v>
      </c>
      <c r="S735" s="153"/>
      <c r="T735" s="154"/>
      <c r="U735" s="210"/>
    </row>
    <row r="736" spans="1:21" ht="14.45">
      <c r="A736" s="155" t="s">
        <v>3008</v>
      </c>
      <c r="B736" s="153">
        <v>2026</v>
      </c>
      <c r="C736" s="153" t="s">
        <v>23</v>
      </c>
      <c r="D736" s="153" t="s">
        <v>3009</v>
      </c>
      <c r="E736" s="158" t="s">
        <v>3010</v>
      </c>
      <c r="F736" s="169" t="s">
        <v>70</v>
      </c>
      <c r="G736" s="154" t="s">
        <v>80</v>
      </c>
      <c r="H736" s="155" t="s">
        <v>3011</v>
      </c>
      <c r="I736" s="189">
        <v>46267</v>
      </c>
      <c r="J736" s="189">
        <v>46269</v>
      </c>
      <c r="K736" s="153" t="s">
        <v>39</v>
      </c>
      <c r="L736" s="159">
        <v>4692.55</v>
      </c>
      <c r="M736" s="181">
        <v>4.67</v>
      </c>
      <c r="N736" s="157">
        <v>30</v>
      </c>
      <c r="O736" s="157">
        <v>0</v>
      </c>
      <c r="P736" s="157">
        <v>30</v>
      </c>
      <c r="Q736" s="157">
        <v>0</v>
      </c>
      <c r="R736" s="157">
        <f t="shared" si="15"/>
        <v>30</v>
      </c>
      <c r="S736" s="153">
        <v>8</v>
      </c>
      <c r="T736" s="154" t="s">
        <v>2714</v>
      </c>
      <c r="U736" s="210"/>
    </row>
    <row r="737" spans="1:21" ht="14.45">
      <c r="A737" s="155" t="s">
        <v>3012</v>
      </c>
      <c r="B737" s="153">
        <v>2026</v>
      </c>
      <c r="C737" s="153" t="s">
        <v>23</v>
      </c>
      <c r="D737" s="153" t="s">
        <v>3013</v>
      </c>
      <c r="E737" s="158" t="s">
        <v>3014</v>
      </c>
      <c r="F737" s="169" t="s">
        <v>70</v>
      </c>
      <c r="G737" s="154" t="s">
        <v>2694</v>
      </c>
      <c r="H737" s="155" t="s">
        <v>3015</v>
      </c>
      <c r="I737" s="189">
        <v>46273</v>
      </c>
      <c r="J737" s="189">
        <v>46275</v>
      </c>
      <c r="K737" s="153" t="s">
        <v>39</v>
      </c>
      <c r="L737" s="159">
        <v>11246.83</v>
      </c>
      <c r="M737" s="181">
        <v>4.93</v>
      </c>
      <c r="N737" s="157">
        <v>30</v>
      </c>
      <c r="O737" s="157">
        <v>0</v>
      </c>
      <c r="P737" s="157">
        <v>21</v>
      </c>
      <c r="Q737" s="157">
        <v>0</v>
      </c>
      <c r="R737" s="157">
        <f t="shared" si="15"/>
        <v>21</v>
      </c>
      <c r="S737" s="153">
        <v>12</v>
      </c>
      <c r="T737" s="154" t="s">
        <v>3016</v>
      </c>
      <c r="U737" s="210"/>
    </row>
    <row r="738" spans="1:21" ht="14.45">
      <c r="A738" s="155" t="s">
        <v>3017</v>
      </c>
      <c r="B738" s="153">
        <v>2026</v>
      </c>
      <c r="C738" s="153" t="s">
        <v>23</v>
      </c>
      <c r="D738" s="153" t="s">
        <v>3018</v>
      </c>
      <c r="E738" s="158" t="s">
        <v>3019</v>
      </c>
      <c r="F738" s="169" t="s">
        <v>25</v>
      </c>
      <c r="G738" s="154" t="s">
        <v>2700</v>
      </c>
      <c r="H738" s="155" t="s">
        <v>3020</v>
      </c>
      <c r="I738" s="189">
        <v>46266</v>
      </c>
      <c r="J738" s="189">
        <v>46267</v>
      </c>
      <c r="K738" s="153" t="s">
        <v>39</v>
      </c>
      <c r="L738" s="159">
        <v>5967.7</v>
      </c>
      <c r="M738" s="181">
        <v>4.41</v>
      </c>
      <c r="N738" s="157">
        <v>20</v>
      </c>
      <c r="O738" s="157">
        <v>20</v>
      </c>
      <c r="P738" s="157">
        <v>0</v>
      </c>
      <c r="Q738" s="157">
        <v>0</v>
      </c>
      <c r="R738" s="157">
        <f t="shared" si="15"/>
        <v>20</v>
      </c>
      <c r="S738" s="153">
        <v>9</v>
      </c>
      <c r="T738" s="154" t="s">
        <v>219</v>
      </c>
      <c r="U738" s="210"/>
    </row>
    <row r="739" spans="1:21" ht="14.45">
      <c r="A739" s="155" t="s">
        <v>3021</v>
      </c>
      <c r="B739" s="153">
        <v>2026</v>
      </c>
      <c r="C739" s="153" t="s">
        <v>2711</v>
      </c>
      <c r="D739" s="153" t="s">
        <v>3022</v>
      </c>
      <c r="E739" s="158" t="s">
        <v>3023</v>
      </c>
      <c r="F739" s="169" t="s">
        <v>25</v>
      </c>
      <c r="G739" s="154" t="s">
        <v>2700</v>
      </c>
      <c r="H739" s="155" t="s">
        <v>3024</v>
      </c>
      <c r="I739" s="155" t="s">
        <v>3024</v>
      </c>
      <c r="J739" s="155" t="s">
        <v>3024</v>
      </c>
      <c r="K739" s="153" t="s">
        <v>39</v>
      </c>
      <c r="L739" s="159">
        <v>2652.31</v>
      </c>
      <c r="M739" s="181"/>
      <c r="N739" s="157">
        <v>20</v>
      </c>
      <c r="O739" s="157"/>
      <c r="P739" s="157"/>
      <c r="Q739" s="157"/>
      <c r="R739" s="157">
        <f t="shared" si="15"/>
        <v>0</v>
      </c>
      <c r="S739" s="153">
        <v>4</v>
      </c>
      <c r="T739" s="154" t="s">
        <v>1910</v>
      </c>
      <c r="U739" s="210"/>
    </row>
    <row r="740" spans="1:21" ht="14.45">
      <c r="A740" s="155" t="s">
        <v>3025</v>
      </c>
      <c r="B740" s="153">
        <v>2026</v>
      </c>
      <c r="C740" s="153" t="s">
        <v>23</v>
      </c>
      <c r="D740" s="153" t="s">
        <v>3026</v>
      </c>
      <c r="E740" s="158" t="s">
        <v>3027</v>
      </c>
      <c r="F740" s="169" t="s">
        <v>25</v>
      </c>
      <c r="G740" s="154" t="s">
        <v>2700</v>
      </c>
      <c r="H740" s="155" t="s">
        <v>3028</v>
      </c>
      <c r="I740" s="189">
        <v>46286</v>
      </c>
      <c r="J740" s="189">
        <v>46288</v>
      </c>
      <c r="K740" s="153" t="s">
        <v>39</v>
      </c>
      <c r="L740" s="159">
        <v>7038.8307599999998</v>
      </c>
      <c r="M740" s="181">
        <v>4.67</v>
      </c>
      <c r="N740" s="157">
        <v>20</v>
      </c>
      <c r="O740" s="157">
        <v>21</v>
      </c>
      <c r="P740" s="157">
        <v>0</v>
      </c>
      <c r="Q740" s="157">
        <v>0</v>
      </c>
      <c r="R740" s="157">
        <f t="shared" si="15"/>
        <v>21</v>
      </c>
      <c r="S740" s="153">
        <v>8</v>
      </c>
      <c r="T740" s="154" t="s">
        <v>2827</v>
      </c>
      <c r="U740" s="210"/>
    </row>
    <row r="741" spans="1:21" ht="14.45">
      <c r="A741" s="155" t="s">
        <v>3029</v>
      </c>
      <c r="B741" s="153">
        <v>2026</v>
      </c>
      <c r="C741" s="153" t="s">
        <v>2711</v>
      </c>
      <c r="D741" s="153" t="s">
        <v>3026</v>
      </c>
      <c r="E741" s="158" t="s">
        <v>3030</v>
      </c>
      <c r="F741" s="169" t="s">
        <v>25</v>
      </c>
      <c r="G741" s="154" t="s">
        <v>2700</v>
      </c>
      <c r="H741" s="155" t="s">
        <v>3031</v>
      </c>
      <c r="I741" s="189">
        <v>46322</v>
      </c>
      <c r="J741" s="189">
        <v>46324</v>
      </c>
      <c r="K741" s="153" t="s">
        <v>39</v>
      </c>
      <c r="L741" s="159">
        <v>7038.8307599999998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8</v>
      </c>
      <c r="T741" s="154" t="s">
        <v>2827</v>
      </c>
      <c r="U741" s="210"/>
    </row>
    <row r="742" spans="1:21" ht="14.45">
      <c r="A742" s="155" t="s">
        <v>3032</v>
      </c>
      <c r="B742" s="153">
        <v>2026</v>
      </c>
      <c r="C742" s="153" t="s">
        <v>23</v>
      </c>
      <c r="D742" s="153" t="s">
        <v>3033</v>
      </c>
      <c r="E742" s="158" t="s">
        <v>3034</v>
      </c>
      <c r="F742" s="169" t="s">
        <v>25</v>
      </c>
      <c r="G742" s="154" t="s">
        <v>207</v>
      </c>
      <c r="H742" s="155" t="s">
        <v>3035</v>
      </c>
      <c r="I742" s="189">
        <v>46283</v>
      </c>
      <c r="J742" s="189">
        <v>46283</v>
      </c>
      <c r="K742" s="153" t="s">
        <v>39</v>
      </c>
      <c r="L742" s="159"/>
      <c r="M742" s="181"/>
      <c r="N742" s="157">
        <v>170</v>
      </c>
      <c r="O742" s="157"/>
      <c r="P742" s="157">
        <v>0</v>
      </c>
      <c r="Q742" s="157">
        <v>0</v>
      </c>
      <c r="R742" s="157">
        <f t="shared" si="15"/>
        <v>0</v>
      </c>
      <c r="S742" s="153">
        <v>2</v>
      </c>
      <c r="T742" s="154" t="s">
        <v>3005</v>
      </c>
      <c r="U742" s="210"/>
    </row>
    <row r="743" spans="1:21" ht="14.45">
      <c r="A743" s="155" t="s">
        <v>3036</v>
      </c>
      <c r="B743" s="153">
        <v>2026</v>
      </c>
      <c r="C743" s="153" t="s">
        <v>2711</v>
      </c>
      <c r="D743" s="153" t="s">
        <v>3037</v>
      </c>
      <c r="E743" s="165" t="s">
        <v>3038</v>
      </c>
      <c r="F743" s="169" t="s">
        <v>25</v>
      </c>
      <c r="G743" s="154" t="s">
        <v>207</v>
      </c>
      <c r="H743" s="155" t="s">
        <v>3039</v>
      </c>
      <c r="I743" s="189">
        <v>46314</v>
      </c>
      <c r="J743" s="189">
        <v>46318</v>
      </c>
      <c r="K743" s="153" t="s">
        <v>28</v>
      </c>
      <c r="L743" s="159">
        <v>19900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>
      <c r="A744" s="155" t="s">
        <v>3040</v>
      </c>
      <c r="B744" s="153">
        <v>2026</v>
      </c>
      <c r="C744" s="153" t="s">
        <v>2711</v>
      </c>
      <c r="D744" s="153" t="s">
        <v>3037</v>
      </c>
      <c r="E744" s="165" t="s">
        <v>3041</v>
      </c>
      <c r="F744" s="169" t="s">
        <v>25</v>
      </c>
      <c r="G744" s="154" t="s">
        <v>207</v>
      </c>
      <c r="H744" s="155" t="s">
        <v>3042</v>
      </c>
      <c r="I744" s="189">
        <v>46349</v>
      </c>
      <c r="J744" s="189">
        <v>46352</v>
      </c>
      <c r="K744" s="153" t="s">
        <v>28</v>
      </c>
      <c r="L744" s="159">
        <v>18900</v>
      </c>
      <c r="M744" s="181"/>
      <c r="N744" s="157"/>
      <c r="O744" s="157"/>
      <c r="P744" s="157"/>
      <c r="Q744" s="157"/>
      <c r="R744" s="157">
        <f t="shared" si="15"/>
        <v>0</v>
      </c>
      <c r="S744" s="153">
        <v>16</v>
      </c>
      <c r="T744" s="154" t="s">
        <v>804</v>
      </c>
      <c r="U744" s="210"/>
    </row>
    <row r="745" spans="1:21" ht="14.45" hidden="1">
      <c r="A745" s="155" t="s">
        <v>3043</v>
      </c>
      <c r="B745" s="153">
        <v>2026</v>
      </c>
      <c r="C745" s="153" t="s">
        <v>2790</v>
      </c>
      <c r="D745" s="153" t="s">
        <v>3044</v>
      </c>
      <c r="E745" s="165" t="s">
        <v>3045</v>
      </c>
      <c r="F745" s="169" t="s">
        <v>25</v>
      </c>
      <c r="G745" s="154" t="s">
        <v>207</v>
      </c>
      <c r="H745" s="155" t="s">
        <v>3046</v>
      </c>
      <c r="I745" s="189">
        <v>46293</v>
      </c>
      <c r="J745" s="189">
        <v>46297</v>
      </c>
      <c r="K745" s="153" t="s">
        <v>39</v>
      </c>
      <c r="L745" s="159"/>
      <c r="M745" s="181"/>
      <c r="N745" s="157">
        <v>20</v>
      </c>
      <c r="O745" s="157"/>
      <c r="P745" s="157"/>
      <c r="Q745" s="157"/>
      <c r="R745" s="157">
        <f t="shared" si="15"/>
        <v>0</v>
      </c>
      <c r="S745" s="153">
        <v>20</v>
      </c>
      <c r="T745" s="154" t="s">
        <v>3047</v>
      </c>
      <c r="U745" s="210"/>
    </row>
    <row r="746" spans="1:21" ht="14.45">
      <c r="A746" s="155" t="s">
        <v>3048</v>
      </c>
      <c r="B746" s="153">
        <v>2026</v>
      </c>
      <c r="C746" s="153" t="s">
        <v>23</v>
      </c>
      <c r="D746" s="153" t="s">
        <v>3049</v>
      </c>
      <c r="E746" s="165" t="s">
        <v>3050</v>
      </c>
      <c r="F746" s="169" t="s">
        <v>25</v>
      </c>
      <c r="G746" s="154" t="s">
        <v>207</v>
      </c>
      <c r="H746" s="155" t="s">
        <v>3051</v>
      </c>
      <c r="I746" s="189">
        <v>46282</v>
      </c>
      <c r="J746" s="189">
        <v>46282</v>
      </c>
      <c r="K746" s="153"/>
      <c r="L746" s="159"/>
      <c r="M746" s="181"/>
      <c r="N746" s="157">
        <v>80</v>
      </c>
      <c r="O746" s="157">
        <v>80</v>
      </c>
      <c r="P746" s="157"/>
      <c r="Q746" s="157"/>
      <c r="R746" s="157">
        <f t="shared" ref="R746" si="16">IF(B746="","",SUM(O746:Q746))</f>
        <v>80</v>
      </c>
      <c r="S746" s="153">
        <v>2</v>
      </c>
      <c r="T746" s="154"/>
      <c r="U746" s="210"/>
    </row>
    <row r="747" spans="1:21" ht="14.45">
      <c r="A747" s="155" t="s">
        <v>3052</v>
      </c>
      <c r="B747" s="153">
        <v>2026</v>
      </c>
      <c r="C747" s="153" t="s">
        <v>23</v>
      </c>
      <c r="D747" s="153" t="s">
        <v>3053</v>
      </c>
      <c r="E747" s="158" t="s">
        <v>3054</v>
      </c>
      <c r="F747" s="169" t="s">
        <v>70</v>
      </c>
      <c r="G747" s="154" t="s">
        <v>80</v>
      </c>
      <c r="H747" s="155" t="s">
        <v>3055</v>
      </c>
      <c r="I747" s="189">
        <v>46293</v>
      </c>
      <c r="J747" s="189">
        <v>46295</v>
      </c>
      <c r="K747" s="153" t="s">
        <v>39</v>
      </c>
      <c r="L747" s="159">
        <v>5967.7</v>
      </c>
      <c r="M747" s="181">
        <v>4.7300000000000004</v>
      </c>
      <c r="N747" s="157">
        <v>80</v>
      </c>
      <c r="O747" s="157">
        <v>0</v>
      </c>
      <c r="P747" s="157">
        <v>67</v>
      </c>
      <c r="Q747" s="157">
        <v>0</v>
      </c>
      <c r="R747" s="157">
        <f t="shared" si="15"/>
        <v>67</v>
      </c>
      <c r="S747" s="153">
        <v>12</v>
      </c>
      <c r="T747" s="154" t="s">
        <v>2453</v>
      </c>
      <c r="U747" s="210"/>
    </row>
    <row r="748" spans="1:21" ht="28.9" hidden="1">
      <c r="A748" s="155" t="s">
        <v>3056</v>
      </c>
      <c r="B748" s="153">
        <v>2026</v>
      </c>
      <c r="C748" s="153" t="s">
        <v>3057</v>
      </c>
      <c r="D748" s="153" t="s">
        <v>3058</v>
      </c>
      <c r="E748" s="165" t="s">
        <v>3059</v>
      </c>
      <c r="F748" s="169" t="s">
        <v>25</v>
      </c>
      <c r="G748" s="154" t="s">
        <v>26</v>
      </c>
      <c r="H748" s="155"/>
      <c r="I748" s="189"/>
      <c r="J748" s="189"/>
      <c r="K748" s="153" t="s">
        <v>39</v>
      </c>
      <c r="L748" s="159"/>
      <c r="M748" s="181"/>
      <c r="N748" s="157">
        <v>30</v>
      </c>
      <c r="O748" s="157"/>
      <c r="P748" s="157"/>
      <c r="Q748" s="157"/>
      <c r="R748" s="157">
        <f t="shared" si="15"/>
        <v>0</v>
      </c>
      <c r="S748" s="153">
        <v>12</v>
      </c>
      <c r="T748" s="154" t="s">
        <v>3060</v>
      </c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3" t="str">
        <f ca="1">IF(E1499="","",IF(B1499="",YEAR(TODAY()),B1499)&amp;"-"&amp;TEXT(COUNTIF($B$2:B1499,IF(B1499="",YEAR(TODAY()),B1499))+COUNTIFS($E$2:E1499,"&lt;&gt;",$B$2:B1499,""),"000"))</f>
        <v/>
      </c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55"/>
      <c r="B1999" s="153"/>
      <c r="C1999" s="153"/>
      <c r="D1999" s="153"/>
      <c r="E1999" s="158"/>
      <c r="F1999" s="169"/>
      <c r="G1999" s="154"/>
      <c r="H1999" s="155"/>
      <c r="I1999" s="189"/>
      <c r="J1999" s="189"/>
      <c r="K1999" s="153"/>
      <c r="L1999" s="159"/>
      <c r="M1999" s="181"/>
      <c r="N1999" s="157"/>
      <c r="O1999" s="157"/>
      <c r="P1999" s="157"/>
      <c r="Q1999" s="157"/>
      <c r="R1999" s="157"/>
      <c r="S1999" s="153"/>
      <c r="T1999" s="154"/>
      <c r="U1999" s="210"/>
    </row>
    <row r="2000" spans="1:21" ht="14.45" hidden="1">
      <c r="A2000" s="164"/>
      <c r="B2000" s="193"/>
      <c r="C2000" s="193"/>
      <c r="D2000" s="193"/>
      <c r="E2000" s="199"/>
      <c r="F2000" s="201"/>
      <c r="G2000" s="194"/>
      <c r="H2000" s="164"/>
      <c r="I2000" s="195"/>
      <c r="J2000" s="195"/>
      <c r="K2000" s="193"/>
      <c r="L2000" s="196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14.45" hidden="1">
      <c r="A2002" s="155"/>
      <c r="B2002" s="202"/>
      <c r="C2002" s="193"/>
      <c r="D2002" s="193"/>
      <c r="E2002" s="158"/>
      <c r="F2002" s="201"/>
      <c r="G2002" s="194"/>
      <c r="H2002" s="164"/>
      <c r="I2002" s="195"/>
      <c r="J2002" s="195"/>
      <c r="K2002" s="203"/>
      <c r="L2002" s="204"/>
      <c r="M2002" s="197"/>
      <c r="N2002" s="198"/>
      <c r="O2002" s="198"/>
      <c r="P2002" s="198"/>
      <c r="Q2002" s="198"/>
      <c r="R2002" s="198"/>
      <c r="S2002" s="193"/>
      <c r="T2002" s="194"/>
      <c r="U2002" s="210"/>
    </row>
    <row r="2003" spans="1:21" ht="22.5" hidden="1" customHeight="1">
      <c r="A2003" s="155"/>
      <c r="B2003" s="205"/>
      <c r="C2003" s="153"/>
      <c r="D2003" s="153"/>
      <c r="E2003" s="158"/>
      <c r="F2003" s="169"/>
      <c r="G2003" s="154"/>
      <c r="H2003" s="155"/>
      <c r="I2003" s="189"/>
      <c r="J2003" s="189"/>
      <c r="K2003" s="206"/>
      <c r="L2003" s="207"/>
      <c r="M2003" s="181"/>
      <c r="N2003" s="157"/>
      <c r="O2003" s="157"/>
      <c r="P2003" s="157"/>
      <c r="Q2003" s="157"/>
      <c r="R2003" s="157"/>
      <c r="S2003" s="153"/>
      <c r="T2003" s="154"/>
      <c r="U2003" s="210"/>
    </row>
    <row r="2004" spans="1:21" ht="22.5" hidden="1" customHeight="1">
      <c r="A2004" s="155"/>
      <c r="B2004" s="202"/>
      <c r="C2004" s="193"/>
      <c r="D2004" s="193"/>
      <c r="E2004" s="158"/>
      <c r="F2004" s="201"/>
      <c r="G2004" s="194"/>
      <c r="H2004" s="164"/>
      <c r="I2004" s="195"/>
      <c r="J2004" s="195"/>
      <c r="K2004" s="203"/>
      <c r="L2004" s="204"/>
      <c r="M2004" s="197"/>
      <c r="N2004" s="198"/>
      <c r="O2004" s="198"/>
      <c r="P2004" s="198"/>
      <c r="Q2004" s="198"/>
      <c r="R2004" s="198"/>
      <c r="S2004" s="193"/>
      <c r="T2004" s="194"/>
      <c r="U2004" s="210"/>
    </row>
    <row r="2005" spans="1:21" ht="22.5" hidden="1" customHeight="1">
      <c r="A2005" s="155"/>
      <c r="B2005" s="205"/>
      <c r="C2005" s="153"/>
      <c r="D2005" s="153"/>
      <c r="E2005" s="158"/>
      <c r="F2005" s="169"/>
      <c r="G2005" s="154"/>
      <c r="H2005" s="155"/>
      <c r="I2005" s="189"/>
      <c r="J2005" s="189"/>
      <c r="K2005" s="206"/>
      <c r="L2005" s="207"/>
      <c r="M2005" s="181"/>
      <c r="N2005" s="157"/>
      <c r="O2005" s="157"/>
      <c r="P2005" s="157"/>
      <c r="Q2005" s="157"/>
      <c r="R2005" s="157"/>
      <c r="S2005" s="153"/>
      <c r="T2005" s="154"/>
      <c r="U2005" s="210"/>
    </row>
    <row r="2006" spans="1:21" ht="22.5" hidden="1" customHeight="1">
      <c r="A2006" s="198"/>
      <c r="B2006" s="202"/>
      <c r="C2006" s="193"/>
      <c r="D2006" s="193"/>
      <c r="E2006" s="199"/>
      <c r="F2006" s="201"/>
      <c r="G2006" s="194"/>
      <c r="H2006" s="164"/>
      <c r="I2006" s="195"/>
      <c r="J2006" s="195"/>
      <c r="K2006" s="203"/>
      <c r="L2006" s="204"/>
      <c r="M2006" s="197"/>
      <c r="N2006" s="198"/>
      <c r="O2006" s="198"/>
      <c r="P2006" s="198"/>
      <c r="Q2006" s="198"/>
      <c r="R2006" s="198"/>
      <c r="S2006" s="193"/>
      <c r="T2006" s="194"/>
      <c r="U2006" s="213"/>
    </row>
    <row r="2008" spans="1:21" ht="22.5" customHeight="1">
      <c r="E2008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6">
    <cfRule type="expression" dxfId="60" priority="3">
      <formula>TRIM(C2)="Realizado"</formula>
    </cfRule>
  </conditionalFormatting>
  <conditionalFormatting sqref="C2:C2006">
    <cfRule type="expression" dxfId="59" priority="4">
      <formula>TRIM(C2)="Cancelado"</formula>
    </cfRule>
  </conditionalFormatting>
  <conditionalFormatting sqref="C2:C2006">
    <cfRule type="expression" dxfId="58" priority="5">
      <formula>TRIM(C2)="Em andamento"</formula>
    </cfRule>
  </conditionalFormatting>
  <conditionalFormatting sqref="C2:C2006">
    <cfRule type="expression" dxfId="57" priority="6">
      <formula>TRIM(C2)="Adiado"</formula>
    </cfRule>
  </conditionalFormatting>
  <conditionalFormatting sqref="A2:A2006">
    <cfRule type="expression" dxfId="56" priority="7">
      <formula>AND($B2&lt;&gt;"",$A2="")</formula>
    </cfRule>
  </conditionalFormatting>
  <conditionalFormatting sqref="L2:M2006">
    <cfRule type="expression" dxfId="55" priority="8">
      <formula>L2=""</formula>
    </cfRule>
  </conditionalFormatting>
  <conditionalFormatting sqref="A2001:A2005 E2006 A714:S715 A2:T713 A716:T2000">
    <cfRule type="expression" dxfId="54" priority="9">
      <formula>MOD(ROW(),2)=0</formula>
    </cfRule>
  </conditionalFormatting>
  <conditionalFormatting sqref="A2001:A2005 E2006 A714:S715 A2:T713 A716:T2000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5:I1048576 I712:J720 I706:J710 H2001:I2013 I743:J2000 I704:J704 I735:J738 I740:J741 I726:J733" xr:uid="{A71E4390-A059-418C-8F5C-AD2AF445253E}">
      <formula1>41640</formula1>
      <formula2>47848</formula2>
    </dataValidation>
    <dataValidation type="decimal" allowBlank="1" showInputMessage="1" showErrorMessage="1" sqref="K2015:K1048576 K2001:K2013 L2:L2000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1:S5000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6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6" xr:uid="{576DADEE-8432-40AC-A1D2-7CA5121BB2E5}">
      <formula1>OR(A2="",COUNTIF($A$2:$A$2000,A2)=1)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F499998:F1048576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E2015:E1048576 E2007:E2013 F519:F2000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C999:C2000 B2001:B1048576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J2015:J1048576 J2001:J2013 K2:K2000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F2015:F499997 F2001:F2013 G657:G2000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4.4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">
      <c r="A1" s="104" t="s">
        <v>3061</v>
      </c>
      <c r="H1" s="167" t="s">
        <v>3062</v>
      </c>
    </row>
    <row r="2" spans="1:8">
      <c r="H2" s="166" t="s">
        <v>3063</v>
      </c>
    </row>
    <row r="3" spans="1:8">
      <c r="A3" t="s">
        <v>0</v>
      </c>
      <c r="B3" t="s">
        <v>19</v>
      </c>
      <c r="C3" t="s">
        <v>3064</v>
      </c>
      <c r="D3" t="s">
        <v>3065</v>
      </c>
      <c r="E3" t="s">
        <v>3066</v>
      </c>
      <c r="H3" s="166" t="s">
        <v>3067</v>
      </c>
    </row>
    <row r="4" spans="1:8">
      <c r="A4">
        <v>1</v>
      </c>
      <c r="B4" t="s">
        <v>3068</v>
      </c>
      <c r="D4" t="s">
        <v>3069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3070</v>
      </c>
    </row>
    <row r="5" spans="1:8">
      <c r="A5">
        <v>2</v>
      </c>
      <c r="B5" t="s">
        <v>2508</v>
      </c>
      <c r="D5" t="s">
        <v>3069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3071</v>
      </c>
    </row>
    <row r="6" spans="1:8">
      <c r="A6">
        <v>3</v>
      </c>
      <c r="B6" t="s">
        <v>1031</v>
      </c>
      <c r="D6" t="s">
        <v>3069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3072</v>
      </c>
      <c r="D7" t="s">
        <v>3069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3073</v>
      </c>
    </row>
    <row r="8" spans="1:8">
      <c r="A8">
        <v>5</v>
      </c>
      <c r="B8" t="s">
        <v>3074</v>
      </c>
      <c r="D8" t="s">
        <v>3069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3069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3069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3069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3069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3069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3069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3069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3069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3069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3069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3069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3069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3069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3069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3075</v>
      </c>
      <c r="D23" t="s">
        <v>3069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3069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3076</v>
      </c>
      <c r="D25" t="s">
        <v>3069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3077</v>
      </c>
      <c r="D26" t="s">
        <v>3069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3069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3069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3078</v>
      </c>
      <c r="D29" t="s">
        <v>3069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3069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3069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3069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3079</v>
      </c>
      <c r="D33" t="s">
        <v>3069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3080</v>
      </c>
      <c r="D34" t="s">
        <v>3069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3069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3069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3069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3081</v>
      </c>
      <c r="D38" t="s">
        <v>3069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3082</v>
      </c>
      <c r="D39" t="s">
        <v>3069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3069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3083</v>
      </c>
      <c r="D41" t="s">
        <v>3069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3069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3069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3084</v>
      </c>
      <c r="D44" t="s">
        <v>3069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3069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3069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3069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3069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3085</v>
      </c>
      <c r="D49" t="s">
        <v>3069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3069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3086</v>
      </c>
      <c r="D51" t="s">
        <v>3069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3069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3069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3087</v>
      </c>
      <c r="D54" t="s">
        <v>3069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3069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3069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3069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3088</v>
      </c>
      <c r="D58" t="s">
        <v>3069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3069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3069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3089</v>
      </c>
      <c r="D61" t="s">
        <v>3069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3090</v>
      </c>
      <c r="D62" t="s">
        <v>3069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3091</v>
      </c>
      <c r="D63" t="s">
        <v>3069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3092</v>
      </c>
      <c r="D64" t="s">
        <v>3069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3069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3069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3093</v>
      </c>
      <c r="D67" t="s">
        <v>3069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3094</v>
      </c>
      <c r="D68" t="s">
        <v>3069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3069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3095</v>
      </c>
      <c r="D70" t="s">
        <v>3069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3069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3069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3069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3096</v>
      </c>
      <c r="D74" t="s">
        <v>3069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3069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3069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3069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3069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3097</v>
      </c>
      <c r="D79" t="s">
        <v>3069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3098</v>
      </c>
      <c r="D80" t="s">
        <v>3069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3099</v>
      </c>
      <c r="D81" t="s">
        <v>3069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3100</v>
      </c>
      <c r="D82" t="s">
        <v>3069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3069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3101</v>
      </c>
      <c r="D84" t="s">
        <v>3069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3069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3102</v>
      </c>
      <c r="D86" t="s">
        <v>3069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3103</v>
      </c>
      <c r="D87" t="s">
        <v>3069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3104</v>
      </c>
      <c r="D88" t="s">
        <v>3069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3105</v>
      </c>
      <c r="D89" t="s">
        <v>3069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3106</v>
      </c>
      <c r="D90" t="s">
        <v>3069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3107</v>
      </c>
      <c r="D91" t="s">
        <v>3069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3108</v>
      </c>
      <c r="D92" t="s">
        <v>3069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3109</v>
      </c>
      <c r="D93" t="s">
        <v>3069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3110</v>
      </c>
      <c r="D94" t="s">
        <v>3069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3069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3111</v>
      </c>
      <c r="D96" t="s">
        <v>3069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3069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3112</v>
      </c>
      <c r="D98" t="s">
        <v>3069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3113</v>
      </c>
      <c r="D99" t="s">
        <v>3069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3114</v>
      </c>
      <c r="D100" t="s">
        <v>3069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3115</v>
      </c>
      <c r="D101" t="s">
        <v>3069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3069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3116</v>
      </c>
      <c r="D103" t="s">
        <v>3069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3117</v>
      </c>
      <c r="D104" t="s">
        <v>3069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3118</v>
      </c>
      <c r="D105" t="s">
        <v>3069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3069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3069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3119</v>
      </c>
      <c r="D108" t="s">
        <v>3069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3120</v>
      </c>
      <c r="D109" t="s">
        <v>3069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3121</v>
      </c>
      <c r="D110" t="s">
        <v>3069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3122</v>
      </c>
      <c r="D111" t="s">
        <v>3069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3123</v>
      </c>
      <c r="D112" t="s">
        <v>3069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3124</v>
      </c>
      <c r="D113" t="s">
        <v>3069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4.4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6">
      <c r="A1" s="18" t="s">
        <v>1</v>
      </c>
      <c r="B1" s="18" t="s">
        <v>3125</v>
      </c>
      <c r="C1" s="18" t="s">
        <v>3126</v>
      </c>
      <c r="D1" s="18" t="s">
        <v>4</v>
      </c>
      <c r="E1" s="18" t="s">
        <v>3127</v>
      </c>
      <c r="F1" s="18" t="s">
        <v>19</v>
      </c>
      <c r="G1" s="18" t="s">
        <v>3128</v>
      </c>
      <c r="H1" s="18" t="s">
        <v>3129</v>
      </c>
      <c r="I1" s="18" t="s">
        <v>3130</v>
      </c>
      <c r="J1" s="18" t="s">
        <v>3131</v>
      </c>
      <c r="L1" s="109" t="s">
        <v>3132</v>
      </c>
      <c r="M1" s="22">
        <v>2026</v>
      </c>
      <c r="U1" s="79" t="s">
        <v>3133</v>
      </c>
      <c r="V1" s="78"/>
      <c r="X1" s="77" t="s">
        <v>3134</v>
      </c>
      <c r="Y1" s="26"/>
      <c r="Z1" s="26"/>
      <c r="AA1" s="26"/>
      <c r="AC1" s="99" t="s">
        <v>3135</v>
      </c>
    </row>
    <row r="2" spans="1:31">
      <c r="A2" s="20" cm="1">
        <f t="array" aca="1" ref="A2:J15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3136</v>
      </c>
      <c r="M2" s="105" t="s">
        <v>2929</v>
      </c>
      <c r="X2" s="111" t="s">
        <v>3125</v>
      </c>
      <c r="Y2" s="111" t="s">
        <v>19</v>
      </c>
      <c r="Z2" s="111" t="s">
        <v>3137</v>
      </c>
      <c r="AA2" s="111" t="s">
        <v>3138</v>
      </c>
      <c r="AC2" s="112" t="s">
        <v>1</v>
      </c>
      <c r="AD2" s="112" t="s">
        <v>3139</v>
      </c>
      <c r="AE2" s="112" t="s">
        <v>3140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3141</v>
      </c>
      <c r="M3" s="110" t="s">
        <v>3142</v>
      </c>
      <c r="N3" s="110" t="s">
        <v>3143</v>
      </c>
      <c r="O3" s="110" t="s">
        <v>3144</v>
      </c>
      <c r="P3" s="110" t="s">
        <v>3145</v>
      </c>
      <c r="Q3" s="110" t="s">
        <v>3146</v>
      </c>
      <c r="R3" s="110" t="s">
        <v>3147</v>
      </c>
      <c r="S3" s="110" t="s">
        <v>3148</v>
      </c>
      <c r="T3" s="110" t="s">
        <v>3149</v>
      </c>
      <c r="X3" t="s">
        <v>2836</v>
      </c>
      <c r="Y3" t="s">
        <v>3082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997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3082</v>
      </c>
      <c r="Z6">
        <v>1</v>
      </c>
      <c r="AA6">
        <v>0</v>
      </c>
      <c r="AC6" s="96">
        <v>2026</v>
      </c>
      <c r="AD6" s="17" t="s">
        <v>3151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3076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3094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3076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3094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3076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3094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3082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3082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3117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3113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3095</v>
      </c>
      <c r="Z33">
        <v>4</v>
      </c>
      <c r="AA33">
        <v>0.6</v>
      </c>
      <c r="AC33" s="98"/>
      <c r="AD33" s="113" t="s">
        <v>3152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3096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3114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3109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2026-077</v>
      </c>
      <c r="N61" t="str">
        <f ca="1"/>
        <v>A realizar</v>
      </c>
      <c r="O61" t="str">
        <f ca="1"/>
        <v>Exibição de filme: Consciência Negra</v>
      </c>
      <c r="P61">
        <f ca="1"/>
        <v>0</v>
      </c>
      <c r="Q61">
        <f ca="1"/>
        <v>0</v>
      </c>
      <c r="R61">
        <f ca="1"/>
        <v>1</v>
      </c>
      <c r="S61">
        <f ca="1"/>
        <v>136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2026-078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139</v>
      </c>
      <c r="T62">
        <f ca="1"/>
        <v>136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140</v>
      </c>
      <c r="T63">
        <f ca="1"/>
        <v>139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142</v>
      </c>
      <c r="T64">
        <f ca="1"/>
        <v>140</v>
      </c>
      <c r="X64" t="s">
        <v>2702</v>
      </c>
      <c r="Y64" t="s">
        <v>3100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143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144</v>
      </c>
      <c r="T66">
        <f ca="1"/>
        <v>143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146</v>
      </c>
      <c r="T67">
        <f ca="1"/>
        <v>144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148</v>
      </c>
      <c r="T68">
        <f ca="1"/>
        <v>146</v>
      </c>
      <c r="X68" t="s">
        <v>2965</v>
      </c>
      <c r="Y68" t="s">
        <v>3098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151</v>
      </c>
      <c r="T69">
        <f ca="1"/>
        <v>148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153</v>
      </c>
      <c r="T70">
        <f ca="1"/>
        <v>151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153</v>
      </c>
      <c r="X71" t="s">
        <v>2823</v>
      </c>
      <c r="Y71" s="17" t="s">
        <v>3082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3101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3105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3088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3088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3088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3154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3154</v>
      </c>
      <c r="Y87" t="s">
        <v>3100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3154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3087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3056</v>
      </c>
      <c r="Y90" t="s">
        <v>3121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2026-077</v>
      </c>
      <c r="C137" t="str">
        <f ca="1"/>
        <v>A realizar</v>
      </c>
      <c r="D137" t="str">
        <f ca="1"/>
        <v>Exibição de filme: Consciência Negra</v>
      </c>
      <c r="E137">
        <f ca="1"/>
        <v>0</v>
      </c>
      <c r="F137" t="str">
        <f ca="1"/>
        <v>0</v>
      </c>
      <c r="G137">
        <f ca="1"/>
        <v>1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2026-078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2026-078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2026-078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2026-081</v>
      </c>
      <c r="C141" t="str">
        <f ca="1"/>
        <v>Realizado</v>
      </c>
      <c r="D141" t="str">
        <f ca="1"/>
        <v>Contratações de TIC com base na jurisprudência do TCDF - SGDI</v>
      </c>
      <c r="E141">
        <f ca="1"/>
        <v>8</v>
      </c>
      <c r="F141" t="str">
        <f ca="1"/>
        <v>Felipe da Costa Malaquias</v>
      </c>
      <c r="G141">
        <f ca="1"/>
        <v>1</v>
      </c>
      <c r="H141">
        <f ca="1"/>
        <v>8</v>
      </c>
      <c r="I141">
        <f ca="1"/>
        <v>2.4</v>
      </c>
      <c r="J141">
        <f ca="1"/>
        <v>10.4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Luciana Alvim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Tarsila Firmino Ely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2026-083</v>
      </c>
      <c r="C144" t="str">
        <f ca="1"/>
        <v>Realizado</v>
      </c>
      <c r="D144" t="str">
        <f ca="1"/>
        <v>Oficina básica de Power Automate</v>
      </c>
      <c r="E144">
        <f ca="1"/>
        <v>9</v>
      </c>
      <c r="F144" t="str">
        <f ca="1"/>
        <v>Josdeyvi Magalhães Russi</v>
      </c>
      <c r="G144">
        <f ca="1"/>
        <v>1</v>
      </c>
      <c r="H144">
        <f ca="1"/>
        <v>9</v>
      </c>
      <c r="I144">
        <f ca="1"/>
        <v>2.6999999999999997</v>
      </c>
      <c r="J144">
        <f ca="1"/>
        <v>11.7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2026-084</v>
      </c>
      <c r="C145" t="str">
        <f ca="1"/>
        <v>A realizar</v>
      </c>
      <c r="D145" t="str">
        <f ca="1"/>
        <v>Oficina EmentAI: o seu assistente de IA na elaboração de ementas jurisprudenciais</v>
      </c>
      <c r="E145">
        <f ca="1"/>
        <v>4</v>
      </c>
      <c r="F145" t="str">
        <f ca="1"/>
        <v>Caio Filipe</v>
      </c>
      <c r="G145">
        <f ca="1"/>
        <v>1</v>
      </c>
      <c r="H145">
        <f ca="1"/>
        <v>4</v>
      </c>
      <c r="I145">
        <f ca="1"/>
        <v>1.2</v>
      </c>
      <c r="J145">
        <f ca="1"/>
        <v>5.2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Arthur Wú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Gustavo Takahashi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Arthur Wú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Gustavo Takahashi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Isac Mendes Caixeta de Pamplona Araújo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Valéria Feitoza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Cinthia Thais de Carvalho Luz Thomazi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Indio Artiaga do Brasil Rabelo</v>
      </c>
      <c r="G153">
        <f ca="1"/>
        <v>2</v>
      </c>
      <c r="H153">
        <f ca="1"/>
        <v>12</v>
      </c>
      <c r="I153">
        <f ca="1"/>
        <v>3.5999999999999996</v>
      </c>
      <c r="J153">
        <f ca="1"/>
        <v>15.6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Leonardo de Melo</v>
      </c>
      <c r="G154">
        <f ca="1"/>
        <v>2</v>
      </c>
      <c r="H154">
        <f ca="1"/>
        <v>0</v>
      </c>
      <c r="I154">
        <f ca="1"/>
        <v>0</v>
      </c>
      <c r="J154">
        <f ca="1"/>
        <v>0</v>
      </c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4.4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3155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" thickBot="1"/>
    <row r="4" spans="1:7" ht="24.95" customHeight="1">
      <c r="A4" s="218" t="s">
        <v>3156</v>
      </c>
      <c r="B4" s="219"/>
      <c r="D4" s="220" t="s">
        <v>3157</v>
      </c>
      <c r="E4" s="221"/>
      <c r="G4" s="44" t="s">
        <v>3158</v>
      </c>
    </row>
    <row r="5" spans="1:7" ht="54.95" customHeight="1" thickBot="1">
      <c r="A5" s="34">
        <f>COUNTIF('Ações InCompany'!B:B,2026)</f>
        <v>92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16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45">
      <c r="A8" s="216" t="s">
        <v>3160</v>
      </c>
      <c r="B8" s="216"/>
      <c r="D8" s="216" t="s">
        <v>3161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45">
      <c r="A30" s="216" t="s">
        <v>3170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0.26506024096385544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0.10843373493975904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0.12048192771084337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6</v>
      </c>
      <c r="D38" s="38">
        <f t="shared" si="0"/>
        <v>21</v>
      </c>
      <c r="E38" s="39">
        <f t="shared" si="1"/>
        <v>0.25301204819277107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16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3126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3057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4.4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3221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3222</v>
      </c>
    </row>
    <row r="4" spans="1:8" ht="21.95" customHeight="1">
      <c r="A4" s="223" t="s">
        <v>3223</v>
      </c>
      <c r="B4" s="224"/>
      <c r="D4" s="223" t="s">
        <v>3224</v>
      </c>
      <c r="E4" s="224"/>
      <c r="G4" s="223" t="s">
        <v>3225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3126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4.45"/>
  <cols>
    <col min="1" max="1" width="57.140625" customWidth="1"/>
    <col min="2" max="6" width="22.85546875" customWidth="1"/>
  </cols>
  <sheetData>
    <row r="1" spans="1:7" ht="18">
      <c r="A1" s="229" t="s">
        <v>3231</v>
      </c>
      <c r="B1" s="229"/>
      <c r="C1" s="229"/>
      <c r="D1" s="229"/>
      <c r="E1" s="229"/>
      <c r="F1" s="229"/>
    </row>
    <row r="2" spans="1:7">
      <c r="A2" s="230" t="s">
        <v>3232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3129</v>
      </c>
      <c r="C4" s="24" t="s">
        <v>3130</v>
      </c>
      <c r="D4" s="24" t="s">
        <v>3233</v>
      </c>
      <c r="E4" s="24" t="s">
        <v>3131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882</v>
      </c>
      <c r="C105" s="94">
        <f ca="1">SUM(C5:C100)</f>
        <v>392.93999999999994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4.4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3125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2026-10-06T21:15:52Z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