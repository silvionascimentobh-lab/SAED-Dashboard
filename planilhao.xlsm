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5" documentId="13_ncr:1_{6A2CC3E2-FAFB-4D8F-B284-5E8FB5045DFE}" xr6:coauthVersionLast="47" xr6:coauthVersionMax="47" xr10:uidLastSave="{AEDB08C7-9109-4422-B61C-754A37D0E875}"/>
  <bookViews>
    <workbookView xWindow="28680" yWindow="-120" windowWidth="29040" windowHeight="15720" firstSheet="2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E105" i="23" l="1"/>
  <c r="A5" i="23" a="1"/>
  <c r="A2" i="20"/>
  <c r="E61" i="23" l="1"/>
  <c r="B49" i="23"/>
  <c r="F12" i="23"/>
  <c r="F11" i="23"/>
  <c r="E28" i="23"/>
  <c r="D11" i="23"/>
  <c r="F21" i="23"/>
  <c r="C56" i="23"/>
  <c r="C8" i="23"/>
  <c r="C12" i="23"/>
  <c r="D42" i="23"/>
  <c r="B18" i="23"/>
  <c r="B40" i="23"/>
  <c r="B32" i="23"/>
  <c r="E53" i="23"/>
  <c r="F17" i="23"/>
  <c r="C23" i="23"/>
  <c r="B8" i="23"/>
  <c r="B58" i="23"/>
  <c r="C50" i="23"/>
  <c r="B50" i="23"/>
  <c r="F30" i="23"/>
  <c r="E12" i="23"/>
  <c r="B33" i="23"/>
  <c r="F53" i="23"/>
  <c r="C53" i="23"/>
  <c r="E56" i="23"/>
  <c r="C59" i="23"/>
  <c r="F20" i="23"/>
  <c r="E42" i="23"/>
  <c r="F9" i="23"/>
  <c r="D50" i="23"/>
  <c r="B27" i="23"/>
  <c r="B47" i="23"/>
  <c r="E17" i="23"/>
  <c r="E45" i="23"/>
  <c r="C29" i="23"/>
  <c r="D20" i="23"/>
  <c r="E16" i="23"/>
  <c r="D28" i="23"/>
  <c r="C18" i="23"/>
  <c r="C60" i="23"/>
  <c r="F57" i="23"/>
  <c r="D29" i="23"/>
  <c r="D58" i="23"/>
  <c r="E40" i="23"/>
  <c r="D15" i="23"/>
  <c r="B29" i="23"/>
  <c r="F47" i="23"/>
  <c r="F26" i="23"/>
  <c r="C17" i="23"/>
  <c r="F23" i="23"/>
  <c r="D53" i="23"/>
  <c r="E25" i="23"/>
  <c r="B13" i="23"/>
  <c r="B14" i="23"/>
  <c r="D19" i="23"/>
  <c r="B59" i="23"/>
  <c r="E19" i="23"/>
  <c r="C54" i="23"/>
  <c r="E34" i="23"/>
  <c r="E6" i="23"/>
  <c r="C7" i="23"/>
  <c r="F37" i="23"/>
  <c r="B39" i="23"/>
  <c r="F33" i="23"/>
  <c r="F14" i="23"/>
  <c r="F42" i="23"/>
  <c r="F13" i="23"/>
  <c r="E50" i="23"/>
  <c r="E24" i="23"/>
  <c r="F35" i="23"/>
  <c r="E30" i="23"/>
  <c r="E51" i="23"/>
  <c r="F61" i="23"/>
  <c r="D22" i="23"/>
  <c r="B61" i="23"/>
  <c r="C45" i="23"/>
  <c r="E57" i="23"/>
  <c r="E35" i="23"/>
  <c r="B56" i="23"/>
  <c r="B21" i="23"/>
  <c r="E33" i="23"/>
  <c r="F25" i="23"/>
  <c r="D7" i="23"/>
  <c r="D45" i="23"/>
  <c r="C49" i="23"/>
  <c r="B20" i="23"/>
  <c r="D36" i="23"/>
  <c r="E27" i="23"/>
  <c r="F8" i="23"/>
  <c r="E7" i="23"/>
  <c r="B10" i="23"/>
  <c r="B48" i="23"/>
  <c r="D24" i="23"/>
  <c r="C36" i="23"/>
  <c r="D38" i="23"/>
  <c r="B30" i="23"/>
  <c r="E21" i="23"/>
  <c r="B37" i="23"/>
  <c r="D56" i="23"/>
  <c r="C61" i="23"/>
  <c r="F59" i="23"/>
  <c r="C44" i="23"/>
  <c r="E49" i="23"/>
  <c r="F39" i="23"/>
  <c r="D16" i="23"/>
  <c r="F10" i="23"/>
  <c r="F44" i="23"/>
  <c r="F40" i="23"/>
  <c r="E41" i="23"/>
  <c r="D6" i="23"/>
  <c r="D37" i="23"/>
  <c r="F56" i="23"/>
  <c r="D17" i="23"/>
  <c r="E13" i="23"/>
  <c r="F54" i="23"/>
  <c r="F41" i="23"/>
  <c r="F43" i="23"/>
  <c r="F28" i="23"/>
  <c r="E14" i="23"/>
  <c r="F7" i="23"/>
  <c r="D31" i="23"/>
  <c r="D21" i="23"/>
  <c r="B51" i="23"/>
  <c r="B7" i="23"/>
  <c r="D9" i="23"/>
  <c r="D35" i="23"/>
  <c r="D39" i="23"/>
  <c r="E23" i="23"/>
  <c r="C55" i="23"/>
  <c r="D61" i="23"/>
  <c r="C16" i="23"/>
  <c r="C28" i="23"/>
  <c r="E29" i="23"/>
  <c r="D26" i="23"/>
  <c r="B6" i="23"/>
  <c r="C32" i="23"/>
  <c r="B26" i="23"/>
  <c r="E55" i="23"/>
  <c r="E18" i="23"/>
  <c r="C51" i="23"/>
  <c r="F48" i="23"/>
  <c r="D60" i="23"/>
  <c r="E31" i="23"/>
  <c r="C21" i="23"/>
  <c r="D34" i="23"/>
  <c r="B24" i="23"/>
  <c r="B44" i="23"/>
  <c r="B35" i="23"/>
  <c r="B15" i="23"/>
  <c r="F49" i="23"/>
  <c r="E37" i="23"/>
  <c r="F6" i="23"/>
  <c r="D13" i="23"/>
  <c r="D46" i="23"/>
  <c r="F32" i="23"/>
  <c r="C25" i="23"/>
  <c r="C40" i="23"/>
  <c r="E36" i="23"/>
  <c r="B31" i="23"/>
  <c r="E58" i="23"/>
  <c r="D30" i="23"/>
  <c r="B16" i="23"/>
  <c r="D18" i="23"/>
  <c r="C52" i="23"/>
  <c r="B43" i="23"/>
  <c r="E54" i="23"/>
  <c r="B12" i="23"/>
  <c r="B22" i="23"/>
  <c r="B60" i="23"/>
  <c r="F52" i="23"/>
  <c r="B23" i="23"/>
  <c r="C30" i="23"/>
  <c r="D10" i="23"/>
  <c r="E26" i="23"/>
  <c r="C31" i="23"/>
  <c r="E15" i="23"/>
  <c r="C39" i="23"/>
  <c r="B52" i="23"/>
  <c r="F55" i="23"/>
  <c r="E8" i="23"/>
  <c r="F46" i="23"/>
  <c r="E48" i="23"/>
  <c r="E52" i="23"/>
  <c r="D25" i="23"/>
  <c r="C26" i="23"/>
  <c r="F36" i="23"/>
  <c r="C41" i="23"/>
  <c r="F34" i="23"/>
  <c r="C22" i="23"/>
  <c r="C46" i="23"/>
  <c r="E60" i="23"/>
  <c r="D14" i="23"/>
  <c r="B42" i="23"/>
  <c r="F22" i="23"/>
  <c r="B11" i="23"/>
  <c r="F29" i="23"/>
  <c r="C24" i="23"/>
  <c r="B45" i="23"/>
  <c r="E9" i="23"/>
  <c r="D57" i="23"/>
  <c r="C11" i="23"/>
  <c r="D44" i="23"/>
  <c r="C13" i="23"/>
  <c r="B34" i="23"/>
  <c r="C48" i="23"/>
  <c r="D48" i="23"/>
  <c r="E39" i="23"/>
  <c r="D55" i="23"/>
  <c r="D47" i="23"/>
  <c r="B55" i="23"/>
  <c r="D32" i="23"/>
  <c r="B46" i="23"/>
  <c r="C43" i="23"/>
  <c r="B54" i="23"/>
  <c r="C33" i="23"/>
  <c r="D27" i="23"/>
  <c r="E38" i="23"/>
  <c r="F38" i="23"/>
  <c r="E44" i="23"/>
  <c r="F60" i="23"/>
  <c r="D54" i="23"/>
  <c r="B25" i="23"/>
  <c r="E32" i="23"/>
  <c r="C9" i="23"/>
  <c r="D40" i="23"/>
  <c r="C19" i="23"/>
  <c r="E10" i="23"/>
  <c r="C35" i="23"/>
  <c r="F45" i="23"/>
  <c r="B9" i="23"/>
  <c r="B41" i="23"/>
  <c r="C27" i="23"/>
  <c r="B57" i="23"/>
  <c r="E46" i="23"/>
  <c r="C6" i="23"/>
  <c r="E11" i="23"/>
  <c r="F27" i="23"/>
  <c r="D33" i="23"/>
  <c r="D59" i="23"/>
  <c r="C15" i="23"/>
  <c r="F51" i="23"/>
  <c r="C38" i="23"/>
  <c r="C57" i="23"/>
  <c r="E59" i="23"/>
  <c r="B36" i="23"/>
  <c r="B17" i="23"/>
  <c r="F50" i="23"/>
  <c r="D49" i="23"/>
  <c r="F18" i="23"/>
  <c r="B19" i="23"/>
  <c r="D8" i="23"/>
  <c r="F16" i="23"/>
  <c r="B28" i="23"/>
  <c r="F58" i="23"/>
  <c r="B53" i="23"/>
  <c r="C47" i="23"/>
  <c r="C37" i="23"/>
  <c r="C14" i="23"/>
  <c r="D23" i="23"/>
  <c r="C42" i="23"/>
  <c r="B38" i="23"/>
  <c r="C58" i="23"/>
  <c r="F19" i="23"/>
  <c r="D52" i="23"/>
  <c r="C34" i="23"/>
  <c r="E22" i="23"/>
  <c r="C10" i="23"/>
  <c r="D51" i="23"/>
  <c r="D43" i="23"/>
  <c r="F24" i="23"/>
  <c r="F15" i="23"/>
  <c r="E43" i="23"/>
  <c r="C20" i="23"/>
  <c r="E47" i="23"/>
  <c r="D12" i="23"/>
  <c r="E20" i="23"/>
  <c r="D41" i="23"/>
  <c r="F31" i="23"/>
  <c r="A5" i="23"/>
  <c r="F5" i="23" l="1"/>
  <c r="F105" i="23" s="1"/>
  <c r="E5" i="23"/>
  <c r="B5" i="23"/>
  <c r="B105" i="23" s="1"/>
  <c r="G5" i="23"/>
  <c r="D5" i="23"/>
  <c r="C5" i="23"/>
  <c r="C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<sst xmlns="http://schemas.openxmlformats.org/spreadsheetml/2006/main" count="7367" uniqueCount="3238">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</sst>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zoomScaleNormal="100" workbookViewId="0">
      <pane ySplit="1" topLeftCell="A713" activePane="bottomLeft" state="frozen"/>
      <selection pane="bottomLeft" activeCell="E746" sqref="E74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/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2710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2937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2938</v>
      </c>
      <c r="B717" s="137">
        <v>2026</v>
      </c>
      <c r="C717" s="154" t="s">
        <v>2710</v>
      </c>
      <c r="D717" s="154" t="s">
        <v>2928</v>
      </c>
      <c r="E717" s="159" t="s">
        <v>2939</v>
      </c>
      <c r="F717" s="170" t="s">
        <v>88</v>
      </c>
      <c r="G717" s="155" t="s">
        <v>2717</v>
      </c>
      <c r="H717" s="156" t="s">
        <v>2940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2941</v>
      </c>
      <c r="B718" s="137">
        <v>2026</v>
      </c>
      <c r="C718" s="154" t="s">
        <v>2710</v>
      </c>
      <c r="D718" s="154" t="s">
        <v>2928</v>
      </c>
      <c r="E718" s="159" t="s">
        <v>2942</v>
      </c>
      <c r="F718" s="170" t="s">
        <v>88</v>
      </c>
      <c r="G718" s="155" t="s">
        <v>2717</v>
      </c>
      <c r="H718" s="156" t="s">
        <v>2943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2944</v>
      </c>
      <c r="B719" s="137">
        <v>2026</v>
      </c>
      <c r="C719" s="154" t="s">
        <v>2710</v>
      </c>
      <c r="D719" s="154" t="s">
        <v>2928</v>
      </c>
      <c r="E719" s="159" t="s">
        <v>2945</v>
      </c>
      <c r="F719" s="170" t="s">
        <v>88</v>
      </c>
      <c r="G719" s="155" t="s">
        <v>2717</v>
      </c>
      <c r="H719" s="156" t="s">
        <v>2946</v>
      </c>
      <c r="I719" s="191">
        <v>46304</v>
      </c>
      <c r="J719" s="191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2947</v>
      </c>
      <c r="B720" s="137">
        <v>2026</v>
      </c>
      <c r="C720" s="118" t="s">
        <v>22</v>
      </c>
      <c r="D720" s="118" t="s">
        <v>2948</v>
      </c>
      <c r="E720" s="119" t="s">
        <v>2949</v>
      </c>
      <c r="F720" s="120" t="s">
        <v>24</v>
      </c>
      <c r="G720" s="121" t="s">
        <v>206</v>
      </c>
      <c r="H720" s="122" t="s">
        <v>2950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2951</v>
      </c>
    </row>
    <row r="721" spans="1:20" ht="45">
      <c r="A721" s="122" t="s">
        <v>2952</v>
      </c>
      <c r="B721" s="137">
        <v>2026</v>
      </c>
      <c r="C721" s="137" t="s">
        <v>22</v>
      </c>
      <c r="D721" s="137" t="s">
        <v>2928</v>
      </c>
      <c r="E721" s="138" t="s">
        <v>2953</v>
      </c>
      <c r="F721" s="144" t="s">
        <v>88</v>
      </c>
      <c r="G721" s="150" t="s">
        <v>2717</v>
      </c>
      <c r="H721" s="140" t="s">
        <v>2954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2955</v>
      </c>
    </row>
    <row r="722" spans="1:20" ht="45">
      <c r="A722" s="122" t="s">
        <v>2956</v>
      </c>
      <c r="B722" s="118">
        <v>2026</v>
      </c>
      <c r="C722" s="118" t="s">
        <v>22</v>
      </c>
      <c r="D722" s="118" t="s">
        <v>2928</v>
      </c>
      <c r="E722" s="119" t="s">
        <v>2957</v>
      </c>
      <c r="F722" s="120" t="s">
        <v>88</v>
      </c>
      <c r="G722" s="146" t="s">
        <v>2717</v>
      </c>
      <c r="H722" s="122" t="s">
        <v>2958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2959</v>
      </c>
    </row>
    <row r="723" spans="1:20" ht="15">
      <c r="A723" s="122" t="s">
        <v>2960</v>
      </c>
      <c r="B723" s="137">
        <v>2026</v>
      </c>
      <c r="C723" s="154" t="s">
        <v>22</v>
      </c>
      <c r="D723" s="154" t="s">
        <v>2961</v>
      </c>
      <c r="E723" s="159" t="s">
        <v>2962</v>
      </c>
      <c r="F723" s="170" t="s">
        <v>88</v>
      </c>
      <c r="G723" s="155" t="s">
        <v>2717</v>
      </c>
      <c r="H723" s="156" t="s">
        <v>2963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2964</v>
      </c>
      <c r="B724" s="172">
        <v>2026</v>
      </c>
      <c r="C724" s="154" t="s">
        <v>22</v>
      </c>
      <c r="D724" s="154" t="s">
        <v>2965</v>
      </c>
      <c r="E724" s="159" t="s">
        <v>2966</v>
      </c>
      <c r="F724" s="170" t="s">
        <v>88</v>
      </c>
      <c r="G724" s="155" t="s">
        <v>2717</v>
      </c>
      <c r="H724" s="156" t="s">
        <v>2967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2968</v>
      </c>
      <c r="B725" s="154">
        <v>2026</v>
      </c>
      <c r="C725" s="154" t="s">
        <v>22</v>
      </c>
      <c r="D725" s="154" t="s">
        <v>2961</v>
      </c>
      <c r="E725" s="159" t="s">
        <v>2969</v>
      </c>
      <c r="F725" s="170" t="s">
        <v>88</v>
      </c>
      <c r="G725" s="155" t="s">
        <v>2717</v>
      </c>
      <c r="H725" s="156" t="s">
        <v>2970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2971</v>
      </c>
      <c r="B726" s="154">
        <v>2026</v>
      </c>
      <c r="C726" s="154" t="s">
        <v>2710</v>
      </c>
      <c r="D726" s="154" t="s">
        <v>2961</v>
      </c>
      <c r="E726" s="159" t="s">
        <v>2972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2973</v>
      </c>
      <c r="B727" s="154">
        <v>2026</v>
      </c>
      <c r="C727" s="154" t="s">
        <v>2710</v>
      </c>
      <c r="D727" s="154" t="s">
        <v>2961</v>
      </c>
      <c r="E727" s="159" t="s">
        <v>2974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2975</v>
      </c>
      <c r="B728" s="154">
        <v>2026</v>
      </c>
      <c r="C728" s="154" t="s">
        <v>22</v>
      </c>
      <c r="D728" s="154" t="s">
        <v>2961</v>
      </c>
      <c r="E728" s="159" t="s">
        <v>2976</v>
      </c>
      <c r="F728" s="170" t="s">
        <v>88</v>
      </c>
      <c r="G728" s="155" t="s">
        <v>2717</v>
      </c>
      <c r="H728" s="156" t="s">
        <v>2977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2978</v>
      </c>
      <c r="B729" s="154">
        <v>2026</v>
      </c>
      <c r="C729" s="154" t="s">
        <v>2710</v>
      </c>
      <c r="D729" s="154" t="s">
        <v>2961</v>
      </c>
      <c r="E729" s="159" t="s">
        <v>2979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2980</v>
      </c>
      <c r="B730" s="154">
        <v>2026</v>
      </c>
      <c r="C730" s="154" t="s">
        <v>2710</v>
      </c>
      <c r="D730" s="154" t="s">
        <v>2961</v>
      </c>
      <c r="E730" s="201" t="s">
        <v>2981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2982</v>
      </c>
      <c r="B731" s="154">
        <v>2026</v>
      </c>
      <c r="C731" s="154" t="s">
        <v>2710</v>
      </c>
      <c r="D731" s="154" t="s">
        <v>2961</v>
      </c>
      <c r="E731" s="201" t="s">
        <v>2983</v>
      </c>
      <c r="F731" s="170" t="s">
        <v>88</v>
      </c>
      <c r="G731" s="155" t="s">
        <v>2717</v>
      </c>
      <c r="H731" s="156" t="s">
        <v>2984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2985</v>
      </c>
      <c r="B732" s="154">
        <v>2026</v>
      </c>
      <c r="C732" s="154" t="s">
        <v>2710</v>
      </c>
      <c r="D732" s="154" t="s">
        <v>2986</v>
      </c>
      <c r="E732" s="159" t="s">
        <v>2987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2988</v>
      </c>
      <c r="B733" s="154">
        <v>2026</v>
      </c>
      <c r="C733" s="154" t="s">
        <v>2710</v>
      </c>
      <c r="D733" s="154"/>
      <c r="E733" s="201" t="s">
        <v>2989</v>
      </c>
      <c r="F733" s="170" t="s">
        <v>24</v>
      </c>
      <c r="G733" s="155" t="s">
        <v>2717</v>
      </c>
      <c r="H733" s="156" t="s">
        <v>2990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2991</v>
      </c>
      <c r="B734" s="154">
        <v>2026</v>
      </c>
      <c r="C734" s="154" t="s">
        <v>2710</v>
      </c>
      <c r="D734" s="154" t="s">
        <v>2992</v>
      </c>
      <c r="E734" s="159" t="s">
        <v>2993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2994</v>
      </c>
      <c r="E735" s="159" t="s">
        <v>2995</v>
      </c>
      <c r="F735" s="170" t="s">
        <v>24</v>
      </c>
      <c r="G735" s="155" t="s">
        <v>206</v>
      </c>
      <c r="H735" s="156" t="s">
        <v>2996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2997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2998</v>
      </c>
      <c r="E736" s="159" t="s">
        <v>2999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3000</v>
      </c>
      <c r="B737" s="154">
        <v>2026</v>
      </c>
      <c r="C737" s="154" t="s">
        <v>22</v>
      </c>
      <c r="D737" s="154" t="s">
        <v>3001</v>
      </c>
      <c r="E737" s="159" t="s">
        <v>3002</v>
      </c>
      <c r="F737" s="170" t="s">
        <v>69</v>
      </c>
      <c r="G737" s="155" t="s">
        <v>79</v>
      </c>
      <c r="H737" s="156" t="s">
        <v>3003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3004</v>
      </c>
      <c r="B738" s="154">
        <v>2026</v>
      </c>
      <c r="C738" s="154" t="s">
        <v>2566</v>
      </c>
      <c r="D738" s="154" t="s">
        <v>3005</v>
      </c>
      <c r="E738" s="159" t="s">
        <v>3006</v>
      </c>
      <c r="F738" s="170" t="s">
        <v>69</v>
      </c>
      <c r="G738" s="155" t="s">
        <v>2694</v>
      </c>
      <c r="H738" s="156" t="s">
        <v>3007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3008</v>
      </c>
    </row>
    <row r="739" spans="1:20" ht="15">
      <c r="A739" s="156" t="s">
        <v>3009</v>
      </c>
      <c r="B739" s="154">
        <v>2026</v>
      </c>
      <c r="C739" s="154" t="s">
        <v>22</v>
      </c>
      <c r="D739" s="154" t="s">
        <v>3010</v>
      </c>
      <c r="E739" s="159" t="s">
        <v>3011</v>
      </c>
      <c r="F739" s="170" t="s">
        <v>24</v>
      </c>
      <c r="G739" s="155" t="s">
        <v>2699</v>
      </c>
      <c r="H739" s="156" t="s">
        <v>3012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3013</v>
      </c>
      <c r="B740" s="154">
        <v>2026</v>
      </c>
      <c r="C740" s="154" t="s">
        <v>2710</v>
      </c>
      <c r="D740" s="154" t="s">
        <v>3014</v>
      </c>
      <c r="E740" s="159" t="s">
        <v>3015</v>
      </c>
      <c r="F740" s="170" t="s">
        <v>24</v>
      </c>
      <c r="G740" s="155" t="s">
        <v>2699</v>
      </c>
      <c r="H740" s="156" t="s">
        <v>3016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3017</v>
      </c>
      <c r="B741" s="154">
        <v>2026</v>
      </c>
      <c r="C741" s="154" t="s">
        <v>2710</v>
      </c>
      <c r="D741" s="154" t="s">
        <v>3018</v>
      </c>
      <c r="E741" s="159" t="s">
        <v>3019</v>
      </c>
      <c r="F741" s="170" t="s">
        <v>24</v>
      </c>
      <c r="G741" s="155" t="s">
        <v>2699</v>
      </c>
      <c r="H741" s="156" t="s">
        <v>3020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3021</v>
      </c>
      <c r="B742" s="154">
        <v>2026</v>
      </c>
      <c r="C742" s="154" t="s">
        <v>2710</v>
      </c>
      <c r="D742" s="154" t="s">
        <v>3018</v>
      </c>
      <c r="E742" s="159" t="s">
        <v>3022</v>
      </c>
      <c r="F742" s="170" t="s">
        <v>24</v>
      </c>
      <c r="G742" s="155" t="s">
        <v>2699</v>
      </c>
      <c r="H742" s="156" t="s">
        <v>3023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3024</v>
      </c>
      <c r="B743" s="154">
        <v>2027</v>
      </c>
      <c r="C743" s="154" t="s">
        <v>2710</v>
      </c>
      <c r="D743" s="154" t="s">
        <v>3025</v>
      </c>
      <c r="E743" s="159" t="s">
        <v>3026</v>
      </c>
      <c r="F743" s="170" t="s">
        <v>24</v>
      </c>
      <c r="G743" s="155" t="s">
        <v>206</v>
      </c>
      <c r="H743" s="156" t="s">
        <v>3027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2997</v>
      </c>
    </row>
    <row r="744" spans="1:20" ht="15">
      <c r="A744" s="156" t="s">
        <v>3028</v>
      </c>
      <c r="B744" s="154">
        <v>2026</v>
      </c>
      <c r="C744" s="154" t="s">
        <v>2710</v>
      </c>
      <c r="D744" s="154" t="s">
        <v>3029</v>
      </c>
      <c r="E744" s="166" t="s">
        <v>3030</v>
      </c>
      <c r="F744" s="170" t="s">
        <v>24</v>
      </c>
      <c r="G744" s="155" t="s">
        <v>206</v>
      </c>
      <c r="H744" s="156" t="s">
        <v>3031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3032</v>
      </c>
      <c r="B745" s="154">
        <v>2026</v>
      </c>
      <c r="C745" s="154" t="s">
        <v>2710</v>
      </c>
      <c r="D745" s="154" t="s">
        <v>3029</v>
      </c>
      <c r="E745" s="166" t="s">
        <v>3033</v>
      </c>
      <c r="F745" s="170" t="s">
        <v>24</v>
      </c>
      <c r="G745" s="155" t="s">
        <v>206</v>
      </c>
      <c r="H745" s="156" t="s">
        <v>3034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3035</v>
      </c>
      <c r="B746" s="154">
        <v>2026</v>
      </c>
      <c r="C746" s="154" t="s">
        <v>2710</v>
      </c>
      <c r="D746" s="154" t="s">
        <v>3036</v>
      </c>
      <c r="E746" s="166" t="s">
        <v>3037</v>
      </c>
      <c r="F746" s="170" t="s">
        <v>24</v>
      </c>
      <c r="G746" s="155" t="s">
        <v>206</v>
      </c>
      <c r="H746" s="156" t="s">
        <v>3038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3039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191"/>
      <c r="J747" s="191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191"/>
      <c r="J748" s="191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191"/>
      <c r="J749" s="191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3040</v>
      </c>
      <c r="H1" s="168" t="s">
        <v>3041</v>
      </c>
    </row>
    <row r="2" spans="1:8">
      <c r="H2" s="167" t="s">
        <v>3042</v>
      </c>
    </row>
    <row r="3" spans="1:8">
      <c r="A3" t="s">
        <v>0</v>
      </c>
      <c r="B3" t="s">
        <v>19</v>
      </c>
      <c r="C3" t="s">
        <v>3043</v>
      </c>
      <c r="D3" t="s">
        <v>3044</v>
      </c>
      <c r="E3" t="s">
        <v>3045</v>
      </c>
      <c r="H3" s="167" t="s">
        <v>3046</v>
      </c>
    </row>
    <row r="4" spans="1:8">
      <c r="A4">
        <v>1</v>
      </c>
      <c r="B4" t="s">
        <v>3047</v>
      </c>
      <c r="D4" t="s">
        <v>3048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3049</v>
      </c>
    </row>
    <row r="5" spans="1:8">
      <c r="A5">
        <v>2</v>
      </c>
      <c r="B5" t="s">
        <v>2507</v>
      </c>
      <c r="D5" t="s">
        <v>3048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3050</v>
      </c>
    </row>
    <row r="6" spans="1:8">
      <c r="A6">
        <v>3</v>
      </c>
      <c r="B6" t="s">
        <v>1030</v>
      </c>
      <c r="D6" t="s">
        <v>3048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3051</v>
      </c>
      <c r="D7" t="s">
        <v>3048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3052</v>
      </c>
    </row>
    <row r="8" spans="1:8">
      <c r="A8">
        <v>5</v>
      </c>
      <c r="B8" t="s">
        <v>3053</v>
      </c>
      <c r="D8" t="s">
        <v>3048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3048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3048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3048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3048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3048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3048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3048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3048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3048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3048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3048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3048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3048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3048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3054</v>
      </c>
      <c r="D23" t="s">
        <v>3048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3048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3055</v>
      </c>
      <c r="D25" t="s">
        <v>3048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3056</v>
      </c>
      <c r="D26" t="s">
        <v>3048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3048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3048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3057</v>
      </c>
      <c r="D29" t="s">
        <v>3048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3048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3048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3048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3058</v>
      </c>
      <c r="D33" t="s">
        <v>3048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3059</v>
      </c>
      <c r="D34" t="s">
        <v>3048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3048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3048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3048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3060</v>
      </c>
      <c r="D38" t="s">
        <v>3048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3061</v>
      </c>
      <c r="D39" t="s">
        <v>3048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3048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3062</v>
      </c>
      <c r="D41" t="s">
        <v>3048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3048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3048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3063</v>
      </c>
      <c r="D44" t="s">
        <v>3048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3048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3048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3048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3048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3064</v>
      </c>
      <c r="D49" t="s">
        <v>3048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3048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3065</v>
      </c>
      <c r="D51" t="s">
        <v>3048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3048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3048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3066</v>
      </c>
      <c r="D54" t="s">
        <v>3048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3048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3048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3048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3067</v>
      </c>
      <c r="D58" t="s">
        <v>3048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3048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3048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3068</v>
      </c>
      <c r="D61" t="s">
        <v>3048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3069</v>
      </c>
      <c r="D62" t="s">
        <v>3048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3070</v>
      </c>
      <c r="D63" t="s">
        <v>3048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3071</v>
      </c>
      <c r="D64" t="s">
        <v>3048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3048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3048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3072</v>
      </c>
      <c r="D67" t="s">
        <v>3048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3073</v>
      </c>
      <c r="D68" t="s">
        <v>3048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3048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3074</v>
      </c>
      <c r="D70" t="s">
        <v>3048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3048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3048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3048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3075</v>
      </c>
      <c r="D74" t="s">
        <v>3048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3048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3048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3048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3048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3076</v>
      </c>
      <c r="D79" t="s">
        <v>3048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3077</v>
      </c>
      <c r="D80" t="s">
        <v>3048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3078</v>
      </c>
      <c r="D81" t="s">
        <v>3048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3079</v>
      </c>
      <c r="D82" t="s">
        <v>3048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3048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3080</v>
      </c>
      <c r="D84" t="s">
        <v>3048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3048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3081</v>
      </c>
      <c r="D86" t="s">
        <v>3048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3082</v>
      </c>
      <c r="D87" t="s">
        <v>3048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3083</v>
      </c>
      <c r="D88" t="s">
        <v>3048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3084</v>
      </c>
      <c r="D89" t="s">
        <v>3048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3085</v>
      </c>
      <c r="D90" t="s">
        <v>3048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3086</v>
      </c>
      <c r="D91" t="s">
        <v>3048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3087</v>
      </c>
      <c r="D92" t="s">
        <v>3048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3088</v>
      </c>
      <c r="D93" t="s">
        <v>3048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3089</v>
      </c>
      <c r="D94" t="s">
        <v>3048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3048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3090</v>
      </c>
      <c r="D96" t="s">
        <v>3048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3048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3091</v>
      </c>
      <c r="D98" t="s">
        <v>3048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3092</v>
      </c>
      <c r="D99" t="s">
        <v>3048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3093</v>
      </c>
      <c r="D100" t="s">
        <v>3048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3094</v>
      </c>
      <c r="D101" t="s">
        <v>3048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3048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3095</v>
      </c>
      <c r="D103" t="s">
        <v>3048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3096</v>
      </c>
      <c r="D104" t="s">
        <v>3048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3097</v>
      </c>
      <c r="D105" t="s">
        <v>3048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3048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3048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3098</v>
      </c>
      <c r="D108" t="s">
        <v>3048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3099</v>
      </c>
      <c r="D109" t="s">
        <v>3048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8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3100</v>
      </c>
      <c r="C1" s="18" t="s">
        <v>3101</v>
      </c>
      <c r="D1" s="18" t="s">
        <v>4</v>
      </c>
      <c r="E1" s="18" t="s">
        <v>3102</v>
      </c>
      <c r="F1" s="18" t="s">
        <v>19</v>
      </c>
      <c r="G1" s="18" t="s">
        <v>3103</v>
      </c>
      <c r="H1" s="18" t="s">
        <v>3104</v>
      </c>
      <c r="I1" s="18" t="s">
        <v>3105</v>
      </c>
      <c r="J1" s="18" t="s">
        <v>3106</v>
      </c>
      <c r="L1" s="110" t="s">
        <v>3107</v>
      </c>
      <c r="M1" s="22">
        <v>2026</v>
      </c>
      <c r="U1" s="79" t="s">
        <v>3108</v>
      </c>
      <c r="V1" s="78"/>
      <c r="X1" s="77" t="s">
        <v>3109</v>
      </c>
      <c r="Y1" s="26"/>
      <c r="Z1" s="26"/>
      <c r="AA1" s="26"/>
      <c r="AC1" s="99" t="s">
        <v>3110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3111</v>
      </c>
      <c r="M2" s="106" t="s">
        <v>2927</v>
      </c>
      <c r="X2" s="112" t="s">
        <v>3100</v>
      </c>
      <c r="Y2" s="112" t="s">
        <v>19</v>
      </c>
      <c r="Z2" s="112" t="s">
        <v>3112</v>
      </c>
      <c r="AA2" s="112" t="s">
        <v>3113</v>
      </c>
      <c r="AC2" s="113" t="s">
        <v>1</v>
      </c>
      <c r="AD2" s="113" t="s">
        <v>3114</v>
      </c>
      <c r="AE2" s="113" t="s">
        <v>3115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3116</v>
      </c>
      <c r="M3" s="111" t="s">
        <v>3117</v>
      </c>
      <c r="N3" s="111" t="s">
        <v>3118</v>
      </c>
      <c r="O3" s="111" t="s">
        <v>3119</v>
      </c>
      <c r="P3" s="111" t="s">
        <v>3120</v>
      </c>
      <c r="Q3" s="111" t="s">
        <v>3121</v>
      </c>
      <c r="R3" s="111" t="s">
        <v>3122</v>
      </c>
      <c r="S3" s="111" t="s">
        <v>3123</v>
      </c>
      <c r="T3" s="111" t="s">
        <v>3124</v>
      </c>
      <c r="X3" t="s">
        <v>2835</v>
      </c>
      <c r="Y3" t="s">
        <v>3061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3125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3061</v>
      </c>
      <c r="Z6">
        <v>1</v>
      </c>
      <c r="AA6">
        <v>0</v>
      </c>
      <c r="AC6" s="96">
        <v>2026</v>
      </c>
      <c r="AD6" s="17" t="s">
        <v>3126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7" t="s">
        <v>3055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7" t="s">
        <v>3073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7" t="s">
        <v>3055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7" t="s">
        <v>3073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7" t="s">
        <v>3055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7" t="s">
        <v>3073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3061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3061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3096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3092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3074</v>
      </c>
      <c r="Z33">
        <v>4</v>
      </c>
      <c r="AA33">
        <v>0.6</v>
      </c>
      <c r="AC33" s="98"/>
      <c r="AD33" s="114" t="s">
        <v>3127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3075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3083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3093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3090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3128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3079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2960</v>
      </c>
      <c r="Y68" t="s">
        <v>3077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3080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3084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3067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3067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3067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3129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3129</v>
      </c>
      <c r="Y87" t="s">
        <v>3079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3129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2" t="s">
        <v>3130</v>
      </c>
      <c r="B1" s="212"/>
      <c r="C1" s="212"/>
      <c r="D1" s="212"/>
      <c r="E1" s="212"/>
      <c r="F1" s="212"/>
      <c r="G1" s="212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3" t="s">
        <v>3131</v>
      </c>
      <c r="B4" s="214"/>
      <c r="D4" s="215" t="s">
        <v>3132</v>
      </c>
      <c r="E4" s="216"/>
      <c r="G4" s="44" t="s">
        <v>3133</v>
      </c>
    </row>
    <row r="5" spans="1:7" ht="54.95" customHeight="1" thickBot="1">
      <c r="A5" s="34">
        <f>COUNTIF('Ações InCompany'!B:B,2026)</f>
        <v>89</v>
      </c>
      <c r="B5" s="35" t="s">
        <v>3134</v>
      </c>
      <c r="D5" s="42">
        <f>COUNTIFS('Ações InCompany'!B:B,2026,'Ações InCompany'!C:C,"Realizado")</f>
        <v>58</v>
      </c>
      <c r="E5" s="43" t="s">
        <v>3134</v>
      </c>
      <c r="G5" s="45">
        <f>COUNTIFS('Ações InCompany'!B:B,2026,'Ações InCompany'!C:C,"A realizar")</f>
        <v>23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1" t="s">
        <v>3135</v>
      </c>
      <c r="B8" s="211"/>
      <c r="D8" s="211" t="s">
        <v>3136</v>
      </c>
      <c r="E8" s="211"/>
    </row>
    <row r="9" spans="1:7" ht="5.0999999999999996" customHeight="1">
      <c r="A9" s="223"/>
      <c r="B9" s="223"/>
      <c r="D9" s="223"/>
      <c r="E9" s="223"/>
    </row>
    <row r="10" spans="1:7" ht="24.95" customHeight="1">
      <c r="A10" s="27" t="s">
        <v>5</v>
      </c>
      <c r="B10" s="27" t="s">
        <v>3137</v>
      </c>
      <c r="D10" s="27" t="s">
        <v>3138</v>
      </c>
      <c r="E10" s="27" t="s">
        <v>3139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3140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25</v>
      </c>
      <c r="D12" s="30" t="s">
        <v>3141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3142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3143</v>
      </c>
      <c r="B14" s="33">
        <f>SUM(B11:B13)</f>
        <v>58</v>
      </c>
      <c r="D14" s="32" t="s">
        <v>3144</v>
      </c>
      <c r="E14" s="33">
        <f>SUM(E11:E13)</f>
        <v>3242</v>
      </c>
    </row>
    <row r="30" spans="1:5" ht="17.25">
      <c r="A30" s="211" t="s">
        <v>3145</v>
      </c>
      <c r="B30" s="211"/>
      <c r="C30" s="211"/>
      <c r="D30" s="211"/>
      <c r="E30" s="211"/>
    </row>
    <row r="31" spans="1:5" ht="5.0999999999999996" customHeight="1">
      <c r="A31" s="223"/>
      <c r="B31" s="223"/>
      <c r="C31" s="223"/>
      <c r="D31" s="223"/>
      <c r="E31" s="223"/>
    </row>
    <row r="32" spans="1:5" ht="24.95" customHeight="1">
      <c r="A32" s="27" t="s">
        <v>6</v>
      </c>
      <c r="B32" s="27" t="s">
        <v>3146</v>
      </c>
      <c r="C32" s="27" t="s">
        <v>3147</v>
      </c>
      <c r="D32" s="27" t="s">
        <v>3148</v>
      </c>
      <c r="E32" s="27" t="s">
        <v>3149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0.27160493827160492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4.9382716049382713E-2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0.1111111111111111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2.4691358024691357E-2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0.1111111111111111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0.25925925925925924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4.9382716049382713E-2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2.4691358024691357E-2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7.407407407407407E-2</v>
      </c>
    </row>
    <row r="42" spans="1:5" ht="24" customHeight="1">
      <c r="A42" s="74" t="s">
        <v>3150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2.4691358024691357E-2</v>
      </c>
    </row>
    <row r="44" spans="1:5" ht="24" customHeight="1">
      <c r="A44" s="66" t="s">
        <v>3151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3143</v>
      </c>
      <c r="B45" s="40">
        <f>SUM(B33:B44)</f>
        <v>58</v>
      </c>
      <c r="C45" s="40">
        <f>SUM(C33:C44)</f>
        <v>23</v>
      </c>
      <c r="D45" s="40">
        <f>SUM(D33:D44)</f>
        <v>81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3157</v>
      </c>
      <c r="B2" s="11" t="s">
        <v>3158</v>
      </c>
      <c r="C2" s="11" t="s">
        <v>1736</v>
      </c>
      <c r="D2" s="11" t="s">
        <v>3159</v>
      </c>
      <c r="E2" s="11" t="s">
        <v>3160</v>
      </c>
    </row>
    <row r="3" spans="1:5" ht="18" customHeight="1">
      <c r="A3" s="11" t="s">
        <v>3157</v>
      </c>
      <c r="B3" s="11" t="s">
        <v>3158</v>
      </c>
      <c r="C3" s="13" t="s">
        <v>25</v>
      </c>
      <c r="D3" s="11" t="s">
        <v>3161</v>
      </c>
      <c r="E3" s="11" t="s">
        <v>3162</v>
      </c>
    </row>
    <row r="4" spans="1:5" ht="18" customHeight="1">
      <c r="A4" s="11" t="s">
        <v>3157</v>
      </c>
      <c r="B4" s="11" t="s">
        <v>3158</v>
      </c>
      <c r="C4" s="11" t="s">
        <v>75</v>
      </c>
      <c r="D4" s="11" t="s">
        <v>3159</v>
      </c>
      <c r="E4" s="11" t="s">
        <v>3163</v>
      </c>
    </row>
    <row r="5" spans="1:5" ht="18" customHeight="1">
      <c r="A5" s="11" t="s">
        <v>3157</v>
      </c>
      <c r="B5" s="11" t="s">
        <v>3158</v>
      </c>
      <c r="C5" s="11" t="s">
        <v>79</v>
      </c>
      <c r="D5" s="11" t="s">
        <v>3164</v>
      </c>
      <c r="E5" s="11" t="s">
        <v>3165</v>
      </c>
    </row>
    <row r="6" spans="1:5" ht="18" customHeight="1">
      <c r="A6" s="11" t="s">
        <v>3157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3157</v>
      </c>
      <c r="B7" s="11" t="s">
        <v>3168</v>
      </c>
      <c r="C7" s="11" t="s">
        <v>36</v>
      </c>
      <c r="D7" s="11" t="s">
        <v>3169</v>
      </c>
      <c r="E7" s="11" t="s">
        <v>3170</v>
      </c>
    </row>
    <row r="8" spans="1:5" ht="18" customHeight="1">
      <c r="A8" s="11" t="s">
        <v>3157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3157</v>
      </c>
      <c r="B9" s="11" t="s">
        <v>3173</v>
      </c>
      <c r="C9" s="11" t="s">
        <v>464</v>
      </c>
      <c r="D9" s="11" t="s">
        <v>3174</v>
      </c>
      <c r="E9" s="11" t="s">
        <v>3175</v>
      </c>
    </row>
    <row r="10" spans="1:5" ht="18" customHeight="1">
      <c r="A10" s="11" t="s">
        <v>3157</v>
      </c>
      <c r="B10" s="11" t="s">
        <v>3173</v>
      </c>
      <c r="C10" s="11" t="s">
        <v>206</v>
      </c>
      <c r="D10" s="11" t="s">
        <v>24</v>
      </c>
      <c r="E10" s="11" t="s">
        <v>3176</v>
      </c>
    </row>
    <row r="11" spans="1:5" ht="18" customHeight="1">
      <c r="A11" s="11" t="s">
        <v>3157</v>
      </c>
      <c r="B11" s="11" t="s">
        <v>3173</v>
      </c>
      <c r="C11" s="11" t="s">
        <v>371</v>
      </c>
      <c r="D11" s="11" t="s">
        <v>24</v>
      </c>
      <c r="E11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3178</v>
      </c>
      <c r="B1" s="5" t="s">
        <v>10</v>
      </c>
      <c r="C1" s="14" t="s">
        <v>3179</v>
      </c>
      <c r="D1" s="14" t="s">
        <v>3101</v>
      </c>
    </row>
    <row r="2" spans="1:4" ht="21" customHeight="1">
      <c r="A2" s="102" t="s">
        <v>24</v>
      </c>
      <c r="B2" s="102" t="s">
        <v>38</v>
      </c>
      <c r="C2" s="11" t="s">
        <v>3180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3181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3152</v>
      </c>
      <c r="B1" s="11" t="s">
        <v>3153</v>
      </c>
      <c r="C1" s="12" t="s">
        <v>3154</v>
      </c>
      <c r="D1" s="12" t="s">
        <v>3155</v>
      </c>
      <c r="E1" s="12" t="s">
        <v>3156</v>
      </c>
    </row>
    <row r="2" spans="1:5" ht="18" customHeight="1">
      <c r="A2" s="11" t="s">
        <v>3183</v>
      </c>
      <c r="B2" s="11" t="s">
        <v>3158</v>
      </c>
      <c r="C2" s="13" t="s">
        <v>25</v>
      </c>
      <c r="D2" s="11" t="s">
        <v>3159</v>
      </c>
      <c r="E2" s="16" t="s">
        <v>3184</v>
      </c>
    </row>
    <row r="3" spans="1:5" ht="18" customHeight="1">
      <c r="A3" s="11" t="s">
        <v>3183</v>
      </c>
      <c r="B3" s="11" t="s">
        <v>3158</v>
      </c>
      <c r="C3" s="11" t="s">
        <v>75</v>
      </c>
      <c r="D3" s="11" t="s">
        <v>3161</v>
      </c>
      <c r="E3" s="11" t="s">
        <v>3185</v>
      </c>
    </row>
    <row r="4" spans="1:5" ht="18" customHeight="1">
      <c r="A4" s="11" t="s">
        <v>3183</v>
      </c>
      <c r="B4" s="11" t="s">
        <v>3158</v>
      </c>
      <c r="C4" s="11" t="s">
        <v>79</v>
      </c>
      <c r="D4" s="11" t="s">
        <v>3164</v>
      </c>
      <c r="E4" s="11" t="s">
        <v>3186</v>
      </c>
    </row>
    <row r="5" spans="1:5" ht="27.75" customHeight="1">
      <c r="A5" s="11" t="s">
        <v>3183</v>
      </c>
      <c r="B5" s="11" t="s">
        <v>3158</v>
      </c>
      <c r="C5" s="11" t="s">
        <v>2694</v>
      </c>
      <c r="D5" s="16" t="s">
        <v>3187</v>
      </c>
      <c r="E5" s="11" t="s">
        <v>3188</v>
      </c>
    </row>
    <row r="6" spans="1:5" ht="18" customHeight="1">
      <c r="A6" s="11" t="s">
        <v>3183</v>
      </c>
      <c r="B6" s="11" t="s">
        <v>3158</v>
      </c>
      <c r="C6" s="11" t="s">
        <v>2717</v>
      </c>
      <c r="D6" s="11" t="s">
        <v>3166</v>
      </c>
      <c r="E6" s="11" t="s">
        <v>3167</v>
      </c>
    </row>
    <row r="7" spans="1:5" ht="18" customHeight="1">
      <c r="A7" s="11" t="s">
        <v>3183</v>
      </c>
      <c r="B7" s="11" t="s">
        <v>3168</v>
      </c>
      <c r="C7" s="11" t="s">
        <v>2699</v>
      </c>
      <c r="D7" s="11" t="s">
        <v>3189</v>
      </c>
      <c r="E7" s="11" t="s">
        <v>3190</v>
      </c>
    </row>
    <row r="8" spans="1:5" ht="18" customHeight="1">
      <c r="A8" s="11" t="s">
        <v>3183</v>
      </c>
      <c r="B8" s="11" t="s">
        <v>3168</v>
      </c>
      <c r="C8" s="11" t="s">
        <v>42</v>
      </c>
      <c r="D8" s="11" t="s">
        <v>3171</v>
      </c>
      <c r="E8" s="11" t="s">
        <v>3172</v>
      </c>
    </row>
    <row r="9" spans="1:5" ht="18" customHeight="1">
      <c r="A9" s="11" t="s">
        <v>3183</v>
      </c>
      <c r="B9" s="11" t="s">
        <v>3168</v>
      </c>
      <c r="C9" s="11" t="s">
        <v>2792</v>
      </c>
      <c r="D9" s="11" t="s">
        <v>3191</v>
      </c>
      <c r="E9" s="16" t="s">
        <v>3192</v>
      </c>
    </row>
    <row r="10" spans="1:5" ht="18" customHeight="1">
      <c r="A10" s="11" t="s">
        <v>3183</v>
      </c>
      <c r="B10" s="11" t="s">
        <v>3193</v>
      </c>
      <c r="C10" s="11" t="s">
        <v>3150</v>
      </c>
      <c r="D10" s="11" t="s">
        <v>3194</v>
      </c>
      <c r="E10" s="16" t="s">
        <v>3195</v>
      </c>
    </row>
    <row r="11" spans="1:5" ht="18" customHeight="1">
      <c r="A11" s="11" t="s">
        <v>3183</v>
      </c>
      <c r="B11" s="11" t="s">
        <v>3193</v>
      </c>
      <c r="C11" s="11" t="s">
        <v>206</v>
      </c>
      <c r="D11" s="11" t="s">
        <v>24</v>
      </c>
      <c r="E11" s="11" t="s">
        <v>3176</v>
      </c>
    </row>
    <row r="12" spans="1:5" ht="18" customHeight="1">
      <c r="A12" s="11" t="s">
        <v>3183</v>
      </c>
      <c r="B12" s="11" t="s">
        <v>3193</v>
      </c>
      <c r="C12" s="11" t="s">
        <v>371</v>
      </c>
      <c r="D12" s="11" t="s">
        <v>24</v>
      </c>
      <c r="E12" s="11" t="s">
        <v>3177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7" t="s">
        <v>3196</v>
      </c>
      <c r="B1" s="217"/>
      <c r="C1" s="217"/>
      <c r="D1" s="217"/>
      <c r="E1" s="217"/>
      <c r="F1" s="217"/>
      <c r="G1" s="217"/>
      <c r="H1" s="217"/>
    </row>
    <row r="2" spans="1:8">
      <c r="A2" s="48" t="s">
        <v>3197</v>
      </c>
    </row>
    <row r="4" spans="1:8" ht="21.95" customHeight="1">
      <c r="A4" s="218" t="s">
        <v>3198</v>
      </c>
      <c r="B4" s="219"/>
      <c r="D4" s="218" t="s">
        <v>3199</v>
      </c>
      <c r="E4" s="219"/>
      <c r="G4" s="218" t="s">
        <v>3200</v>
      </c>
      <c r="H4" s="219"/>
    </row>
    <row r="5" spans="1:8" ht="35.1" customHeight="1">
      <c r="A5" s="222">
        <f>COUNTIF('Ações InCompany'!E:E,"*maratona*")</f>
        <v>13</v>
      </c>
      <c r="B5" s="221"/>
      <c r="D5" s="220">
        <f>SUM(H8:H100)</f>
        <v>1762</v>
      </c>
      <c r="E5" s="221"/>
      <c r="G5" s="220">
        <f>IFERROR(ROUND(D5/A5,0),"-")</f>
        <v>136</v>
      </c>
      <c r="H5" s="221"/>
    </row>
    <row r="6" spans="1:8" ht="9.9499999999999993" customHeight="1"/>
    <row r="7" spans="1:8" ht="24.95" customHeight="1" thickBot="1">
      <c r="A7" s="61" t="s">
        <v>3201</v>
      </c>
      <c r="B7" s="61" t="s">
        <v>3202</v>
      </c>
      <c r="C7" s="61" t="s">
        <v>1</v>
      </c>
      <c r="D7" s="61" t="s">
        <v>3203</v>
      </c>
      <c r="E7" s="61" t="s">
        <v>3204</v>
      </c>
      <c r="F7" s="61" t="s">
        <v>3101</v>
      </c>
      <c r="G7" s="61" t="s">
        <v>5</v>
      </c>
      <c r="H7" s="61" t="s">
        <v>3205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5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4" t="s">
        <v>3206</v>
      </c>
      <c r="B1" s="224"/>
      <c r="C1" s="224"/>
      <c r="D1" s="224"/>
      <c r="E1" s="224"/>
      <c r="F1" s="224"/>
    </row>
    <row r="2" spans="1:7">
      <c r="A2" s="225" t="s">
        <v>3207</v>
      </c>
      <c r="B2" s="225"/>
      <c r="C2" s="225"/>
      <c r="D2" s="225"/>
      <c r="E2" s="225"/>
      <c r="F2" s="225"/>
    </row>
    <row r="4" spans="1:7">
      <c r="A4" s="24" t="s">
        <v>19</v>
      </c>
      <c r="B4" s="24" t="s">
        <v>3104</v>
      </c>
      <c r="C4" s="24" t="s">
        <v>3105</v>
      </c>
      <c r="D4" s="24" t="s">
        <v>3208</v>
      </c>
      <c r="E4" s="24" t="s">
        <v>3106</v>
      </c>
      <c r="F4" s="24" t="s">
        <v>3209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3144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3210</v>
      </c>
      <c r="B1" s="117" t="s">
        <v>3211</v>
      </c>
      <c r="C1" s="117" t="s">
        <v>3212</v>
      </c>
      <c r="D1" s="117" t="s">
        <v>3213</v>
      </c>
      <c r="E1" s="117" t="s">
        <v>3214</v>
      </c>
      <c r="F1" s="117" t="s">
        <v>3215</v>
      </c>
      <c r="G1" s="117" t="s">
        <v>10</v>
      </c>
      <c r="H1" s="117" t="s">
        <v>3216</v>
      </c>
      <c r="I1" s="117" t="s">
        <v>3217</v>
      </c>
      <c r="J1" s="117" t="s">
        <v>3218</v>
      </c>
      <c r="K1" s="117" t="s">
        <v>3219</v>
      </c>
      <c r="L1" s="117" t="s">
        <v>3220</v>
      </c>
      <c r="N1" s="117" t="s">
        <v>3221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3222</v>
      </c>
      <c r="L2" t="str">
        <f>IF(K2="","",IFERROR(INDEX(Tabela2[Curso],MATCH(K2,Tabela2[ID],0)),""))</f>
        <v/>
      </c>
      <c r="N2" s="117" t="s">
        <v>3100</v>
      </c>
      <c r="O2" s="117" t="s">
        <v>4</v>
      </c>
      <c r="P2" s="117" t="s">
        <v>3223</v>
      </c>
      <c r="Q2" s="117" t="s">
        <v>3224</v>
      </c>
      <c r="R2" s="117" t="s">
        <v>3225</v>
      </c>
      <c r="S2" s="117" t="s">
        <v>3226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3222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3222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3222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3222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3222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3222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3222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3222</v>
      </c>
      <c r="L10" t="str">
        <f>IF(K10="","",IFERROR(INDEX(Tabela2[Curso],MATCH(K10,Tabela2[ID],0)),""))</f>
        <v/>
      </c>
      <c r="N10" s="111" t="s">
        <v>3227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3222</v>
      </c>
      <c r="L11" t="str">
        <f>IF(K11="","",IFERROR(INDEX(Tabela2[Curso],MATCH(K11,Tabela2[ID],0)),""))</f>
        <v/>
      </c>
      <c r="N11" s="210" t="s">
        <v>3228</v>
      </c>
      <c r="O11" s="210" t="s">
        <v>3229</v>
      </c>
      <c r="P11" s="210" t="s">
        <v>3230</v>
      </c>
      <c r="Q11" s="210" t="s">
        <v>3213</v>
      </c>
      <c r="R11" s="210" t="s">
        <v>3214</v>
      </c>
      <c r="S11" s="210" t="s">
        <v>3231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3222</v>
      </c>
      <c r="L12" t="str">
        <f>IF(K12="","",IFERROR(INDEX(Tabela2[Curso],MATCH(K12,Tabela2[ID],0)),""))</f>
        <v/>
      </c>
      <c r="N12" t="s">
        <v>3232</v>
      </c>
      <c r="O12" t="s">
        <v>2753</v>
      </c>
      <c r="P12" t="s">
        <v>3233</v>
      </c>
      <c r="Q12">
        <v>0</v>
      </c>
      <c r="R12">
        <v>0</v>
      </c>
      <c r="S12" t="s">
        <v>3234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3222</v>
      </c>
      <c r="L13" t="str">
        <f>IF(K13="","",IFERROR(INDEX(Tabela2[Curso],MATCH(K13,Tabela2[ID],0)),""))</f>
        <v/>
      </c>
      <c r="N13" t="s">
        <v>3235</v>
      </c>
      <c r="O13" t="s">
        <v>2686</v>
      </c>
      <c r="P13" t="s">
        <v>3236</v>
      </c>
      <c r="Q13">
        <v>0</v>
      </c>
      <c r="R13">
        <v>0</v>
      </c>
      <c r="S13" t="s">
        <v>3237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3222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3222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3222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3222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3222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3222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3222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3222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3222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3222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3222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3222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3222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3222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3222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3222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3222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3222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3222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3222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3222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3222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3222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3222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3222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3222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3222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3222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3222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3222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3222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3222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3222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3222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3222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3222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3222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3222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3222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3222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3222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3222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3222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3222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3222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3222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3222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3222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3222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3222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3222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3222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F95AF67B-67F3-479D-896A-04A7BBE7C81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Sibele Bertoldo Guerreiro</cp:lastModifiedBy>
  <cp:revision/>
  <dcterms:created xsi:type="dcterms:W3CDTF">2024-04-02T18:43:15Z</dcterms:created>
  <dcterms:modified xsi:type="dcterms:W3CDTF">2026-09-10T18:03:35Z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