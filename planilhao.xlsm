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926" documentId="13_ncr:1_{6A2CC3E2-FAFB-4D8F-B284-5E8FB5045DFE}" xr6:coauthVersionLast="47" xr6:coauthVersionMax="47" xr10:uidLastSave="{BCC0C2C4-C29F-4879-9E32-8426B68CADE9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6" i="3"/>
  <c r="E109" i="28" a="1"/>
  <c r="E108" i="28" a="1"/>
  <c r="A734" i="3"/>
  <c r="A735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R4" i="20" s="1" a="1"/>
  <c r="S4" i="20" s="1" a="1"/>
  <c r="T4" i="20" s="1" a="1"/>
  <c r="A2" i="20" l="1" a="1"/>
  <c r="A5" i="23" l="1" a="1"/>
  <c r="E105" i="23"/>
  <c r="E18" i="23" l="1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C56" i="23"/>
  <c r="E17" i="23"/>
  <c r="D53" i="23"/>
  <c r="D47" i="23"/>
  <c r="D18" i="23"/>
  <c r="C31" i="23"/>
  <c r="D52" i="23"/>
  <c r="C30" i="23"/>
  <c r="F27" i="23"/>
  <c r="C54" i="23"/>
  <c r="B51" i="23"/>
  <c r="F30" i="23"/>
  <c r="B59" i="23"/>
  <c r="C7" i="23"/>
  <c r="D6" i="23"/>
  <c r="D32" i="23"/>
  <c r="D40" i="23"/>
  <c r="B33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E42" i="23"/>
  <c r="C53" i="23"/>
  <c r="C27" i="23"/>
  <c r="D8" i="23"/>
  <c r="D22" i="23"/>
  <c r="B53" i="23"/>
  <c r="B58" i="23"/>
  <c r="E51" i="23"/>
  <c r="D48" i="23"/>
  <c r="E8" i="23"/>
  <c r="B41" i="23"/>
  <c r="C9" i="23"/>
  <c r="B10" i="23"/>
  <c r="F9" i="23"/>
  <c r="C20" i="23"/>
  <c r="C22" i="23"/>
  <c r="F22" i="23"/>
  <c r="C41" i="23"/>
  <c r="E54" i="23"/>
  <c r="F33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/>
  <c r="B5" i="23"/>
  <c r="C5" i="23"/>
  <c r="G5" i="23"/>
  <c r="D5" i="23"/>
  <c r="F5" i="23"/>
  <c r="C105" i="23" l="1"/>
  <c r="F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<sst xmlns="http://schemas.openxmlformats.org/spreadsheetml/2006/main" count="7410" uniqueCount="3262">
  <si>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</si>
  <si>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</si>
  <si>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</si>
  <si>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</si>
  <si>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</si>
  <si>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</si>
  <si>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</si>
  <si>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</si>
  <si>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</si>
  <si>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</si>
  <si>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</si>
  <si>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</si>
  <si>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</si>
  <si>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</si>
  <si>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</si>
  <si>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</si>
  <si>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</si>
  <si>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</si>
  <si>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</si>
  <si>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</si>
  <si>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</si>
  <si>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</si>
  <si>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</si>
  <si>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</si>
  <si>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</si>
  <si>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</si>
  <si>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</si>
  <si>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</si>
  <si>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</si>
  <si>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</si>
  <si>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</si>
  <si>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</si>
  <si>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</si>
  <si>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</si>
  <si>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</si>
  <si>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</si>
  <si>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</si>
  <si>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</si>
  <si>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</si>
  <si>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</si>
  <si>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</si>
  <si>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</si>
  <si>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</si>
  <si>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</si>
  <si>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</si>
  <si>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</si>
  <si>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</si>
  <si>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</si>
  <si>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</si>
  <si>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</si>
  <si>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</si>
  <si>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</si>
  <si>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</si>
  <si>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</si>
  <si>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</si>
  <si>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</si>
  <si>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</si>
  <si>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</si>
  <si>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</si>
  <si>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</si>
  <si>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</si>
  <si>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</si>
  <si>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</si>
  <si>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</si>
  <si>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</si>
  <si>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</si>
  <si>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</si>
  <si>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</si>
  <si>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</si>
  <si>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</si>
  <si>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</si>
  <si>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</si>
  <si>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</si>
  <si>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</si>
  <si>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</si>
  <si>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</si>
  <si>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</si>
  <si>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</si>
  <si>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</si>
  <si>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</si>
  <si>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</si>
  <si>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</si>
  <si>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</si>
  <si>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</si>
  <si>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</si>
  <si>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</si>
  <si>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</si>
  <si>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</si>
  <si>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</si>
  <si>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</si>
  <si>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</si>
  <si>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</si>
  <si>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</si>
  <si>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</si>
  <si>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</si>
  <si>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</si>
  <si>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</si>
  <si>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</si>
  <si>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</si>
  <si>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</si>
  <si>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</si>
  <si>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</si>
  <si>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</si>
  <si>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</si>
  <si>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</si>
  <si>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</si>
  <si>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</si>
  <si>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</si>
  <si>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</si>
  <si>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</si>
  <si>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</si>
  <si>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</si>
  <si>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</si>
  <si>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</si>
  <si>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</si>
  <si>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</si>
  <si>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</si>
  <si>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</si>
  <si>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</si>
  <si>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</si>
  <si>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</si>
  <si>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</si>
  <si>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</si>
  <si>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</si>
  <si>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</si>
  <si>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</si>
  <si>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</si>
  <si>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</si>
  <si>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</si>
  <si>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</si>
  <si>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</si>
  <si>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</si>
  <si>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</si>
  <si>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</si>
  <si>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</si>
  <si>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</si>
  <si>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</si>
  <si>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</si>
  <si>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</si>
  <si>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</si>
  <si>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</si>
  <si>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</si>
  <si>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</si>
  <si>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</si>
  <si>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</si>
  <si>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</si>
  <si>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</si>
  <si>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</si>
  <si>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</si>
  <si>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</si>
  <si>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</si>
  <si>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</si>
  <si>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</si>
  <si>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</si>
  <si>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</si>
  <si>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</si>
  <si>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</si>
  <si>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</si>
  <si>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</si>
  <si>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</si>
  <si>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</si>
  <si>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</si>
  <si>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</si>
  <si>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</si>
  <si>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</si>
  <si>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</si>
  <si>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</si>
  <si>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</si>
  <si>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</si>
  <si>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</si>
  <si>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</si>
  <si>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</si>
  <si>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</si>
  <si>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</si>
  <si>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</si>
  <si>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</si>
  <si>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</si>
  <si>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</si>
  <si>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</si>
  <si>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</si>
  <si>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</si>
  <si>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</si>
  <si>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</si>
  <si>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</si>
  <si>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</si>
  <si>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</si>
  <si>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</si>
  <si>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</si>
  <si>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</si>
  <si>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</si>
  <si>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</si>
  <si>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</si>
  <si>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</si>
  <si>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</si>
  <si>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</si>
  <si>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</si>
  <si>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</si>
  <si>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</si>
  <si>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</si>
  <si>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</si>
  <si>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</si>
  <si>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</si>
  <si>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</si>
  <si>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</si>
  <si>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</si>
  <si>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</si>
  <si>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</si>
  <si>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</si>
  <si>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</si>
  <si>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</si>
  <si>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</si>
  <si>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</si>
  <si>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</si>
  <si>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</si>
  <si>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</si>
  <si>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</si>
  <si>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</si>
  <si>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</si>
  <si>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</si>
  <si>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</si>
  <si>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</si>
  <si>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</si>
  <si>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</si>
  <si>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</si>
  <si>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</si>
  <si>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</si>
  <si>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</si>
  <si>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</si>
  <si>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</si>
  <si>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</si>
  <si>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</si>
  <si>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</si>
  <si>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</si>
  <si>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</si>
  <si>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</si>
  <si>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</si>
  <si>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</si>
  <si>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</si>
  <si>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</si>
  <si>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</si>
  <si>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</si>
  <si>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</si>
  <si>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</si>
  <si>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</si>
  <si>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</si>
  <si>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</si>
  <si>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</si>
  <si>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</si>
  <si>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</si>
  <si>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</si>
  <si>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</si>
  <si>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</si>
  <si>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</si>
  <si>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</si>
  <si>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</si>
  <si>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</si>
  <si>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</si>
  <si>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</si>
  <si>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</si>
  <si>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</si>
  <si>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</si>
  <si>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</si>
  <si>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</si>
  <si>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</si>
  <si>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</si>
  <si>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</si>
  <si>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</si>
  <si>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</si>
  <si>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</si>
  <si>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</si>
  <si>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</si>
  <si>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</si>
  <si>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</si>
  <si>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</si>
  <si>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</si>
  <si>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</si>
  <si>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</si>
  <si>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</si>
  <si>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</si>
  <si>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</si>
  <si>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</si>
  <si>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</si>
  <si>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</si>
  <si>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</si>
  <si>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</si>
  <si>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</si>
  <si>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</si>
  <si>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</si>
  <si>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</si>
  <si>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</si>
  <si>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</si>
  <si>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</si>
  <si>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</si>
  <si>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</si>
  <si>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</si>
  <si>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</si>
  <si>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</si>
  <si>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</si>
  <si>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</si>
  <si>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</si>
  <si>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</si>
  <si>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</si>
  <si>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</si>
  <si>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</si>
  <si>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</si>
  <si>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</si>
  <si>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</si>
  <si>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</si>
  <si>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</si>
  <si>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</si>
  <si>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</si>
  <si>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</si>
  <si>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</si>
  <si>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</si>
  <si>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</si>
  <si>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</si>
  <si>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</si>
  <si>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</si>
  <si>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</si>
  <si>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</si>
  <si>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</si>
  <si>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</si>
  <si>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</si>
  <si>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</si>
  <si>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</si>
  <si>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</si>
  <si>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</si>
  <si>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</si>
  <si>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</si>
  <si>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</si>
  <si>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</si>
  <si>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</si>
  <si>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</si>
  <si>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</si>
  <si>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</si>
  <si>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</si>
  <si>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</si>
  <si>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</si>
  <si>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</si>
  <si>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</si>
  <si>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</si>
  <si>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</si>
  <si>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</si>
  <si>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</si>
  <si>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</si>
  <si>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</si>
  <si>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</si>
  <si>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</si>
  <si>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</si>
  <si>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</si>
  <si>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</si>
  <si>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</si>
  <si>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</si>
  <si>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</si>
  <si>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</si>
  <si>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</si>
  <si>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</si>
  <si>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</si>
  <si>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</si>
  <si>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</si>
  <si>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</si>
  <si>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</si>
  <si>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</si>
  <si>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</si>
  <si>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</si>
  <si>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</si>
  <si>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</si>
  <si>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</si>
  <si>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</si>
  <si>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</si>
  <si>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</si>
  <si>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</si>
  <si>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</si>
  <si>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</si>
  <si>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</si>
  <si>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</si>
  <si>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</si>
  <si>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</si>
  <si>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</si>
  <si>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</si>
  <si>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</si>
  <si>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</si>
  <si>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</si>
  <si>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</si>
  <si>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</si>
  <si>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</si>
  <si>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</si>
  <si>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</si>
  <si>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</si>
  <si>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</si>
  <si>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</si>
  <si>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</si>
  <si>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</si>
  <si>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</si>
  <si>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</si>
  <si>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</si>
  <si>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</si>
  <si>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</si>
  <si>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</si>
  <si>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</si>
  <si>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</si>
  <si>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</si>
  <si>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</si>
  <si>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</si>
  <si>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</si>
  <si>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</si>
  <si>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</si>
  <si>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</si>
  <si>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</si>
  <si>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</si>
  <si>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</si>
  <si>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</si>
  <si>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</si>
  <si>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</si>
  <si>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</si>
  <si>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</si>
  <si>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</si>
  <si>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</si>
  <si>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</si>
  <si>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</si>
  <si>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</si>
  <si>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</si>
  <si>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</si>
  <si>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</si>
  <si>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</si>
  <si>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</si>
  <si>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</si>
  <si>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</si>
  <si>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</si>
  <si>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</si>
  <si>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</si>
  <si>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</si>
  <si>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</si>
  <si>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</si>
  <si>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</si>
  <si>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</si>
  <si>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</si>
  <si>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</si>
  <si>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</si>
  <si>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</si>
  <si>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</si>
  <si>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</si>
  <si>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</si>
  <si>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</si>
  <si>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</si>
  <si>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</si>
  <si>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</si>
  <si>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</si>
  <si>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</si>
  <si>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</si>
  <si>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</si>
  <si>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</si>
  <si>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</si>
  <si>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</si>
  <si>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</si>
  <si>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</si>
  <si>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</si>
  <si>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</si>
  <si>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</si>
  <si>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</si>
  <si>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</si>
  <si>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</si>
  <si>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</si>
  <si>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</si>
  <si>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</si>
  <si>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</si>
  <si>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</si>
  <si>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</si>
  <si>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</si>
  <si>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</si>
  <si>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</si>
  <si>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</si>
  <si>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</si>
  <si>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</si>
  <si>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</si>
  <si>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</si>
  <si>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</si>
  <si>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</si>
  <si>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</si>
  <si>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</si>
  <si>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</si>
  <si>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</si>
  <si>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</si>
  <si>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</si>
  <si>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</si>
  <si>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</si>
  <si>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</si>
  <si>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</si>
  <si>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</si>
  <si>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</si>
  <si>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</si>
  <si>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</si>
  <si>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</si>
  <si>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</si>
  <si>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</si>
  <si>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</si>
  <si>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</si>
  <si>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</si>
  <si>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</si>
  <si>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</si>
  <si>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</si>
  <si>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</si>
  <si>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</si>
  <si>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</si>
  <si>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</si>
  <si>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</si>
  <si>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</si>
  <si>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</si>
  <si>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</si>
  <si>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</si>
  <si>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</si>
  <si>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</si>
  <si>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</si>
  <si>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</si>
  <si>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</si>
  <si>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</si>
  <si>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</si>
  <si>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</si>
  <si>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</si>
  <si>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</si>
  <si>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</si>
  <si>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</si>
  <si>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</si>
  <si>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</si>
  <si>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</si>
  <si>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</si>
  <si>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</si>
  <si>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</si>
  <si>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</si>
  <si>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</si>
  <si>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</si>
  <si>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</si>
  <si>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</si>
  <si>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</si>
  <si>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</si>
  <si>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</si>
  <si>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</si>
  <si>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</si>
  <si>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</si>
  <si>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</si>
  <si>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</si>
  <si>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</si>
  <si>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</si>
  <si>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</si>
  <si>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</si>
  <si>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</si>
  <si>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</si>
  <si>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</si>
  <si>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</si>
  <si>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</si>
  <si>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</si>
  <si>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</si>
  <si>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</si>
  <si>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</si>
  <si>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</si>
  <si>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</si>
  <si>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</si>
  <si>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</si>
  <si>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</si>
  <si>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</si>
  <si>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</si>
  <si>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</si>
  <si>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</si>
  <si>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</si>
  <si>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</si>
  <si>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</si>
  <si>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</si>
  <si>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</si>
  <si>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</si>
  <si>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</si>
  <si>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</si>
  <si>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</si>
  <si>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</si>
  <si>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</si>
  <si>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</si>
  <si>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</si>
  <si>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</si>
  <si>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</si>
  <si>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</si>
  <si>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</si>
  <si>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</si>
  <si>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</si>
  <si>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</si>
  <si>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</si>
  <si>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</si>
  <si>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</si>
  <si>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</si>
  <si>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</si>
  <si>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</si>
  <si>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</si>
  <si>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</si>
  <si>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</si>
  <si>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</si>
  <si>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</si>
  <si>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</si>
  <si>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</si>
  <si>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</si>
  <si>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</si>
  <si>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</si>
  <si>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</si>
  <si>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</si>
  <si>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</si>
  <si>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</si>
  <si>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</si>
  <si>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</si>
  <si>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</si>
  <si>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</si>
  <si>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</si>
  <si>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</si>
  <si>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</si>
  <si>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</si>
  <si>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</si>
  <si>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</si>
  <si>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</si>
  <si>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</si>
  <si>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</si>
  <si>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</si>
  <si>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</si>
  <si>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</si>
  <si>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</si>
  <si>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</si>
  <si>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</si>
  <si>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</si>
  <si>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</si>
  <si>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</si>
  <si>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</si>
  <si>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</si>
  <si>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</si>
  <si>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</si>
  <si>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</si>
  <si>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</si>
  <si>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</si>
  <si>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</si>
  <si>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</si>
  <si>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</si>
  <si>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</si>
  <si>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</si>
  <si>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</si>
  <si>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</si>
  <si>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</si>
  <si>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</si>
  <si>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</si>
  <si>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</si>
  <si>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</si>
  <si>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</si>
  <si>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</si>
  <si>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</si>
  <si>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</si>
  <si>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</si>
  <si>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</si>
  <si>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</si>
  <si>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</si>
  <si>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</si>
  <si>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</si>
  <si>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</si>
  <si>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</si>
  <si>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</si>
  <si>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</si>
  <si>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</si>
  <si>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</si>
  <si>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</si>
  <si>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</si>
  <si>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</si>
  <si>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</si>
  <si>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</si>
  <si>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</si>
  <si>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</si>
  <si>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</si>
  <si>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</si>
  <si>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</si>
  <si>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</si>
  <si>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</si>
  <si>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</si>
  <si>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</si>
  <si>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</si>
  <si>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</si>
  <si>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</si>
  <si>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</si>
  <si>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</si>
  <si>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</si>
  <si>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</si>
  <si>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</si>
  <si>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</si>
  <si>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</si>
  <si>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</si>
  <si>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</si>
  <si>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</si>
  <si>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</si>
  <si>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</si>
  <si>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</si>
  <si>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</si>
  <si>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</si>
  <si>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</si>
  <si>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</si>
  <si>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</si>
  <si>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</si>
  <si>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</si>
  <si>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</si>
  <si>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</si>
  <si>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</si>
  <si>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</si>
  <si>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</si>
  <si>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</si>
  <si>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</si>
  <si>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</si>
  <si>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</si>
  <si>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</si>
  <si>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</si>
  <si>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</si>
  <si>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</si>
  <si>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</si>
  <si>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</si>
  <si>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</si>
  <si>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</si>
  <si>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</si>
  <si>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</si>
  <si>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</si>
  <si>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</si>
  <si>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</si>
  <si>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</si>
  <si>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</si>
  <si>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</si>
  <si>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</si>
  <si>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</si>
  <si>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</si>
  <si>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</si>
  <si>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</si>
  <si>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</si>
  <si>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</si>
  <si>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</si>
  <si>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</si>
  <si>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</si>
  <si>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</si>
  <si>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</si>
  <si>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</si>
  <si>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</si>
  <si>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</si>
  <si>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</si>
  <si>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</si>
  <si>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</si>
  <si>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</si>
  <si>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</si>
  <si>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</si>
  <si>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</si>
  <si>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</si>
  <si>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</si>
  <si>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</si>
  <si>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</si>
  <si>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</si>
  <si>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</si>
  <si>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</si>
  <si>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</si>
  <si>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</si>
  <si>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</si>
  <si>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</si>
  <si>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</si>
  <si>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</si>
  <si>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</si>
  <si>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</si>
  <si>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</si>
  <si>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</si>
  <si>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</si>
  <si>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</si>
  <si>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</si>
  <si>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</si>
  <si>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</si>
  <si>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</si>
  <si>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</si>
  <si>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</si>
  <si>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</si>
  <si>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</si>
  <si>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</si>
  <si>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</si>
  <si>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</si>
  <si>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</si>
  <si>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</si>
  <si>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</si>
  <si>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</si>
  <si>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</si>
  <si>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</si>
  <si>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</si>
  <si>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</si>
  <si>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</si>
  <si>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</si>
  <si>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</si>
  <si>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</si>
  <si>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</si>
  <si>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</si>
  <si>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</si>
  <si>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</si>
  <si>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</si>
  <si>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</si>
  <si>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</si>
  <si>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</si>
  <si>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</si>
  <si>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</si>
  <si>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</si>
  <si>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</si>
  <si>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</si>
  <si>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</si>
  <si>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</si>
  <si>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</si>
  <si>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</si>
  <si>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</si>
  <si>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</si>
  <si>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</si>
  <si>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</si>
  <si>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</si>
  <si>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</si>
  <si>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</si>
  <si>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</si>
  <si>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</si>
  <si>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</si>
  <si>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</si>
  <si>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</si>
  <si>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</si>
  <si>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</si>
  <si>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</si>
  <si>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</si>
  <si>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</si>
  <si>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</si>
  <si>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</si>
  <si>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</si>
  <si>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</si>
  <si>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</si>
  <si>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</si>
  <si>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</si>
  <si>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</si>
  <si>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</si>
  <si>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</si>
  <si>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</si>
  <si>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</si>
  <si>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</si>
  <si>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</si>
  <si>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</si>
  <si>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</si>
  <si>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</si>
  <si>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</si>
  <si>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</si>
  <si>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</si>
  <si>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</si>
  <si>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</si>
  <si>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</si>
  <si>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</si>
  <si>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</si>
  <si>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</si>
  <si>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</si>
  <si>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</si>
  <si>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</si>
  <si>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</si>
  <si>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</si>
  <si>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</si>
  <si>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</si>
  <si>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</si>
  <si>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</si>
  <si>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</si>
  <si>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</si>
  <si>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</si>
  <si>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</si>
  <si>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</si>
  <si>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</si>
  <si>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</si>
  <si>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</si>
  <si>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</si>
  <si>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</si>
  <si>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</si>
  <si>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</si>
  <si>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</si>
  <si>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</si>
  <si>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</si>
  <si>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</si>
  <si>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</si>
  <si>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</si>
  <si>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</si>
  <si>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</si>
  <si>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</si>
  <si>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</si>
  <si>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</si>
  <si>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</si>
  <si>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</si>
  <si>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</si>
  <si>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</si>
  <si>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</si>
  <si>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</si>
  <si>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</si>
  <si>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</si>
  <si>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</si>
  <si>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</si>
  <si>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</si>
  <si>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</si>
  <si>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</si>
  <si>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</si>
  <si>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</si>
  <si>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</si>
  <si>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</si>
  <si>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</si>
  <si>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</si>
  <si>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</si>
  <si>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</si>
  <si>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</si>
  <si>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</si>
  <si>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</si>
  <si>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</si>
  <si>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</si>
  <si>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</si>
  <si>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</si>
  <si>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</si>
  <si>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</si>
  <si>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</si>
  <si>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</si>
  <si>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</si>
  <si>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</si>
  <si>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</si>
  <si>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</si>
  <si>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</si>
  <si>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</si>
  <si>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</si>
  <si>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</si>
  <si>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</si>
  <si>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</si>
  <si>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</si>
  <si>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</si>
  <si>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</si>
  <si>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</si>
  <si>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</si>
  <si>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</si>
  <si>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</si>
  <si>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</si>
  <si>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</si>
  <si>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</si>
  <si>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</si>
  <si>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</si>
  <si>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</si>
  <si>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</si>
  <si>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</si>
  <si>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</si>
  <si>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</si>
  <si>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</si>
  <si>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</si>
  <si>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</si>
  <si>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</si>
  <si>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</si>
  <si>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</si>
  <si>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</si>
  <si>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</si>
  <si>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</si>
  <si>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</si>
  <si>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</si>
  <si>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</si>
  <si>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</si>
  <si>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</si>
  <si>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</si>
  <si>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</si>
  <si>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</si>
  <si>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</si>
  <si>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</si>
  <si>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</si>
  <si>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</si>
  <si>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</si>
  <si>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</si>
  <si>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</si>
  <si>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</si>
  <si>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</si>
  <si>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</si>
  <si>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</si>
  <si>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</si>
  <si>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</si>
  <si>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</si>
  <si>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</si>
  <si>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</si>
  <si>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</si>
  <si>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</si>
  <si>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</si>
  <si>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</si>
  <si>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</si>
  <si>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</si>
  <si>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</si>
  <si>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</si>
  <si>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</si>
  <si>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</si>
  <si>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</si>
  <si>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</si>
  <si>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</si>
  <si>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</si>
  <si>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</si>
  <si>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</si>
  <si>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</si>
  <si>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</si>
  <si>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</si>
  <si>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</si>
  <si>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</si>
  <si>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</si>
  <si>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</si>
  <si>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</si>
  <si>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</si>
  <si>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</si>
  <si>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</si>
  <si>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</si>
  <si>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</si>
  <si>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</si>
  <si>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</si>
  <si>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</si>
  <si>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</si>
  <si>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</si>
  <si>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</si>
  <si>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</si>
  <si>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</si>
  <si>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</si>
  <si>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</si>
  <si>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</si>
  <si>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</si>
  <si>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</si>
  <si>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</si>
  <si>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</si>
  <si>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</si>
  <si>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</si>
  <si>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</si>
  <si>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</si>
  <si>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</si>
  <si>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</si>
  <si>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</si>
  <si>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</si>
  <si>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</si>
  <si>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</si>
  <si>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</si>
  <si>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</si>
  <si>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</si>
  <si>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</si>
  <si>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</si>
  <si>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</si>
  <si>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</si>
  <si>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</si>
  <si>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</si>
  <si>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</si>
  <si>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</si>
  <si>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</si>
  <si>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</si>
  <si>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</si>
  <si>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</si>
  <si>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</si>
  <si>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</si>
  <si>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</si>
  <si>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</si>
  <si>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</si>
  <si>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</si>
  <si>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</si>
  <si>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</si>
  <si>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</si>
  <si>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</si>
  <si>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</si>
  <si>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</si>
  <si>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</si>
  <si>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</si>
  <si>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</si>
  <si>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</si>
  <si>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</si>
  <si>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</si>
  <si>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</si>
  <si>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</si>
  <si>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</si>
  <si>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</si>
  <si>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</si>
  <si>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</si>
  <si>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</si>
  <si>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</si>
  <si>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</si>
  <si>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</si>
  <si>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</si>
  <si>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</si>
  <si>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</si>
  <si>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</si>
  <si>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</si>
  <si>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</si>
  <si>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</si>
  <si>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</si>
  <si>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</si>
  <si>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</si>
  <si>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</si>
  <si>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</si>
  <si>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</si>
  <si>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</si>
  <si>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</si>
  <si>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</si>
  <si>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</si>
  <si>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</si>
  <si>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</si>
  <si>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</si>
  <si>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</si>
  <si>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</si>
  <si>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</si>
  <si>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</si>
  <si>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</si>
  <si>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</si>
  <si>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</si>
  <si>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</si>
  <si>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</si>
  <si>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</si>
  <si>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</si>
  <si>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</si>
  <si>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</si>
  <si>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</si>
  <si>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</si>
  <si>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</si>
  <si>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</si>
  <si>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</si>
  <si>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</si>
  <si>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</si>
  <si>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</si>
  <si>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</si>
  <si>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</si>
  <si>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</si>
  <si>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</si>
  <si>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</si>
  <si>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</si>
  <si>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</si>
  <si>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</si>
  <si>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</si>
  <si>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</si>
  <si>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</si>
  <si>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</si>
  <si>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</si>
  <si>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</si>
  <si>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</si>
  <si>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</si>
  <si>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</si>
  <si>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</si>
  <si>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</si>
  <si>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</si>
  <si>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</si>
  <si>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</si>
  <si>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</si>
  <si>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</si>
  <si>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</si>
  <si>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</si>
  <si>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</si>
  <si>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</si>
  <si>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</si>
  <si>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</si>
  <si>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</si>
  <si>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</si>
  <si>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</si>
  <si>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</si>
  <si>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</si>
  <si>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</si>
  <si>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</si>
  <si>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</si>
  <si>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</si>
  <si>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</si>
  <si>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</si>
  <si>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</si>
  <si>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</si>
  <si>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</si>
  <si>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</si>
  <si>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</si>
  <si>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</si>
  <si>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</si>
  <si>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</si>
  <si>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</si>
  <si>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</si>
  <si>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</si>
  <si>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</si>
  <si>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</si>
  <si>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</si>
  <si>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</si>
  <si>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</si>
  <si>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</si>
  <si>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</si>
  <si>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</si>
  <si>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</si>
  <si>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</si>
  <si>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</si>
  <si>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</si>
  <si>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</si>
  <si>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</si>
  <si>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</si>
  <si>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</si>
  <si>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</si>
  <si>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</si>
  <si>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</si>
  <si>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</si>
  <si>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</si>
  <si>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</si>
  <si>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</si>
  <si>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</si>
  <si>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</si>
  <si>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</si>
  <si>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</si>
  <si>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</si>
  <si>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</si>
  <si>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</si>
  <si>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</si>
  <si>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</si>
  <si>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</si>
  <si>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</si>
  <si>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</si>
  <si>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</si>
  <si>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</si>
  <si>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</si>
  <si>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</si>
  <si>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</si>
  <si>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</si>
  <si>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</si>
  <si>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</si>
  <si>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</si>
  <si>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</si>
  <si>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</si>
  <si>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</si>
  <si>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</si>
  <si>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</si>
  <si>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</si>
  <si>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</si>
  <si>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</si>
  <si>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</si>
  <si>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</si>
  <si>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</si>
  <si>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</si>
  <si>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</si>
  <si>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</si>
  <si>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</si>
  <si>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</si>
  <si>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</si>
  <si>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</si>
  <si>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</si>
  <si>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</si>
  <si>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</si>
  <si>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</si>
  <si>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</si>
  <si>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</si>
  <si>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</si>
  <si>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</si>
  <si>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</si>
  <si>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</si>
  <si>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</si>
  <si>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</si>
  <si>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</si>
  <si>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</si>
  <si>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</si>
  <si>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</si>
  <si>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</si>
  <si>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</si>
  <si>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</si>
  <si>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</si>
  <si>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</si>
  <si>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</si>
  <si>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</si>
  <si>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</si>
  <si>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</si>
  <si>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</si>
  <si>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</si>
  <si>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</si>
  <si>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</si>
  <si>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</si>
  <si>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</si>
  <si>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</si>
  <si>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</si>
  <si>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</si>
  <si>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</si>
  <si>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</si>
  <si>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</si>
  <si>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</si>
  <si>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</si>
  <si>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</si>
  <si>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</si>
  <si>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</si>
  <si>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</si>
  <si>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</si>
  <si>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</si>
  <si>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</si>
  <si>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</si>
  <si>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</si>
  <si>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</si>
  <si>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</si>
  <si>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</si>
  <si>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</si>
  <si>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</si>
  <si>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</si>
  <si>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</si>
  <si>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</si>
  <si>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</si>
  <si>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</si>
  <si>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</si>
  <si>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</si>
  <si>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</si>
  <si>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</si>
  <si>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</si>
  <si>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</si>
  <si>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</si>
  <si>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</si>
  <si>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</si>
  <si>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</si>
  <si>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</si>
  <si>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</si>
  <si>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</si>
  <si>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</si>
  <si>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</si>
  <si>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</si>
  <si>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</si>
  <si>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</si>
  <si>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</si>
  <si>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</si>
  <si>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</si>
  <si>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</si>
  <si>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</si>
  <si>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</si>
  <si>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</si>
  <si>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</si>
  <si>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</si>
  <si>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</si>
  <si>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</si>
  <si>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</si>
  <si>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</si>
  <si>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</si>
  <si>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</si>
  <si>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</si>
  <si>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</si>
  <si>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</si>
  <si>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</si>
  <si>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</si>
  <si>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</si>
  <si>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</si>
  <si>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</si>
  <si>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</si>
  <si>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</si>
  <si>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</si>
  <si>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</si>
  <si>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</si>
  <si>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</si>
  <si>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</si>
  <si>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</si>
  <si>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</si>
  <si>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</si>
  <si>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</si>
  <si>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</si>
  <si>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</si>
  <si>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</si>
  <si>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</si>
  <si>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</si>
  <si>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</si>
  <si>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</si>
  <si>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</si>
  <si>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</si>
  <si>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</si>
  <si>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</si>
  <si>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</si>
  <si>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</si>
  <si>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</si>
  <si>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</si>
  <si>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</si>
  <si>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</si>
  <si>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</si>
  <si>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</si>
  <si>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</si>
  <si>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</si>
  <si>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</si>
  <si>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</si>
  <si>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</si>
  <si>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</si>
  <si>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</si>
  <si>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</si>
  <si>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</si>
  <si>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</si>
  <si>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</si>
  <si>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</si>
  <si>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</si>
  <si>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</si>
  <si>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</si>
  <si>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</si>
  <si>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</si>
  <si>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</si>
  <si>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</si>
  <si>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</si>
  <si>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</si>
  <si>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</si>
  <si>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</si>
  <si>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</si>
  <si>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</si>
  <si>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</si>
  <si>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</si>
  <si>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</si>
  <si>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</si>
  <si>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</si>
  <si>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</si>
  <si>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</si>
  <si>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</si>
  <si>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</si>
  <si>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</si>
  <si>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</si>
  <si>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</si>
  <si>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</si>
  <si>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</si>
  <si>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</si>
  <si>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</si>
  <si>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</si>
  <si>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</si>
  <si>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</si>
  <si>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</si>
  <si>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</si>
  <si>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</si>
  <si>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</si>
  <si>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</si>
  <si>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</si>
  <si>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</si>
  <si>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</si>
  <si>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</si>
  <si>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</si>
  <si>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</si>
  <si>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</si>
  <si>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</si>
  <si>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</si>
  <si>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</si>
  <si>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</si>
  <si>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</si>
  <si>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</si>
  <si>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</si>
  <si>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</si>
  <si>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</si>
  <si>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</si>
  <si>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</si>
  <si>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</si>
  <si>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</si>
  <si>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</si>
  <si>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</si>
  <si>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</si>
  <si>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</si>
  <si>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</si>
  <si>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</si>
  <si>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</si>
  <si>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</si>
  <si>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</si>
  <si>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</si>
  <si>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</si>
  <si>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</si>
  <si>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</si>
  <si>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</si>
  <si>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</si>
  <si>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</si>
  <si>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</si>
  <si>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</si>
  <si>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</si>
  <si>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</si>
  <si>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</si>
  <si>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</si>
  <si>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</si>
  <si>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</si>
  <si>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</si>
  <si>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</si>
  <si>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</si>
  <si>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</si>
  <si>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</si>
  <si>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</si>
  <si>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</si>
  <si>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</si>
  <si>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</si>
  <si>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</si>
  <si>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</si>
  <si>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</si>
  <si>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</si>
  <si>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</si>
  <si>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</si>
  <si>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</si>
  <si>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</si>
  <si>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</si>
  <si>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</si>
  <si>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</si>
  <si>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</si>
  <si>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</si>
  <si>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</si>
  <si>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</si>
  <si>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</si>
  <si>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</si>
  <si>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</si>
  <si>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</si>
  <si>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</si>
  <si>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</si>
  <si>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</si>
  <si>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</si>
  <si>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</si>
  <si>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</si>
  <si>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</si>
  <si>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</si>
  <si>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</si>
  <si>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</si>
  <si>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</si>
  <si>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</si>
  <si>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</si>
  <si>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</si>
  <si>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</si>
  <si>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</si>
  <si>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</si>
  <si>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</si>
  <si>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</si>
  <si>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</si>
  <si>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</si>
  <si>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</si>
  <si>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</si>
  <si>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</si>
  <si>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</si>
  <si>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</si>
  <si>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</si>
  <si>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</si>
  <si>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</si>
  <si>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</si>
  <si>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</si>
  <si>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</si>
  <si>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</si>
  <si>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</si>
  <si>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</si>
  <si>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</si>
  <si>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</si>
  <si>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</si>
  <si>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</si>
  <si>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</si>
  <si>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</si>
  <si>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</si>
  <si>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</si>
  <si>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</si>
  <si>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</si>
  <si>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</si>
  <si>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</si>
  <si>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</si>
  <si>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</si>
  <si>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</si>
  <si>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</si>
  <si>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</si>
  <si>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</si>
  <si>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</si>
  <si>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</si>
  <si>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</si>
  <si>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</si>
  <si>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</si>
  <si>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</si>
  <si>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</si>
  <si>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</si>
  <si>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</si>
  <si>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</si>
  <si>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</si>
  <si>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</si>
  <si>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</si>
  <si>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</si>
  <si>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</si>
  <si>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</si>
  <si>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</si>
  <si>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</si>
  <si>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</si>
  <si>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</si>
  <si>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</si>
  <si>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</si>
  <si>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</si>
  <si>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</si>
  <si>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</si>
  <si>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</si>
  <si>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</si>
  <si>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</si>
  <si>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</si>
  <si>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</si>
  <si>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</si>
  <si>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</si>
  <si>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</si>
  <si>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</si>
  <si>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</si>
  <si>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</si>
  <si>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</si>
  <si>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</si>
  <si>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</si>
  <si>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</si>
  <si>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</si>
  <si>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</si>
  <si>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</si>
  <si>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</si>
  <si>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</si>
  <si>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</si>
  <si>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</si>
  <si>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</si>
  <si>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</si>
  <si>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</si>
  <si>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</si>
  <si>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</si>
  <si>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</si>
  <si>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</si>
  <si>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</si>
  <si>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</si>
  <si>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</si>
  <si>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</si>
  <si>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</si>
  <si>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</si>
  <si>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</si>
  <si>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</si>
  <si>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</si>
  <si>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</si>
  <si>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</si>
  <si>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</si>
  <si>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</si>
  <si>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</si>
  <si>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</si>
  <si>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</si>
  <si>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</si>
  <si>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</si>
  <si>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</si>
  <si>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</si>
  <si>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</si>
  <si>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</si>
  <si>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</si>
  <si>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</si>
  <si>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</si>
  <si>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</si>
  <si>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</si>
  <si>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</si>
  <si>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</si>
  <si>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</si>
  <si>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</si>
  <si>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</si>
  <si>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</si>
  <si>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</si>
  <si>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</si>
  <si>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</si>
  <si>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</si>
  <si>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</si>
  <si>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</si>
  <si>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</si>
  <si>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</si>
  <si>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</si>
  <si>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</si>
  <si>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</si>
  <si>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</si>
  <si>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</si>
  <si>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</si>
  <si>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</si>
  <si>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</si>
  <si>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</si>
  <si>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</si>
  <si>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</si>
  <si>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</si>
  <si>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</si>
  <si>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</si>
  <si>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</si>
  <si>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</si>
  <si>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</si>
  <si>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</si>
  <si>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</si>
  <si>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</si>
  <si>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</si>
  <si>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</si>
  <si>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</si>
  <si>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</si>
  <si>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</si>
  <si>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</si>
  <si>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</si>
  <si>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</si>
  <si>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</si>
  <si>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</si>
  <si>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</si>
  <si>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</si>
  <si>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</si>
  <si>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</si>
  <si>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</si>
  <si>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</si>
  <si>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</si>
  <si>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</si>
  <si>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</si>
  <si>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</si>
  <si>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</si>
  <si>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</si>
  <si>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</si>
  <si>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</si>
  <si>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</si>
  <si>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</si>
  <si>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</si>
  <si>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</si>
  <si>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</si>
  <si>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</si>
  <si>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</si>
  <si>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</si>
  <si>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</si>
  <si>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</si>
  <si>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</si>
  <si>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</si>
  <si>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</si>
  <si>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</si>
  <si>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</si>
  <si>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</si>
  <si>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</si>
  <si>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</si>
  <si>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</si>
  <si>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</si>
  <si>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</si>
  <si>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</si>
  <si>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</si>
  <si>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</si>
  <si>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</si>
  <si>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</si>
  <si>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</si>
  <si>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</si>
  <si>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</si>
  <si>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</si>
  <si>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</si>
  <si>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</si>
  <si>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</si>
  <si>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</si>
  <si>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</si>
  <si>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</si>
  <si>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</si>
  <si>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</si>
  <si>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</si>
  <si>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</si>
  <si>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</si>
  <si>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</si>
  <si>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</si>
  <si>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</si>
  <si>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</si>
  <si>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</si>
  <si>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</si>
  <si>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</si>
  <si>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</si>
  <si>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</si>
  <si>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</si>
  <si>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</si>
  <si>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</si>
  <si>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</si>
  <si>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</si>
  <si>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</si>
  <si>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</si>
  <si>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</si>
  <si>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</si>
  <si>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</si>
  <si>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</si>
  <si>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</si>
  <si>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</si>
  <si>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</si>
  <si>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</si>
  <si>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</si>
  <si>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</si>
  <si>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</si>
  <si>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</si>
  <si>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</si>
  <si>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</si>
  <si>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</si>
  <si>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</si>
  <si>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</si>
  <si>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</si>
  <si>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</si>
  <si>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</si>
  <si>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</si>
  <si>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</si>
  <si>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</si>
  <si>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</si>
  <si>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</si>
  <si>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</si>
  <si>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</si>
  <si>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</si>
  <si>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</si>
  <si>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</si>
  <si>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</si>
  <si>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</si>
  <si>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</si>
  <si>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</si>
  <si>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</si>
  <si>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</si>
  <si>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</si>
  <si>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</si>
  <si>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</si>
  <si>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</si>
  <si>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</si>
  <si>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</si>
  <si>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</si>
  <si>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</si>
  <si>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</si>
  <si>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</si>
  <si>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</si>
  <si>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</si>
  <si>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</si>
  <si>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</si>
  <si>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</si>
  <si>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</si>
  <si>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</si>
  <si>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</si>
  <si>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</si>
  <si>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</si>
  <si>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</si>
  <si>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</si>
  <si>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</si>
  <si>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</si>
  <si>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</si>
  <si>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</si>
  <si>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</si>
  <si>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</si>
  <si>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</si>
  <si>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</si>
  <si>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</si>
  <si>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</si>
  <si>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</si>
  <si>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</si>
  <si>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</si>
  <si>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</si>
  <si>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</si>
  <si>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</si>
  <si>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</si>
  <si>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</si>
  <si>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</si>
  <si>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</si>
  <si>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</si>
  <si>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</si>
  <si>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</si>
  <si>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</si>
  <si>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</si>
  <si>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</si>
  <si>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</si>
  <si>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</si>
  <si>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</si>
  <si>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</si>
  <si>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</si>
  <si>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</si>
  <si>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</si>
  <si>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</si>
  <si>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</si>
  <si>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</si>
  <si>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</si>
  <si>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</si>
  <si>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</si>
  <si>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</si>
  <si>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</si>
  <si>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</si>
  <si>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</si>
  <si>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</si>
  <si>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</si>
  <si>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</si>
  <si>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</si>
  <si>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</si>
  <si>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</si>
  <si>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</si>
  <si>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</si>
  <si>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</si>
  <si>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</si>
  <si>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</si>
  <si>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</si>
  <si>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</si>
  <si>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</si>
  <si>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</si>
  <si>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</si>
  <si>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</si>
  <si>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</si>
  <si>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</si>
  <si>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</si>
  <si>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</si>
  <si>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</si>
  <si>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</si>
  <si>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</si>
  <si>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</si>
  <si>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</si>
  <si>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</si>
  <si>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</si>
  <si>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</si>
  <si>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</si>
  <si>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</si>
  <si>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</si>
  <si>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</si>
  <si>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</si>
  <si>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</si>
  <si>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</si>
  <si>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</si>
  <si>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</si>
  <si>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</si>
  <si>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</si>
  <si>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</si>
  <si>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</si>
  <si>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</si>
  <si>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</si>
  <si>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</si>
  <si>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</si>
  <si>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</si>
  <si>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</si>
  <si>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</si>
  <si>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</si>
  <si>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</si>
  <si>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</si>
  <si>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</si>
  <si>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</si>
  <si>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</si>
  <si>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</si>
  <si>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</si>
  <si>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</si>
  <si>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</si>
  <si>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</si>
  <si>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</si>
  <si>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</si>
  <si>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</si>
  <si>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</si>
  <si>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</si>
  <si>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</si>
  <si>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</si>
  <si>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</si>
  <si>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</si>
  <si>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</si>
  <si>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</si>
  <si>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</si>
  <si>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</si>
  <si>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</si>
  <si>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</si>
  <si>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</si>
  <si>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</si>
  <si>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</si>
  <si>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</si>
  <si>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</si>
  <si>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</si>
  <si>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</si>
  <si>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</si>
  <si>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</si>
  <si>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</si>
  <si>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</si>
  <si>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</si>
  <si>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</si>
  <si>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</si>
  <si>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</si>
  <si>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</si>
  <si>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</si>
  <si>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</si>
  <si>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</si>
  <si>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</si>
  <si>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</si>
  <si>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</si>
  <si>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</si>
  <si>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</si>
  <si>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</si>
  <si>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</si>
  <si>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</si>
  <si>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</si>
  <si>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</si>
  <si>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</si>
  <si>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</si>
  <si>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</si>
  <si>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</si>
  <si>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</si>
  <si>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</si>
  <si>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</si>
  <si>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</si>
  <si>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</si>
  <si>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</si>
  <si>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</si>
  <si>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</si>
  <si>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</si>
  <si>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</si>
  <si>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</si>
  <si>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</si>
  <si>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</si>
  <si>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</si>
  <si>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</si>
  <si>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</si>
  <si>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</si>
  <si>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</si>
  <si>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</si>
  <si>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</si>
  <si>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</si>
  <si>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</si>
  <si>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</si>
  <si>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</si>
  <si>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</si>
  <si>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</si>
  <si>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</si>
  <si>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</si>
  <si>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</si>
  <si>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</si>
  <si>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</si>
  <si>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</si>
  <si>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</si>
  <si>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</si>
  <si>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</si>
  <si>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</si>
  <si>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</si>
  <si>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</si>
  <si>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</si>
  <si>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</si>
  <si>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</si>
  <si>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</si>
  <si>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</si>
  <si>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</si>
  <si>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</si>
  <si>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</si>
  <si>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</si>
  <si>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</si>
  <si>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</si>
  <si>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</si>
  <si>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</si>
  <si>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</si>
  <si>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</si>
  <si>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</si>
  <si>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</si>
  <si>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</si>
  <si>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</si>
  <si>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</si>
  <si>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</si>
  <si>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</si>
  <si>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</si>
  <si>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</si>
  <si>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</si>
  <si>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</si>
  <si>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</si>
  <si>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</si>
  <si>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</si>
  <si>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</si>
  <si>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</si>
  <si>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</si>
  <si>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</si>
  <si>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</si>
  <si>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</si>
  <si>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</si>
  <si>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</si>
  <si>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</si>
  <si>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</si>
  <si>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</si>
  <si>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</si>
  <si>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</si>
  <si>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</si>
  <si>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</si>
  <si>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</si>
  <si>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</si>
  <si>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</si>
  <si>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</si>
  <si>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</si>
  <si>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</si>
  <si>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</si>
  <si>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</si>
  <si>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</si>
  <si>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</si>
  <si>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</si>
  <si>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</si>
  <si>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</si>
  <si>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</si>
  <si>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</si>
  <si>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</si>
  <si>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</si>
  <si>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</si>
  <si>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</si>
  <si>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</si>
  <si>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</si>
  <si>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</si>
  <si>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</si>
  <si>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</si>
  <si>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</si>
  <si>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</si>
  <si>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</si>
  <si>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</si>
  <si>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</si>
  <si>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</si>
  <si>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</si>
  <si>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</si>
  <si>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</si>
  <si>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</si>
  <si>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</si>
  <si>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</si>
  <si>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</si>
  <si>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</si>
  <si>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</si>
  <si>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</si>
  <si>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</si>
  <si>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</si>
  <si>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</si>
  <si>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</si>
  <si>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</si>
  <si>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</si>
  <si>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</si>
  <si>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</si>
  <si>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</si>
  <si>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</si>
  <si>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</si>
  <si>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</si>
  <si>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</si>
  <si>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</si>
  <si>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</si>
  <si>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</si>
  <si>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</si>
  <si>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</si>
  <si>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</si>
  <si>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</si>
  <si>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</si>
  <si>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</si>
  <si>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</si>
  <si>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</si>
  <si>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</si>
  <si>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</si>
  <si>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</si>
  <si>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</si>
  <si>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</si>
  <si>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</si>
  <si>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</si>
  <si>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</si>
  <si>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</si>
  <si>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</si>
  <si>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</si>
  <si>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</si>
  <si>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</si>
  <si>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</si>
  <si>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</si>
  <si>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</si>
  <si>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</si>
  <si>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</si>
  <si>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</si>
  <si>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</si>
  <si>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</si>
  <si>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</si>
  <si>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</si>
  <si>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</si>
  <si>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</si>
  <si>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</si>
  <si>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</si>
  <si>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</si>
  <si>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</si>
  <si>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</si>
  <si>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</si>
  <si>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</si>
  <si>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</si>
  <si>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</si>
  <si>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</si>
  <si>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</si>
  <si>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</si>
  <si>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</si>
  <si>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</si>
  <si>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</si>
  <si>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</si>
  <si>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</si>
  <si>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</si>
  <si>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</si>
  <si>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</si>
  <si>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</si>
  <si>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</si>
  <si>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</si>
  <si>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</si>
  <si>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</si>
  <si>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</si>
  <si>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</si>
  <si>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</si>
  <si>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</si>
  <si>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</si>
  <si>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</si>
  <si>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</si>
  <si>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</si>
  <si>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</si>
  <si>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</si>
  <si>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</si>
  <si>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</si>
  <si>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</si>
  <si>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</si>
  <si>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</si>
  <si>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</si>
  <si>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</si>
  <si>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</si>
  <si>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</si>
  <si>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</si>
  <si>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</si>
  <si>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</si>
  <si>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</si>
  <si>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</si>
  <si>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</si>
  <si>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</si>
  <si>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</si>
  <si>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</si>
  <si>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</si>
  <si>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</si>
  <si>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</si>
  <si>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</si>
  <si>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</si>
  <si>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</si>
  <si>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</si>
  <si>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</si>
  <si>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</si>
  <si>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</si>
  <si>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</si>
  <si>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</si>
  <si>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</si>
  <si>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</si>
  <si>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</si>
  <si>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</si>
  <si>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</si>
  <si>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</si>
  <si>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</si>
  <si>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</si>
  <si>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</si>
  <si>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</si>
  <si>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</si>
  <si>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</si>
  <si>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</si>
  <si>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</si>
  <si>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</si>
  <si>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</si>
  <si>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</si>
  <si>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</si>
  <si>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</si>
  <si>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</si>
  <si>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</si>
  <si>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</si>
  <si>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</si>
  <si>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</si>
  <si>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</si>
  <si>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</si>
  <si>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</si>
  <si>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</si>
  <si>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</si>
  <si>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</si>
  <si>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</si>
  <si>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</si>
  <si>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</si>
  <si>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</si>
  <si>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</si>
  <si>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</si>
  <si>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</si>
  <si>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</si>
  <si>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</si>
  <si>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</si>
  <si>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</si>
  <si>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</si>
  <si>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</si>
  <si>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</si>
  <si>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</si>
  <si>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</si>
  <si>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</si>
  <si>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</si>
  <si>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</si>
  <si>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</si>
  <si>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</si>
  <si>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</si>
  <si>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</si>
  <si>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</si>
  <si>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</si>
  <si>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</si>
  <si>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</si>
  <si>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</si>
  <si>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</si>
  <si>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</si>
  <si>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</si>
  <si>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</si>
  <si>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</si>
  <si>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</si>
  <si>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</si>
  <si>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</si>
  <si>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</si>
  <si>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</si>
  <si>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</si>
  <si>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</si>
  <si>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</si>
  <si>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</si>
  <si>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</si>
  <si>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</si>
  <si>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</si>
  <si>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</si>
  <si>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</si>
  <si>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</si>
  <si>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</si>
  <si>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</si>
  <si>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</si>
  <si>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</si>
  <si>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</si>
  <si>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</si>
  <si>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</si>
  <si>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</si>
  <si>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</si>
  <si>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</si>
  <si>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</si>
  <si>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</si>
  <si>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</si>
  <si>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</si>
  <si>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</si>
  <si>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</si>
  <si>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</si>
  <si>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</si>
  <si>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</si>
  <si>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</si>
  <si>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</si>
  <si>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</si>
  <si>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</si>
  <si>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</si>
  <si>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</si>
  <si>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</si>
  <si>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</si>
  <si>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</si>
  <si>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</si>
  <si>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</si>
  <si>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</si>
  <si>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</si>
  <si>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</si>
  <si>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</si>
  <si>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</si>
  <si>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</si>
  <si>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</si>
  <si>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</si>
  <si>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</si>
  <si>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</si>
  <si>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</si>
  <si>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</si>
  <si>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</si>
  <si>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</si>
  <si>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</si>
  <si>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</si>
  <si>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</si>
  <si>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</si>
  <si>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</si>
  <si>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</si>
  <si>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</si>
  <si>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</si>
  <si>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</si>
  <si>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</si>
  <si>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</si>
  <si>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</si>
  <si>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</si>
  <si>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</si>
  <si>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</si>
  <si>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</si>
  <si>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</si>
  <si>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</si>
  <si>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</si>
  <si>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</si>
  <si>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</si>
  <si>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</si>
  <si>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</si>
  <si>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</si>
  <si>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</si>
  <si>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</si>
  <si>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</si>
  <si>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</si>
  <si>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</si>
  <si>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</si>
  <si>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</si>
  <si>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</si>
  <si>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</si>
  <si>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</si>
  <si>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</si>
  <si>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</si>
  <si>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</si>
  <si>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</si>
  <si>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</si>
  <si>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</si>
  <si>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</si>
  <si>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</si>
  <si>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</si>
  <si>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</si>
  <si>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</si>
  <si>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</si>
  <si>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</si>
  <si>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</si>
  <si>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</si>
  <si>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</si>
  <si>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</si>
  <si>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</si>
  <si>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</si>
  <si>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</si>
  <si>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</si>
  <si>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</si>
  <si>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</si>
  <si>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</si>
  <si>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</si>
  <si>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</si>
  <si>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</si>
  <si>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</si>
  <si>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</si>
  <si>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</si>
  <si>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</si>
  <si>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</si>
  <si>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</si>
  <si>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</si>
  <si>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</si>
  <si>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</si>
  <si>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</si>
  <si>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</si>
  <si>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</si>
  <si>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</si>
  <si>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</si>
  <si>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</si>
  <si>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</si>
  <si>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</si>
  <si>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</si>
  <si>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</si>
  <si>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</si>
  <si>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</si>
  <si>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</si>
  <si>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</si>
  <si>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</si>
  <si>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</si>
  <si>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</si>
  <si>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</si>
  <si>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</si>
  <si>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</si>
  <si>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</si>
  <si>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</si>
  <si>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</si>
  <si>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</si>
  <si>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</si>
  <si>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</si>
  <si>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</si>
  <si>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</si>
  <si>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</si>
  <si>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</si>
  <si>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</si>
  <si>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</si>
  <si>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</si>
  <si>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</si>
  <si>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</si>
  <si>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</si>
  <si>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</si>
  <si>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</si>
  <si>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</si>
  <si>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</si>
  <si>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</si>
  <si>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</si>
  <si>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</si>
  <si>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</si>
  <si>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</si>
  <si>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</si>
  <si>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</si>
  <si>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</si>
  <si>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</si>
  <si>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</si>
  <si>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</si>
  <si>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</si>
  <si>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</si>
  <si>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</si>
  <si>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</si>
  <si>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</si>
  <si>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</si>
  <si>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</si>
  <si>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</si>
  <si>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</si>
  <si>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</si>
  <si>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</si>
  <si>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</si>
  <si>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</si>
  <si>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</si>
  <si>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</si>
  <si>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</si>
  <si>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</si>
  <si>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</si>
  <si>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</si>
  <si>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</si>
  <si>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</si>
  <si>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</si>
  <si>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</si>
  <si>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</si>
  <si>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</si>
  <si>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</si>
  <si>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</si>
  <si>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</si>
  <si>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</si>
  <si>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</si>
  <si>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</si>
  <si>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</si>
  <si>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</si>
  <si>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</si>
  <si>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</si>
  <si>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</si>
  <si>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</si>
  <si>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</si>
  <si>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</si>
  <si>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</si>
  <si>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</si>
  <si>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</si>
  <si>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</si>
  <si>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</si>
  <si>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</si>
  <si>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</si>
  <si>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</si>
  <si>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</si>
  <si>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</si>
  <si>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</si>
  <si>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</si>
  <si>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</si>
  <si>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</si>
  <si>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</si>
  <si>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</si>
  <si>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</si>
  <si>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</si>
  <si>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</si>
  <si>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</si>
  <si>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</si>
  <si>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</si>
  <si>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</si>
  <si>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</si>
  <si>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</si>
  <si>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</si>
  <si>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</si>
  <si>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</si>
  <si>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</si>
  <si>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</si>
  <si>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</si>
  <si>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</si>
  <si>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</si>
  <si>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</si>
  <si>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</si>
  <si>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</si>
  <si>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</si>
  <si>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</si>
  <si>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</si>
  <si>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</si>
  <si>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</si>
  <si>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</si>
  <si>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</si>
  <si>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</si>
  <si>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</si>
  <si>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</si>
  <si>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</si>
  <si>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</si>
  <si>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</si>
  <si>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</si>
  <si>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</si>
  <si>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</si>
  <si>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</si>
  <si>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</si>
  <si>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</si>
  <si>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</si>
  <si>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</si>
  <si>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</si>
  <si>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</si>
  <si>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</si>
  <si>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</si>
  <si>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</si>
  <si>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</si>
  <si>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</si>
  <si>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</si>
  <si>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</si>
  <si>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</si>
  <si>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</si>
  <si>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</si>
  <si>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</si>
  <si>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</si>
  <si>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</si>
  <si>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</si>
  <si>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</si>
  <si>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</si>
  <si>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</si>
  <si>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</si>
  <si>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</si>
  <si>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</si>
  <si>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</si>
  <si>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</si>
  <si>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</si>
  <si>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</si>
  <si>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</si>
  <si>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</si>
  <si>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</si>
  <si>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</si>
  <si>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</si>
  <si>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</si>
  <si>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</si>
  <si>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</si>
  <si>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</si>
  <si>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</si>
  <si>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</si>
  <si>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</si>
  <si>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</si>
  <si>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</si>
  <si>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</si>
  <si>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</si>
  <si>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</si>
  <si>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</si>
  <si>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</si>
  <si>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</si>
  <si>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</si>
  <si>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</si>
  <si>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</si>
  <si>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</si>
  <si>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</si>
  <si>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</si>
  <si>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</si>
  <si>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</si>
  <si>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</si>
  <si>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</si>
  <si>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</si>
  <si>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</si>
  <si>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</si>
  <si>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</si>
  <si>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</si>
  <si>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</si>
  <si>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</si>
  <si>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</si>
  <si>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</si>
  <si>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</si>
  <si>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</si>
  <si>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</si>
  <si>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</si>
  <si>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</si>
  <si>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</si>
  <si>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</si>
  <si>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</si>
  <si>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</si>
  <si>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</si>
  <si>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</si>
  <si>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</si>
  <si>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</si>
  <si>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</si>
  <si>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</si>
  <si>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</si>
  <si>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</si>
  <si>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</si>
  <si>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</si>
  <si>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</si>
  <si>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</si>
  <si>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</si>
  <si>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</si>
  <si>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</si>
  <si>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</si>
  <si>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</si>
  <si>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</si>
  <si>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</si>
  <si>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</si>
  <si>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</si>
  <si>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</si>
  <si>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</si>
  <si>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</si>
  <si>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</si>
  <si>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</si>
  <si>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</si>
  <si>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</si>
  <si>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</si>
  <si>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</si>
  <si>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</si>
  <si>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</si>
  <si>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</si>
  <si>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</si>
  <si>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</si>
  <si>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</si>
  <si>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</si>
  <si>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</si>
  <si>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</si>
  <si>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</si>
  <si>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</si>
  <si>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</si>
  <si>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</si>
  <si>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</si>
  <si>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</si>
  <si>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</si>
  <si>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</si>
  <si>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</si>
  <si>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</si>
  <si>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</si>
  <si>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</si>
  <si>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</si>
  <si>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</si>
  <si>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</si>
  <si>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</si>
  <si>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</si>
  <si>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</si>
  <si>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</si>
  <si>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</si>
  <si>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</si>
  <si>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</si>
  <si>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</si>
  <si>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</si>
  <si>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</si>
  <si>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</si>
  <si>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</si>
  <si>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</si>
  <si>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</si>
  <si>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</si>
  <si>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</si>
  <si>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</si>
  <si>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</si>
  <si>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</si>
  <si>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</si>
  <si>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</si>
  <si>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</si>
  <si>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</si>
  <si>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</si>
  <si>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</si>
  <si>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</si>
  <si>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</si>
  <si>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</si>
  <si>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</si>
  <si>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</si>
  <si>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</si>
  <si>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</si>
  <si>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</si>
  <si>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</si>
  <si>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</si>
  <si>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</si>
  <si>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</si>
  <si>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</si>
  <si>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</si>
  <si>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</si>
  <si>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</si>
  <si>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</si>
  <si>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</si>
  <si>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</si>
  <si>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</si>
  <si>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</si>
  <si>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</si>
  <si>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</si>
  <si>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</si>
  <si>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</si>
  <si>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</si>
  <si>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</si>
  <si>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</si>
  <si>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</si>
  <si>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</si>
  <si>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</si>
  <si>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</si>
  <si>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</si>
  <si>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</si>
  <si>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</si>
  <si>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</si>
  <si>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</si>
  <si>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</si>
  <si>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</si>
  <si>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</si>
  <si>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</si>
  <si>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</si>
  <si>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</si>
  <si>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</si>
  <si>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</si>
  <si>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</si>
  <si>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</si>
  <si>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</si>
  <si>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</si>
  <si>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</si>
  <si>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</si>
  <si>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</si>
  <si>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</si>
  <si>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</si>
  <si>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</si>
  <si>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</si>
  <si>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</si>
  <si>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</si>
  <si>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</si>
  <si>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</si>
  <si>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</si>
  <si>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</si>
  <si>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</si>
  <si>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</si>
  <si>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</si>
  <si>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</si>
  <si>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</si>
  <si>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</si>
  <si>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</si>
  <si>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</si>
  <si>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</si>
  <si>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</si>
  <si>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</si>
  <si>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</si>
  <si>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</si>
  <si>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</si>
  <si>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</si>
  <si>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</si>
  <si>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</si>
  <si>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</si>
  <si>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</si>
  <si>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</si>
  <si>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</si>
  <si>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</si>
  <si>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</si>
  <si>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</si>
  <si>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</si>
  <si>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</si>
  <si>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</si>
  <si>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</si>
  <si>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</si>
  <si>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</si>
  <si>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</si>
  <si>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</si>
  <si>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</si>
  <si>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</si>
  <si>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</si>
  <si>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</si>
  <si>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</si>
  <si>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</si>
  <si>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</si>
  <si>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</si>
  <si>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</si>
  <si>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</si>
  <si>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</si>
  <si>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</si>
  <si>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</si>
  <si>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</si>
  <si>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</si>
  <si>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</si>
  <si>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</si>
  <si>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</si>
  <si>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</si>
  <si>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</si>
  <si>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</si>
  <si>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</si>
  <si>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</si>
  <si>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</si>
  <si>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</si>
  <si>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</si>
  <si>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</si>
  <si>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</si>
  <si>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</si>
  <si>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</si>
  <si>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</si>
  <si>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</si>
  <si>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</si>
  <si>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</si>
  <si>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</si>
  <si>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</si>
  <si>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</si>
  <si>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</si>
  <si>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</si>
  <si>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</si>
  <si>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</si>
  <si>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</si>
  <si>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</si>
  <si>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</si>
  <si>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</si>
  <si>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</si>
  <si>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</si>
  <si>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</si>
  <si>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</si>
  <si>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</si>
  <si>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</si>
  <si>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</si>
  <si>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</si>
  <si>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</si>
  <si>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</si>
  <si>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</si>
  <si>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</si>
  <si>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</si>
  <si>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</si>
  <si>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</si>
  <si>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</si>
  <si>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</si>
  <si>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</si>
  <si>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</si>
  <si>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</si>
  <si>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</si>
  <si>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</si>
  <si>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</si>
  <si>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</si>
  <si>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</si>
  <si>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</si>
  <si>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</si>
  <si>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</si>
  <si>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</si>
  <si>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</si>
  <si>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</si>
  <si>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</si>
  <si>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</si>
  <si>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</si>
  <si>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</si>
  <si>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</si>
  <si>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</si>
  <si>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</si>
  <si>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</si>
  <si>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</si>
  <si>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</si>
  <si>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</si>
  <si>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</si>
  <si>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</si>
  <si>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</si>
  <si>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</si>
  <si>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</si>
  <si>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</si>
  <si>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</si>
  <si>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</si>
  <si>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</si>
  <si>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</si>
  <si>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</si>
  <si>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</si>
  <si>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</si>
  <si>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</si>
  <si>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</si>
  <si>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</si>
  <si>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</si>
  <si>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</si>
  <si>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</si>
  <si>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</si>
  <si>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</si>
  <si>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</si>
  <si>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</si>
  <si>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</si>
  <si>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</si>
  <si>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</si>
  <si>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</si>
  <si>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</si>
  <si>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</si>
  <si>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</si>
  <si>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</si>
  <si>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</si>
  <si>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</si>
  <si>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</si>
  <si>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</si>
  <si>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</si>
  <si>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</si>
  <si>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</si>
  <si>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</si>
  <si>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</si>
  <si>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</si>
  <si>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</si>
  <si>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</si>
  <si>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</si>
  <si>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</si>
  <si>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</si>
  <si>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</si>
  <si>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</si>
  <si>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</si>
  <si>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</si>
  <si>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</si>
  <si>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</si>
  <si>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</si>
  <si>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</si>
  <si>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</si>
  <si>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</si>
  <si>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</si>
  <si>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</si>
  <si>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</si>
  <si>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</si>
  <si>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</si>
  <si>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</si>
  <si>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</si>
  <si>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</si>
  <si>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</si>
  <si>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</si>
  <si>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</si>
  <si>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</si>
  <si>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</si>
  <si>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</si>
  <si>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</si>
  <si>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</si>
  <si>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</si>
  <si>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</si>
  <si>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</si>
  <si>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</si>
  <si>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</si>
  <si>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</si>
  <si>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</si>
  <si>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</si>
  <si>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</si>
  <si>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</si>
  <si>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</si>
  <si>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</si>
  <si>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</si>
  <si>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</si>
  <si>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</si>
  <si>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</si>
  <si>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</si>
  <si>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</si>
  <si>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</si>
  <si>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</si>
  <si>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</si>
  <si>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</si>
  <si>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</si>
  <si>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</si>
  <si>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</si>
  <si>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</si>
  <si>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</si>
  <si>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</si>
  <si>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</si>
  <si>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</si>
  <si>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</si>
  <si>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</si>
  <si>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</si>
  <si>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</si>
  <si>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</si>
  <si>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</si>
  <si>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</si>
  <si>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</si>
  <si>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</si>
  <si>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</si>
  <si>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</si>
  <si>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</si>
  <si>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</si>
  <si>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</si>
  <si>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</si>
  <si>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</si>
  <si>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</si>
  <si>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</si>
  <si>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</si>
  <si>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</si>
  <si>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</si>
  <si>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</si>
  <si>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</si>
  <si>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</si>
  <si>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</si>
  <si>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</si>
  <si>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</si>
  <si>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</si>
  <si>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</si>
  <si>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</si>
  <si>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</si>
  <si>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</si>
  <si>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</si>
  <si>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</si>
  <si>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</si>
  <si>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</si>
  <si>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</si>
  <si>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</si>
  <si>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</si>
  <si>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</si>
  <si>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</si>
  <si>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</si>
  <si>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</si>
  <si>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</si>
  <si>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</si>
  <si>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</si>
  <si>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</si>
  <si>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</si>
  <si>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</si>
  <si>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</si>
  <si>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</si>
  <si>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</si>
  <si>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</si>
  <si>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</si>
  <si>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</si>
  <si>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</si>
  <si>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</si>
  <si>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</si>
  <si>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</si>
  <si>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</si>
  <si>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</si>
  <si>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</si>
  <si>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</si>
  <si>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</si>
  <si>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</si>
  <si>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</si>
  <si>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</si>
  <si>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</si>
  <si>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</si>
  <si>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</si>
  <si>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</si>
  <si>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</si>
  <si>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</si>
  <si>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</si>
  <si>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</si>
  <si>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</si>
  <si>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</si>
  <si>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</si>
  <si>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</si>
  <si>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</si>
  <si>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</si>
  <si>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</si>
  <si>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</si>
  <si>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</si>
  <si>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</si>
  <si>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</si>
  <si>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</si>
  <si>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</si>
  <si>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</si>
  <si>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</si>
  <si>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</si>
  <si>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</si>
  <si>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</si>
  <si>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</si>
  <si>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</si>
  <si>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</si>
  <si>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</si>
  <si>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</si>
  <si>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</si>
  <si>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</si>
  <si>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</si>
  <si>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</si>
  <si>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</si>
  <si>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</si>
  <si>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</si>
  <si>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</si>
  <si>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</si>
  <si>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</si>
  <si>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</si>
  <si>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</si>
  <si>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</si>
  <si>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</si>
  <si>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</si>
  <si>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</si>
  <si>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</si>
  <si>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</si>
  <si>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</si>
  <si>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</si>
  <si>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</si>
  <si>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</si>
  <si>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</si>
  <si>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</si>
  <si>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</si>
  <si>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</si>
  <si>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</si>
  <si>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</si>
  <si>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</si>
  <si>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</si>
  <si>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</si>
  <si>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</si>
  <si>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</si>
  <si>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</si>
  <si>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</si>
  <si>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</si>
  <si>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</si>
  <si>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</si>
  <si>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</si>
  <si>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</si>
  <si>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</si>
  <si>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</si>
  <si>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</si>
  <si>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</si>
  <si>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</si>
  <si>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</si>
  <si>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</si>
  <si>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</si>
  <si>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</si>
  <si>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</si>
  <si>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</si>
  <si>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</si>
  <si>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</si>
  <si>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</si>
  <si>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</si>
  <si>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</si>
  <si>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</si>
  <si>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</si>
  <si>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</si>
  <si>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</si>
  <si>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</si>
  <si>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</si>
  <si>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</si>
  <si>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</si>
  <si>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</si>
  <si>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</si>
  <si>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</si>
  <si>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</si>
  <si>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</si>
  <si>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</si>
  <si>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</si>
  <si>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</si>
  <si>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</si>
  <si>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</si>
  <si>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</si>
  <si>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</si>
  <si>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</si>
  <si>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</si>
  <si>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</si>
  <si>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</si>
  <si>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</si>
  <si>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</si>
  <si>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</si>
  <si>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</si>
  <si>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</si>
  <si>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</si>
  <si>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</si>
  <si>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</si>
  <si>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</si>
  <si>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</si>
  <si>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</si>
  <si>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</si>
  <si>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</si>
  <si>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</si>
  <si>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</si>
  <si>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</si>
  <si>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</si>
  <si>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</si>
  <si>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</si>
  <si>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</si>
  <si>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</si>
  <si>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</si>
  <si>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</si>
  <si>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</si>
  <si>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</si>
  <si>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</si>
  <si>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</si>
  <si>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</si>
  <si>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</si>
  <si>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</si>
  <si>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</si>
  <si>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</si>
  <si>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</si>
  <si>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</si>
  <si>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</si>
  <si>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</si>
  <si>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</si>
  <si>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</si>
  <si>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</si>
  <si>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</si>
  <si>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</si>
  <si>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</si>
  <si>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</si>
  <si>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</si>
  <si>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</si>
  <si>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</si>
  <si>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</si>
  <si>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</si>
  <si>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</si>
  <si>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</si>
  <si>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</si>
  <si>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</si>
  <si>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</si>
  <si>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</si>
  <si>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</si>
  <si>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</si>
  <si>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</si>
  <si>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</si>
  <si>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</si>
  <si>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</si>
  <si>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</si>
  <si>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</si>
  <si>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</si>
  <si>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</si>
  <si>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</si>
  <si>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</si>
  <si>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</si>
  <si>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</si>
  <si>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</si>
  <si>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</si>
  <si>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</si>
  <si>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</si>
  <si>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</si>
  <si>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</si>
  <si>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</si>
  <si>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</si>
  <si>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</si>
  <si>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</si>
  <si>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</si>
  <si>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</si>
  <si>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</si>
  <si>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</si>
  <si>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</si>
  <si>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</si>
  <si>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</si>
  <si>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</si>
  <si>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</si>
  <si>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</si>
  <si>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</si>
  <si>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</si>
  <si>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</si>
  <si>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</si>
  <si>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</si>
  <si>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</si>
  <si>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</si>
  <si>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</si>
  <si>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</si>
  <si>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</si>
  <si>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</si>
  <si>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</si>
  <si>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</si>
  <si>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</si>
  <si>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</si>
  <si>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</si>
  <si>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</si>
  <si>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</si>
  <si>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</si>
  <si>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</si>
  <si>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</si>
  <si>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</si>
  <si>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</si>
  <si>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</si>
  <si>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</si>
  <si>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</si>
  <si>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</si>
  <si>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</si>
  <si>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</si>
  <si>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</si>
  <si>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</si>
  <si>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</si>
  <si>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</si>
  <si>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</si>
  <si>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</si>
  <si>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</si>
  <si>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</si>
  <si>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</si>
  <si>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</si>
  <si>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</si>
  <si>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</si>
  <si>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</si>
  <si>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</si>
  <si>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</si>
  <si>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</si>
  <si>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</si>
  <si>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</si>
  <si>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</si>
  <si>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</si>
  <si>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</si>
  <si>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</si>
  <si>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</si>
  <si>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</si>
  <si>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</si>
  <si>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30/11/2026 e 04/12/2026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</si>
</sst>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6" tableId="2">
      <sortRules>
        <sortRule colId="8" id="{62016C67-3729-4C41-B72D-09D6616B7474}">
          <sortCondition ref="I1:I2006"/>
        </sortRule>
      </sortRules>
    </nsvFilter>
  </namedSheetView>
</namedSheetView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6" totalsRowShown="0" headerRowDxfId="60" dataDxfId="59" totalsRowDxfId="58" totalsRowBorderDxfId="57">
  <autoFilter ref="A1:U2006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56" totalsRowDxfId="55"/>
    <tableColumn id="2" xr3:uid="{19532738-24D5-4BD5-BE04-C19DCC5894A1}" name="Ano" dataDxfId="54" totalsRowDxfId="53"/>
    <tableColumn id="3" xr3:uid="{8DE0B36A-F0DC-47A1-A74E-F4BE63A4FB1D}" name="Status Evento" dataDxfId="52" totalsRowDxfId="51"/>
    <tableColumn id="4" xr3:uid="{C1159FBD-CCD0-4CA2-BB8C-598E3AB5DDD8}" name="Processo" dataDxfId="50" totalsRowDxfId="49"/>
    <tableColumn id="5" xr3:uid="{A32670A4-BE4F-480D-8DE9-8FF18024C829}" name="Curso" dataDxfId="48" totalsRowDxfId="47"/>
    <tableColumn id="8" xr3:uid="{905DEA0A-D099-47EA-972D-1012D71C7792}" name="Público-Alvo" dataDxfId="46" totalsRowDxfId="45"/>
    <tableColumn id="9" xr3:uid="{7DC0A0BE-8030-47CA-AF56-2C13C9FF7AE5}" name="Programa" dataDxfId="44" totalsRowDxfId="43"/>
    <tableColumn id="11" xr3:uid="{2B799ACD-69E4-46A5-9A4F-F7E3D7A47CE9}" name="Data TXT" dataDxfId="42" totalsRowDxfId="41"/>
    <tableColumn id="12" xr3:uid="{62016C67-3729-4C41-B72D-09D6616B7474}" name="Início" dataDxfId="40" totalsRowDxfId="39"/>
    <tableColumn id="13" xr3:uid="{E4F20518-0042-40C0-B590-B7616F2843A5}" name="Término" dataDxfId="38" totalsRowDxfId="37"/>
    <tableColumn id="14" xr3:uid="{4D6C4412-CFEE-4506-830E-F79FD008371B}" name="Modalidade" dataDxfId="36" totalsRowDxfId="35"/>
    <tableColumn id="15" xr3:uid="{12EC931A-E71B-4AEB-B20B-0F9EA63D0C71}" name="Valor instrutoria" dataDxfId="34" totalsRowDxfId="33" dataCellStyle="Moeda"/>
    <tableColumn id="17" xr3:uid="{8FCDFADA-4FA3-41E0-86FF-E623116BAFEB}" name="Nota Av. Reação" dataDxfId="32" totalsRowDxfId="31"/>
    <tableColumn id="19" xr3:uid="{316EB379-BB97-4F60-9566-576B25A26B0E}" name="Qtd Vagas" dataDxfId="30" totalsRowDxfId="29"/>
    <tableColumn id="20" xr3:uid="{59A9FB16-6726-411C-88B5-8165DD520DA3}" name="P. Servidores" dataDxfId="28" totalsRowDxfId="27"/>
    <tableColumn id="21" xr3:uid="{0246E091-ADCD-4F62-8F95-84B21E8A7BE1}" name="P. Jurisdicionados" dataDxfId="26" totalsRowDxfId="25"/>
    <tableColumn id="22" xr3:uid="{1B6DBD6D-C072-4600-81C1-69D6F4422D7D}" name="P. Sociedade" dataDxfId="24" totalsRowDxfId="23"/>
    <tableColumn id="23" xr3:uid="{109F7E4E-776C-4249-88BE-FEC3A375D7D9}" name="Total Part." dataDxfId="22" totalsRowDxfId="21"/>
    <tableColumn id="24" xr3:uid="{C67AA4C6-834C-4EBB-839B-EF0CDD50F649}" name="C.H." dataDxfId="20" totalsRowDxfId="19"/>
    <tableColumn id="26" xr3:uid="{973608F6-3E97-493C-AC61-980F73C13CD6}" name="Instrutor" dataDxfId="18" totalsRowDxfId="17"/>
    <tableColumn id="6" xr3:uid="{F31C00D3-B2F3-431E-B544-9F6C588B52B0}" name="Coluna1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8"/>
  <sheetViews>
    <sheetView tabSelected="1" zoomScaleNormal="100" workbookViewId="0">
      <pane ySplit="1" topLeftCell="A708" activePane="bottomLeft" state="frozen"/>
      <selection pane="bottomLeft" activeCell="E726" sqref="E72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4.4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4.4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4.4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1498</v>
      </c>
    </row>
    <row r="5" spans="1:23" ht="14.4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2</v>
      </c>
    </row>
    <row r="6" spans="1:23" ht="14.4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4.4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4.4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4.4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4.4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4.4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4.4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4.4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4.4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4.4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4.4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4.4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4.4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4.4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4.4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4.4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4.4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4.4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4.4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4.4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4.4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4.4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4.4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4.4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4.4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4.4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4.4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4.4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4.4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4.4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4.4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4.4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4.4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4.4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4.4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4.4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4.4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4.4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4.4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4.4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4.4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4.4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4.4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4.4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4.4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4.4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4.4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4.4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4.4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4.4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4.4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4.4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4.4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4.4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4.4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4.4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4.4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4.4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4.4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4.4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4.4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4.4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4.4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4.4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4.4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4.4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4.4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4.4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4.4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4.4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4.4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4.4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4.4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4.4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4.4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4.4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4.4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4.4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4.4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4.4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4.4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4.4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4.4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4.4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4.4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4.4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4.4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4.4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4.4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4.4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4.4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4.4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4.4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4.4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4.4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4.4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4.4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4.4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4.4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4.4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4.4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4.4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4.4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4.4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4.4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4.4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4.4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4.4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4.4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4.4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4.4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4.4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4.4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4.4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4.4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4.4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4.4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4.4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4.4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4.4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4.4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4.4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4.4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4.4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4.4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4.4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4.4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4.4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4.4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4.4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4.4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4.4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4.4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4.4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4.4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4.4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4.4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4.4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4.4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4.4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4.4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4.4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4.4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4.4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4.4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4.4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4.4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4.4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4.4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4.4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4.4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4.4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4.4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4.4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4.4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4.4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4.4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4.4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4.4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4.4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4.4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4.4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4.4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4.4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4.4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4.4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4.4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4.4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4.4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4.4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4.4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4.4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4.4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4.4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4.4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4.4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4.4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4.4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4.4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4.4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4.4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4.4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4.4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4.4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4.4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4.4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4.4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4.4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4.4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4.4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4.4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4.4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4.4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4.4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4.4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4.4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4.4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4.4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4.4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4.4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4.4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4.4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4.4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4.4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4.4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4.4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4.4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4.4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4.4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4.4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4.4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4.4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4.4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4.4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4.4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4.4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4.4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4.4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4.4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4.4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4.4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4.4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4.4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4.4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4.4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4.4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4.4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4.4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4.4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4.4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4.4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4.4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4.4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4.4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4.4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4.4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4.4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4.4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4.4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4.4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4.4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4.4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4.4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4.4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4.4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4.4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4.4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4.4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4.4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4.4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4.4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4.4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4.4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4.4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4.4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4.4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4.4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4.4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4.4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4.4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4.4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4.4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4.4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4.4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4.4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4.4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4.4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4.4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4.4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4.4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4.4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4.4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3.1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4.4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4.4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4.4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4.4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4.4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4.4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4.4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4.4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4.4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4.4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4.4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4.4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4.4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4.4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4.4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4.4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4.4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4.4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4.4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4.4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4.4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4.4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4.4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4.4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4.4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4.4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4.4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4.4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4.4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4.4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4.4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4.4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4.4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15.1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4.4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4.4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4.4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4.4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4.4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4.4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4.4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4.4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4.4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4.4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4.4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4.4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4.4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4.4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4.4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2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4.4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4.4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4.4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4.4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4.4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4.4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4.4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4.4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4.4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4.4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4.4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4.4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4.4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4.4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4.4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4.4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4.4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4.4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4.4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4.4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4.4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4.4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4.4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4.4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4.4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4.4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4.4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4.4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4.4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4.4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4.4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4.4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4.4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4.4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4.4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4.4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4.4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4.4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4.4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4.4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4.4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4.4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4.4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4.4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4.4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4.4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4.4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4.4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4.4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4.4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4.4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4.4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4.4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4.4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4.4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4.4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4.4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4.4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4.4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4.4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4.4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4.4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4.4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4.4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4.4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4.4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4.4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4.4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4.4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4.4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4.4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4.4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4.4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4.4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4.4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4.4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4.4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4.4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4.4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4.4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4.4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4.4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4.4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4.4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4.4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4.4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4.4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4.4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4.4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4.4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4.4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4.4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4.4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4.4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4.4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4.4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4.4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4.4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4.4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4.4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4.4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4.4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4.4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4.4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4.4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4.4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4.4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4.4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4.4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4.4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4.4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4.4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4.4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4.4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4.4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4.4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4.4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4.4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4.4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4.4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4.4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4.4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4.4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4.4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4.4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4.4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4.4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4.4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4.4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4.4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4.4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4.4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4.4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4.4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4.4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4.4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4.4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4.4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4.4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4.4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4.4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4.4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4.4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4.4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4.4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4.4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4.4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4.4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4.4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4.4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4.4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4.4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4.4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4.4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4.4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4.4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4.4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4.4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4.4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4.4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4.4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4.4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4.4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4.4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4.4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4.4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4.4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4.4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4.4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4.4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4.4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4.4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4.4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4.4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4.4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4.4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4.4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4.4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4.4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4.4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28.9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4.4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28.9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4.4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4.4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4.4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4.4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4.4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4.4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4.4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4.4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4.4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4.4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4.4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4.4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4.4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4.4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4.4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4.4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4.4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4.4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4.4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4.4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4.4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4.4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4.4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4.4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4.4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4.4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4.4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4.4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4.4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4.4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4.4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4.4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4.4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4.4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4.4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4.4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4.4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4.4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4.4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4.4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4.4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4.4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4.4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4.4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4.4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4.4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4.4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4.4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4.4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4.4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4.4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4.4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4.4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4.4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4.4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4.4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4.4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4.4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4.4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28.9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28.9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4.4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4.4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4.4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4.4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28.9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28.9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28.9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4.4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4.4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4.4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4.4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4.4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4.4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4.4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4.4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4.4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4.4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4.4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4.4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4.4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4.4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4.4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4.4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4.4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4.4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4.4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4.4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4.4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4.4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4.4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28.9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4.4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4.4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28.9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28.9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28.9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4.4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28.9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4.4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28.9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4.4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4.4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4.4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28.9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4.4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4.4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4.4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4.4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28.9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4.4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4.4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28.9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4.4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28.9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4.4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28.9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4.4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4.4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4.4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4.4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28.9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4.4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28.9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4.4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4.4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4.4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4.4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4.4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28.9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4.4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4.4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28.9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28.9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28.9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28.9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4.4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4.4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28.9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14.45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4.4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4.4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4.4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4.4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4.4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4.4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4.4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4.4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4.4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4.4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4.45" x14ac:dyDescent="0.2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28.9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4.4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4.4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4.4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4.4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4.4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4.4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28.9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4.4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4.4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4.4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4.4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4.4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4.4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4.45" x14ac:dyDescent="0.2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4.45" x14ac:dyDescent="0.2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4.45" x14ac:dyDescent="0.2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4.45" hidden="1" x14ac:dyDescent="0.25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4.45" x14ac:dyDescent="0.2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4.45" hidden="1" x14ac:dyDescent="0.25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4.45" x14ac:dyDescent="0.2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4.45" x14ac:dyDescent="0.2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4.45" x14ac:dyDescent="0.2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4.45" x14ac:dyDescent="0.2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4.45" x14ac:dyDescent="0.2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4.45" x14ac:dyDescent="0.2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4.45" x14ac:dyDescent="0.2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4.45" x14ac:dyDescent="0.2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4.45" x14ac:dyDescent="0.2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4.45" x14ac:dyDescent="0.2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4.45" x14ac:dyDescent="0.2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4.45" hidden="1" x14ac:dyDescent="0.25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4.45" x14ac:dyDescent="0.2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4.45" x14ac:dyDescent="0.2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4.45" x14ac:dyDescent="0.2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4.45" hidden="1" x14ac:dyDescent="0.25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4.45" x14ac:dyDescent="0.2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4.45" x14ac:dyDescent="0.2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4.45" x14ac:dyDescent="0.2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4.45" x14ac:dyDescent="0.2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4.45" x14ac:dyDescent="0.2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4.45" x14ac:dyDescent="0.2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4.45" x14ac:dyDescent="0.2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4.45" x14ac:dyDescent="0.2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4.45" x14ac:dyDescent="0.2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4.45" x14ac:dyDescent="0.2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4.45" x14ac:dyDescent="0.2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4.4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4.4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4.4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4.4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28.9" x14ac:dyDescent="0.2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28.9" x14ac:dyDescent="0.2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28.9" x14ac:dyDescent="0.2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28.9" x14ac:dyDescent="0.2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4.45" x14ac:dyDescent="0.2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4.45" x14ac:dyDescent="0.2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28.9" x14ac:dyDescent="0.2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3.15" x14ac:dyDescent="0.2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3.15" x14ac:dyDescent="0.2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4.45" x14ac:dyDescent="0.2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>
        <v>0</v>
      </c>
      <c r="P723" s="157">
        <v>0</v>
      </c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4.45" x14ac:dyDescent="0.2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4.45" x14ac:dyDescent="0.2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20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4.45" x14ac:dyDescent="0.2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>
        <v>2639.44</v>
      </c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8" si="15">IF(B726="","",SUM(O726:Q726))</f>
        <v>40</v>
      </c>
      <c r="S726" s="153">
        <v>5</v>
      </c>
      <c r="T726" s="154" t="s">
        <v>2980</v>
      </c>
      <c r="U726" s="210"/>
    </row>
    <row r="727" spans="1:21" ht="14.45" x14ac:dyDescent="0.25">
      <c r="A727" s="155" t="s">
        <v>2981</v>
      </c>
      <c r="B727" s="153">
        <v>2026</v>
      </c>
      <c r="C727" s="153" t="s">
        <v>2711</v>
      </c>
      <c r="D727" s="153" t="s">
        <v>2970</v>
      </c>
      <c r="E727" s="158" t="s">
        <v>2982</v>
      </c>
      <c r="F727" s="169" t="s">
        <v>89</v>
      </c>
      <c r="G727" s="154" t="s">
        <v>2718</v>
      </c>
      <c r="H727" s="155" t="s">
        <v>3261</v>
      </c>
      <c r="I727" s="189">
        <v>46356</v>
      </c>
      <c r="J727" s="189">
        <v>46360</v>
      </c>
      <c r="K727" s="153" t="s">
        <v>39</v>
      </c>
      <c r="L727" s="159"/>
      <c r="M727" s="181"/>
      <c r="N727" s="157">
        <v>20</v>
      </c>
      <c r="O727" s="157">
        <v>0</v>
      </c>
      <c r="P727" s="157">
        <v>0</v>
      </c>
      <c r="Q727" s="157">
        <v>20</v>
      </c>
      <c r="R727" s="157">
        <f t="shared" si="15"/>
        <v>20</v>
      </c>
      <c r="S727" s="153">
        <v>4</v>
      </c>
      <c r="T727" s="154" t="s">
        <v>1031</v>
      </c>
      <c r="U727" s="210"/>
    </row>
    <row r="728" spans="1:21" ht="14.45" x14ac:dyDescent="0.2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>
        <v>2639.44</v>
      </c>
      <c r="M728" s="181">
        <v>4.76</v>
      </c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4.45" x14ac:dyDescent="0.2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>
        <v>11553</v>
      </c>
    </row>
    <row r="730" spans="1:21" ht="14.45" x14ac:dyDescent="0.2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 t="s">
        <v>2990</v>
      </c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4.45" x14ac:dyDescent="0.25">
      <c r="A731" s="155" t="s">
        <v>2991</v>
      </c>
      <c r="B731" s="153">
        <v>2026</v>
      </c>
      <c r="C731" s="153" t="s">
        <v>2711</v>
      </c>
      <c r="D731" s="153" t="s">
        <v>2992</v>
      </c>
      <c r="E731" s="158" t="s">
        <v>2993</v>
      </c>
      <c r="F731" s="169" t="s">
        <v>25</v>
      </c>
      <c r="G731" s="154" t="s">
        <v>207</v>
      </c>
      <c r="H731" s="155"/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4.45" x14ac:dyDescent="0.25">
      <c r="A732" s="155" t="s">
        <v>2994</v>
      </c>
      <c r="B732" s="153">
        <v>2026</v>
      </c>
      <c r="C732" s="153" t="s">
        <v>2711</v>
      </c>
      <c r="D732" s="153"/>
      <c r="E732" s="199" t="s">
        <v>2995</v>
      </c>
      <c r="F732" s="169" t="s">
        <v>25</v>
      </c>
      <c r="G732" s="154" t="s">
        <v>2718</v>
      </c>
      <c r="H732" s="155" t="s">
        <v>2996</v>
      </c>
      <c r="I732" s="189">
        <v>46343</v>
      </c>
      <c r="J732" s="189">
        <v>46343</v>
      </c>
      <c r="K732" s="153" t="s">
        <v>39</v>
      </c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4.45" x14ac:dyDescent="0.25">
      <c r="A733" s="155" t="s">
        <v>2997</v>
      </c>
      <c r="B733" s="153">
        <v>2026</v>
      </c>
      <c r="C733" s="153" t="s">
        <v>2711</v>
      </c>
      <c r="D733" s="153" t="s">
        <v>2998</v>
      </c>
      <c r="E733" s="158" t="s">
        <v>2999</v>
      </c>
      <c r="F733" s="169" t="s">
        <v>89</v>
      </c>
      <c r="G733" s="154" t="s">
        <v>43</v>
      </c>
      <c r="H733" s="155"/>
      <c r="I733" s="189"/>
      <c r="J733" s="189"/>
      <c r="K733" s="153"/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4.45" x14ac:dyDescent="0.25">
      <c r="A734" s="153" t="str">
        <f ca="1">IF(E734="","",IF(B734="",YEAR(TODAY()),B734)&amp;"-"&amp;TEXT(COUNTIF($B$2:B734,IF(B734="",YEAR(TODAY()),B734))+COUNTIFS($E$2:E734,"&lt;&gt;",$B$2:B734,""),"000"))</f>
        <v>2026-078</v>
      </c>
      <c r="B734" s="153">
        <v>2026</v>
      </c>
      <c r="C734" s="153" t="s">
        <v>23</v>
      </c>
      <c r="D734" s="153" t="s">
        <v>3000</v>
      </c>
      <c r="E734" s="158" t="s">
        <v>3001</v>
      </c>
      <c r="F734" s="169" t="s">
        <v>25</v>
      </c>
      <c r="G734" s="154" t="s">
        <v>207</v>
      </c>
      <c r="H734" s="155" t="s">
        <v>3002</v>
      </c>
      <c r="I734" s="189">
        <v>46122</v>
      </c>
      <c r="J734" s="189">
        <v>46122</v>
      </c>
      <c r="K734" s="153" t="s">
        <v>39</v>
      </c>
      <c r="L734" s="159"/>
      <c r="M734" s="181"/>
      <c r="N734" s="157">
        <v>170</v>
      </c>
      <c r="O734" s="157"/>
      <c r="P734" s="157">
        <v>0</v>
      </c>
      <c r="Q734" s="157">
        <v>0</v>
      </c>
      <c r="R734" s="157">
        <f t="shared" si="15"/>
        <v>0</v>
      </c>
      <c r="S734" s="153">
        <v>2</v>
      </c>
      <c r="T734" s="154" t="s">
        <v>3003</v>
      </c>
      <c r="U734" s="210"/>
    </row>
    <row r="735" spans="1:21" ht="14.45" hidden="1" x14ac:dyDescent="0.2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2790</v>
      </c>
      <c r="D735" s="153" t="s">
        <v>3004</v>
      </c>
      <c r="E735" s="158" t="s">
        <v>3005</v>
      </c>
      <c r="F735" s="169"/>
      <c r="G735" s="154" t="s">
        <v>43</v>
      </c>
      <c r="H735" s="155"/>
      <c r="I735" s="189"/>
      <c r="J735" s="189"/>
      <c r="K735" s="153"/>
      <c r="L735" s="159"/>
      <c r="M735" s="181"/>
      <c r="N735" s="157"/>
      <c r="O735" s="157"/>
      <c r="P735" s="157"/>
      <c r="Q735" s="157"/>
      <c r="R735" s="157">
        <f t="shared" si="15"/>
        <v>0</v>
      </c>
      <c r="S735" s="153"/>
      <c r="T735" s="154"/>
      <c r="U735" s="210"/>
    </row>
    <row r="736" spans="1:21" ht="14.45" x14ac:dyDescent="0.25">
      <c r="A736" s="155" t="s">
        <v>3006</v>
      </c>
      <c r="B736" s="153">
        <v>2026</v>
      </c>
      <c r="C736" s="153" t="s">
        <v>23</v>
      </c>
      <c r="D736" s="153" t="s">
        <v>3007</v>
      </c>
      <c r="E736" s="158" t="s">
        <v>3008</v>
      </c>
      <c r="F736" s="169" t="s">
        <v>70</v>
      </c>
      <c r="G736" s="154" t="s">
        <v>80</v>
      </c>
      <c r="H736" s="155" t="s">
        <v>3009</v>
      </c>
      <c r="I736" s="189">
        <v>46267</v>
      </c>
      <c r="J736" s="189">
        <v>46269</v>
      </c>
      <c r="K736" s="153" t="s">
        <v>39</v>
      </c>
      <c r="L736" s="159">
        <v>4692.55</v>
      </c>
      <c r="M736" s="181">
        <v>4.67</v>
      </c>
      <c r="N736" s="157">
        <v>30</v>
      </c>
      <c r="O736" s="157">
        <v>0</v>
      </c>
      <c r="P736" s="157">
        <v>30</v>
      </c>
      <c r="Q736" s="157">
        <v>0</v>
      </c>
      <c r="R736" s="157">
        <f t="shared" si="15"/>
        <v>30</v>
      </c>
      <c r="S736" s="153">
        <v>8</v>
      </c>
      <c r="T736" s="154" t="s">
        <v>2714</v>
      </c>
      <c r="U736" s="210"/>
    </row>
    <row r="737" spans="1:21" ht="14.45" x14ac:dyDescent="0.25">
      <c r="A737" s="155" t="s">
        <v>3010</v>
      </c>
      <c r="B737" s="153">
        <v>2026</v>
      </c>
      <c r="C737" s="153" t="s">
        <v>23</v>
      </c>
      <c r="D737" s="153" t="s">
        <v>3011</v>
      </c>
      <c r="E737" s="158" t="s">
        <v>3012</v>
      </c>
      <c r="F737" s="169" t="s">
        <v>70</v>
      </c>
      <c r="G737" s="154" t="s">
        <v>2694</v>
      </c>
      <c r="H737" s="155" t="s">
        <v>3013</v>
      </c>
      <c r="I737" s="189">
        <v>46273</v>
      </c>
      <c r="J737" s="189">
        <v>46275</v>
      </c>
      <c r="K737" s="153" t="s">
        <v>39</v>
      </c>
      <c r="L737" s="159">
        <v>11246.83</v>
      </c>
      <c r="M737" s="181">
        <v>4.93</v>
      </c>
      <c r="N737" s="157">
        <v>30</v>
      </c>
      <c r="O737" s="157">
        <v>0</v>
      </c>
      <c r="P737" s="157">
        <v>21</v>
      </c>
      <c r="Q737" s="157">
        <v>0</v>
      </c>
      <c r="R737" s="157">
        <f t="shared" si="15"/>
        <v>21</v>
      </c>
      <c r="S737" s="153">
        <v>12</v>
      </c>
      <c r="T737" s="154" t="s">
        <v>3014</v>
      </c>
      <c r="U737" s="210"/>
    </row>
    <row r="738" spans="1:21" ht="14.45" x14ac:dyDescent="0.25">
      <c r="A738" s="155" t="s">
        <v>3015</v>
      </c>
      <c r="B738" s="153">
        <v>2026</v>
      </c>
      <c r="C738" s="153" t="s">
        <v>23</v>
      </c>
      <c r="D738" s="153" t="s">
        <v>3016</v>
      </c>
      <c r="E738" s="158" t="s">
        <v>3017</v>
      </c>
      <c r="F738" s="169" t="s">
        <v>25</v>
      </c>
      <c r="G738" s="154" t="s">
        <v>2700</v>
      </c>
      <c r="H738" s="155" t="s">
        <v>3018</v>
      </c>
      <c r="I738" s="189">
        <v>46266</v>
      </c>
      <c r="J738" s="189">
        <v>46267</v>
      </c>
      <c r="K738" s="153" t="s">
        <v>39</v>
      </c>
      <c r="L738" s="159">
        <v>5967.7</v>
      </c>
      <c r="M738" s="181">
        <v>4.41</v>
      </c>
      <c r="N738" s="157">
        <v>20</v>
      </c>
      <c r="O738" s="157">
        <v>20</v>
      </c>
      <c r="P738" s="157">
        <v>0</v>
      </c>
      <c r="Q738" s="157">
        <v>0</v>
      </c>
      <c r="R738" s="157">
        <f t="shared" si="15"/>
        <v>20</v>
      </c>
      <c r="S738" s="153">
        <v>9</v>
      </c>
      <c r="T738" s="154" t="s">
        <v>219</v>
      </c>
      <c r="U738" s="210"/>
    </row>
    <row r="739" spans="1:21" ht="14.45" x14ac:dyDescent="0.25">
      <c r="A739" s="155" t="s">
        <v>3019</v>
      </c>
      <c r="B739" s="153">
        <v>2026</v>
      </c>
      <c r="C739" s="153" t="s">
        <v>2711</v>
      </c>
      <c r="D739" s="153" t="s">
        <v>3020</v>
      </c>
      <c r="E739" s="158" t="s">
        <v>3021</v>
      </c>
      <c r="F739" s="169" t="s">
        <v>25</v>
      </c>
      <c r="G739" s="154" t="s">
        <v>2700</v>
      </c>
      <c r="H739" s="155" t="s">
        <v>3022</v>
      </c>
      <c r="I739" s="155" t="s">
        <v>3022</v>
      </c>
      <c r="J739" s="155" t="s">
        <v>3022</v>
      </c>
      <c r="K739" s="153" t="s">
        <v>39</v>
      </c>
      <c r="L739" s="159">
        <v>2652.31</v>
      </c>
      <c r="M739" s="181"/>
      <c r="N739" s="157">
        <v>20</v>
      </c>
      <c r="O739" s="157"/>
      <c r="P739" s="157"/>
      <c r="Q739" s="157"/>
      <c r="R739" s="157">
        <f t="shared" si="15"/>
        <v>0</v>
      </c>
      <c r="S739" s="153">
        <v>4</v>
      </c>
      <c r="T739" s="154" t="s">
        <v>1910</v>
      </c>
      <c r="U739" s="210"/>
    </row>
    <row r="740" spans="1:21" ht="14.45" x14ac:dyDescent="0.25">
      <c r="A740" s="155" t="s">
        <v>3023</v>
      </c>
      <c r="B740" s="153">
        <v>2026</v>
      </c>
      <c r="C740" s="153" t="s">
        <v>23</v>
      </c>
      <c r="D740" s="153" t="s">
        <v>3024</v>
      </c>
      <c r="E740" s="158" t="s">
        <v>3025</v>
      </c>
      <c r="F740" s="169" t="s">
        <v>25</v>
      </c>
      <c r="G740" s="154" t="s">
        <v>2700</v>
      </c>
      <c r="H740" s="155" t="s">
        <v>3026</v>
      </c>
      <c r="I740" s="189">
        <v>46286</v>
      </c>
      <c r="J740" s="189">
        <v>46288</v>
      </c>
      <c r="K740" s="153" t="s">
        <v>39</v>
      </c>
      <c r="L740" s="159">
        <v>7038.8307599999998</v>
      </c>
      <c r="M740" s="181">
        <v>4.67</v>
      </c>
      <c r="N740" s="157">
        <v>20</v>
      </c>
      <c r="O740" s="157">
        <v>21</v>
      </c>
      <c r="P740" s="157">
        <v>0</v>
      </c>
      <c r="Q740" s="157">
        <v>0</v>
      </c>
      <c r="R740" s="157">
        <f t="shared" si="15"/>
        <v>21</v>
      </c>
      <c r="S740" s="153">
        <v>8</v>
      </c>
      <c r="T740" s="154" t="s">
        <v>2827</v>
      </c>
      <c r="U740" s="210"/>
    </row>
    <row r="741" spans="1:21" ht="14.45" x14ac:dyDescent="0.25">
      <c r="A741" s="155" t="s">
        <v>3027</v>
      </c>
      <c r="B741" s="153">
        <v>2026</v>
      </c>
      <c r="C741" s="153" t="s">
        <v>2711</v>
      </c>
      <c r="D741" s="153" t="s">
        <v>3024</v>
      </c>
      <c r="E741" s="158" t="s">
        <v>3028</v>
      </c>
      <c r="F741" s="169" t="s">
        <v>25</v>
      </c>
      <c r="G741" s="154" t="s">
        <v>2700</v>
      </c>
      <c r="H741" s="155" t="s">
        <v>3029</v>
      </c>
      <c r="I741" s="189">
        <v>46322</v>
      </c>
      <c r="J741" s="189">
        <v>46324</v>
      </c>
      <c r="K741" s="153" t="s">
        <v>39</v>
      </c>
      <c r="L741" s="159">
        <v>7038.8307599999998</v>
      </c>
      <c r="M741" s="181"/>
      <c r="N741" s="157">
        <v>20</v>
      </c>
      <c r="O741" s="157"/>
      <c r="P741" s="157"/>
      <c r="Q741" s="157"/>
      <c r="R741" s="157">
        <f t="shared" si="15"/>
        <v>0</v>
      </c>
      <c r="S741" s="153">
        <v>8</v>
      </c>
      <c r="T741" s="154" t="s">
        <v>2827</v>
      </c>
      <c r="U741" s="210"/>
    </row>
    <row r="742" spans="1:21" ht="15" x14ac:dyDescent="0.25">
      <c r="A742" s="155" t="s">
        <v>3030</v>
      </c>
      <c r="B742" s="153">
        <v>2026</v>
      </c>
      <c r="C742" s="153" t="s">
        <v>23</v>
      </c>
      <c r="D742" s="153" t="s">
        <v>3031</v>
      </c>
      <c r="E742" s="158" t="s">
        <v>3032</v>
      </c>
      <c r="F742" s="169" t="s">
        <v>25</v>
      </c>
      <c r="G742" s="154" t="s">
        <v>207</v>
      </c>
      <c r="H742" s="155" t="s">
        <v>3033</v>
      </c>
      <c r="I742" s="189">
        <v>46283</v>
      </c>
      <c r="J742" s="189">
        <v>46283</v>
      </c>
      <c r="K742" s="153" t="s">
        <v>39</v>
      </c>
      <c r="L742" s="159">
        <v>0</v>
      </c>
      <c r="M742" s="181"/>
      <c r="N742" s="157">
        <v>170</v>
      </c>
      <c r="O742" s="157"/>
      <c r="P742" s="157">
        <v>0</v>
      </c>
      <c r="Q742" s="157">
        <v>0</v>
      </c>
      <c r="R742" s="157">
        <f t="shared" si="15"/>
        <v>0</v>
      </c>
      <c r="S742" s="153">
        <v>2</v>
      </c>
      <c r="T742" s="154" t="s">
        <v>3003</v>
      </c>
      <c r="U742" s="210"/>
    </row>
    <row r="743" spans="1:21" ht="14.45" x14ac:dyDescent="0.25">
      <c r="A743" s="155" t="s">
        <v>3034</v>
      </c>
      <c r="B743" s="153">
        <v>2026</v>
      </c>
      <c r="C743" s="153" t="s">
        <v>2711</v>
      </c>
      <c r="D743" s="153" t="s">
        <v>3035</v>
      </c>
      <c r="E743" s="165" t="s">
        <v>3036</v>
      </c>
      <c r="F743" s="169" t="s">
        <v>25</v>
      </c>
      <c r="G743" s="154" t="s">
        <v>207</v>
      </c>
      <c r="H743" s="155" t="s">
        <v>3037</v>
      </c>
      <c r="I743" s="189">
        <v>46314</v>
      </c>
      <c r="J743" s="189">
        <v>46318</v>
      </c>
      <c r="K743" s="153" t="s">
        <v>28</v>
      </c>
      <c r="L743" s="159">
        <v>19900</v>
      </c>
      <c r="M743" s="181"/>
      <c r="N743" s="157"/>
      <c r="O743" s="157"/>
      <c r="P743" s="157"/>
      <c r="Q743" s="157"/>
      <c r="R743" s="157">
        <f t="shared" si="15"/>
        <v>0</v>
      </c>
      <c r="S743" s="153">
        <v>16</v>
      </c>
      <c r="T743" s="154" t="s">
        <v>804</v>
      </c>
      <c r="U743" s="210"/>
    </row>
    <row r="744" spans="1:21" ht="14.45" x14ac:dyDescent="0.25">
      <c r="A744" s="155" t="s">
        <v>3038</v>
      </c>
      <c r="B744" s="153">
        <v>2026</v>
      </c>
      <c r="C744" s="153" t="s">
        <v>2711</v>
      </c>
      <c r="D744" s="153" t="s">
        <v>3035</v>
      </c>
      <c r="E744" s="165" t="s">
        <v>3039</v>
      </c>
      <c r="F744" s="169" t="s">
        <v>25</v>
      </c>
      <c r="G744" s="154" t="s">
        <v>207</v>
      </c>
      <c r="H744" s="155" t="s">
        <v>3040</v>
      </c>
      <c r="I744" s="189">
        <v>46349</v>
      </c>
      <c r="J744" s="189">
        <v>46352</v>
      </c>
      <c r="K744" s="153" t="s">
        <v>28</v>
      </c>
      <c r="L744" s="159">
        <v>18900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4.45" hidden="1" x14ac:dyDescent="0.25">
      <c r="A745" s="155" t="s">
        <v>3041</v>
      </c>
      <c r="B745" s="153">
        <v>2026</v>
      </c>
      <c r="C745" s="153" t="s">
        <v>2790</v>
      </c>
      <c r="D745" s="153" t="s">
        <v>3042</v>
      </c>
      <c r="E745" s="165" t="s">
        <v>3043</v>
      </c>
      <c r="F745" s="169" t="s">
        <v>25</v>
      </c>
      <c r="G745" s="154" t="s">
        <v>207</v>
      </c>
      <c r="H745" s="155" t="s">
        <v>3044</v>
      </c>
      <c r="I745" s="189">
        <v>46293</v>
      </c>
      <c r="J745" s="189">
        <v>46297</v>
      </c>
      <c r="K745" s="153" t="s">
        <v>39</v>
      </c>
      <c r="L745" s="159"/>
      <c r="M745" s="181"/>
      <c r="N745" s="157">
        <v>20</v>
      </c>
      <c r="O745" s="157"/>
      <c r="P745" s="157"/>
      <c r="Q745" s="157"/>
      <c r="R745" s="157">
        <f t="shared" si="15"/>
        <v>0</v>
      </c>
      <c r="S745" s="153">
        <v>20</v>
      </c>
      <c r="T745" s="154" t="s">
        <v>3045</v>
      </c>
      <c r="U745" s="210"/>
    </row>
    <row r="746" spans="1:21" ht="14.45" x14ac:dyDescent="0.25">
      <c r="A746" s="155" t="s">
        <v>3046</v>
      </c>
      <c r="B746" s="153">
        <v>2026</v>
      </c>
      <c r="C746" s="153" t="s">
        <v>23</v>
      </c>
      <c r="D746" s="153" t="s">
        <v>3047</v>
      </c>
      <c r="E746" s="165" t="s">
        <v>3048</v>
      </c>
      <c r="F746" s="169" t="s">
        <v>25</v>
      </c>
      <c r="G746" s="154" t="s">
        <v>207</v>
      </c>
      <c r="H746" s="155" t="s">
        <v>3049</v>
      </c>
      <c r="I746" s="189">
        <v>46282</v>
      </c>
      <c r="J746" s="189">
        <v>46282</v>
      </c>
      <c r="K746" s="153"/>
      <c r="L746" s="159"/>
      <c r="M746" s="181"/>
      <c r="N746" s="157">
        <v>80</v>
      </c>
      <c r="O746" s="157">
        <v>80</v>
      </c>
      <c r="P746" s="157"/>
      <c r="Q746" s="157"/>
      <c r="R746" s="157">
        <f t="shared" ref="R746" si="16">IF(B746="","",SUM(O746:Q746))</f>
        <v>80</v>
      </c>
      <c r="S746" s="153">
        <v>2</v>
      </c>
      <c r="T746" s="154"/>
      <c r="U746" s="210"/>
    </row>
    <row r="747" spans="1:21" ht="14.45" x14ac:dyDescent="0.25">
      <c r="A747" s="155" t="s">
        <v>3050</v>
      </c>
      <c r="B747" s="153">
        <v>2026</v>
      </c>
      <c r="C747" s="153" t="s">
        <v>23</v>
      </c>
      <c r="D747" s="153" t="s">
        <v>3051</v>
      </c>
      <c r="E747" s="158" t="s">
        <v>3052</v>
      </c>
      <c r="F747" s="169" t="s">
        <v>70</v>
      </c>
      <c r="G747" s="154" t="s">
        <v>80</v>
      </c>
      <c r="H747" s="155" t="s">
        <v>3053</v>
      </c>
      <c r="I747" s="189">
        <v>46293</v>
      </c>
      <c r="J747" s="189">
        <v>46295</v>
      </c>
      <c r="K747" s="153" t="s">
        <v>39</v>
      </c>
      <c r="L747" s="159">
        <v>5967.7</v>
      </c>
      <c r="M747" s="181">
        <v>4.7300000000000004</v>
      </c>
      <c r="N747" s="157">
        <v>80</v>
      </c>
      <c r="O747" s="157">
        <v>0</v>
      </c>
      <c r="P747" s="157">
        <v>67</v>
      </c>
      <c r="Q747" s="157">
        <v>0</v>
      </c>
      <c r="R747" s="157">
        <f t="shared" si="15"/>
        <v>67</v>
      </c>
      <c r="S747" s="153">
        <v>12</v>
      </c>
      <c r="T747" s="154" t="s">
        <v>2453</v>
      </c>
      <c r="U747" s="210"/>
    </row>
    <row r="748" spans="1:21" ht="28.9" hidden="1" x14ac:dyDescent="0.25">
      <c r="A748" s="155" t="s">
        <v>3054</v>
      </c>
      <c r="B748" s="153">
        <v>2026</v>
      </c>
      <c r="C748" s="153" t="s">
        <v>3055</v>
      </c>
      <c r="D748" s="153" t="s">
        <v>3056</v>
      </c>
      <c r="E748" s="165" t="s">
        <v>3057</v>
      </c>
      <c r="F748" s="169" t="s">
        <v>25</v>
      </c>
      <c r="G748" s="154" t="s">
        <v>26</v>
      </c>
      <c r="H748" s="155"/>
      <c r="I748" s="189"/>
      <c r="J748" s="189"/>
      <c r="K748" s="153" t="s">
        <v>39</v>
      </c>
      <c r="L748" s="159"/>
      <c r="M748" s="181"/>
      <c r="N748" s="157">
        <v>30</v>
      </c>
      <c r="O748" s="157"/>
      <c r="P748" s="157"/>
      <c r="Q748" s="157"/>
      <c r="R748" s="157">
        <f t="shared" si="15"/>
        <v>0</v>
      </c>
      <c r="S748" s="153">
        <v>12</v>
      </c>
      <c r="T748" s="154" t="s">
        <v>3058</v>
      </c>
      <c r="U748" s="210"/>
    </row>
    <row r="749" spans="1:21" ht="14.45" hidden="1" x14ac:dyDescent="0.25">
      <c r="A749" s="153" t="str">
        <f ca="1">IF(E749="","",IF(B749="",YEAR(TODAY()),B749)&amp;"-"&amp;TEXT(COUNTIF($B$2:B749,IF(B749="",YEAR(TODAY()),B749))+COUNTIFS($E$2:E749,"&lt;&gt;",$B$2:B749,""),"000"))</f>
        <v/>
      </c>
      <c r="B749" s="153"/>
      <c r="C749" s="153"/>
      <c r="D749" s="153"/>
      <c r="E749" s="158"/>
      <c r="F749" s="169"/>
      <c r="G749" s="154"/>
      <c r="H749" s="155"/>
      <c r="I749" s="189"/>
      <c r="J749" s="189"/>
      <c r="K749" s="153"/>
      <c r="L749" s="159"/>
      <c r="M749" s="181"/>
      <c r="N749" s="157"/>
      <c r="O749" s="157"/>
      <c r="P749" s="157"/>
      <c r="Q749" s="157"/>
      <c r="R749" s="157"/>
      <c r="S749" s="153"/>
      <c r="T749" s="154"/>
      <c r="U749" s="210"/>
    </row>
    <row r="750" spans="1:21" ht="14.4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4.4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4.4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4.4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4.4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4.4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4.4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4.4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4.4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4.4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4.4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4.4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4.4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4.4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4.4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4.4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4.4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4.4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4.4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4.4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4.4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4.4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4.4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4.4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4.4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4.4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4.4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4.4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4.4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4.4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4.4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4.4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4.4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4.4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4.4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4.4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4.4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4.4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4.4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4.4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4.4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4.4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4.4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4.4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4.4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4.4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4.4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4.4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4.4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4.4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4.4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4.4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4.4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4.4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4.4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4.4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4.4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4.4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4.4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4.4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4.4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4.4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4.4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4.4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4.4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4.4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4.4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4.4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4.4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4.4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4.4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4.4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4.4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4.4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4.4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4.4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4.4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4.4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4.4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4.4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4.4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4.4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4.4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4.4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4.4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4.4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4.4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4.4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4.4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4.4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4.4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4.4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4.4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4.4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4.4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4.4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4.4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4.4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4.4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4.4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4.4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4.4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4.4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4.4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4.4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4.4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4.4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4.4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4.4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4.4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4.4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4.4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4.4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4.4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4.4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4.4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4.4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4.4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4.4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4.4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4.4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4.4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4.4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4.4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4.4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4.4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4.4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4.4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4.4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4.4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4.4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4.4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4.4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4.4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4.4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4.4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4.4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4.4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4.4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4.4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4.4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4.4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4.4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4.4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4.4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4.4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4.4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4.4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4.4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4.4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4.4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4.4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4.4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4.4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4.4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4.4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4.4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4.4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4.4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4.4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4.4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4.4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4.4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4.4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4.4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4.4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4.4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4.4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4.4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4.4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4.4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4.4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4.4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4.4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4.4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4.4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4.4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4.4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4.4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4.4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4.4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4.4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4.4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4.4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4.4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4.4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4.4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4.4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4.4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4.4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4.4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4.4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4.4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4.4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4.4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4.4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4.4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4.4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4.4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4.4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4.4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4.4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4.4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4.4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4.4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4.4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4.4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4.4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4.4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4.4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4.4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4.4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4.4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4.4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4.4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4.4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4.4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4.4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4.4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4.4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4.4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4.4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4.4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4.4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4.4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4.4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4.4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4.4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4.4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4.4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4.4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4.4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4.4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4.4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4.4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4.4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4.4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4.4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4.4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4.4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4.4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4.4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4.4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4.4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4.4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4.4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4.4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4.4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4.4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4.4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4.4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4.4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4.4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4.4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4.4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4.4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4.4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4.4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4.4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4.4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4.4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4.4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4.4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4.4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4.4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4.4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4.4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4.4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4.4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4.4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4.4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4.4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4.4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4.4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4.4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4.4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4.4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4.4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4.4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4.4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4.4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4.4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4.4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4.4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4.4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4.4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4.4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4.4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4.4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4.4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4.4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4.4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4.4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4.4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4.4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4.4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4.4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4.4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4.4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4.4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4.4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4.4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4.4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4.4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4.4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4.4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4.4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4.4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4.4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4.4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4.4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4.4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4.4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4.4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4.4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4.4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4.4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4.4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4.4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4.4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4.4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4.4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4.4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4.4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4.4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4.4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4.4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4.4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4.4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4.4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4.4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4.4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4.4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4.4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4.4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4.4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4.4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4.4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4.4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4.4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4.4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4.4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4.4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4.4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4.4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4.4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4.4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4.4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4.4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4.4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4.4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4.4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4.4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4.4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4.4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4.4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4.4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4.4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4.4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4.4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4.4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4.4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4.4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4.4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4.4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4.4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4.4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4.4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4.4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4.4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4.4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4.4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4.4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4.4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4.4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4.4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4.4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4.4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4.4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4.4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4.4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4.4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4.4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4.4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4.4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4.4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4.4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4.4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4.4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4.4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4.4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4.4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4.4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4.4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4.4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4.4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4.4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4.4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4.4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4.4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4.4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4.4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4.4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4.4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4.4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4.4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4.4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4.4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4.4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4.4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4.4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4.4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4.4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4.4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4.4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4.4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4.4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4.4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4.4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4.4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4.4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4.4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4.4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4.4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4.4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4.4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4.4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4.4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4.4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4.4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4.4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4.4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4.4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4.4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4.4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4.4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4.4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4.4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4.4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4.4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4.4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4.4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4.4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4.4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4.4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4.4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4.4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4.4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4.4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4.4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4.4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4.4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4.4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4.4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4.4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4.4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4.4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4.4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4.4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4.4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4.4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4.4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4.4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4.4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4.4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4.4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4.4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4.4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4.4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4.4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4.4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4.4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4.4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4.4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4.4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4.4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4.4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4.4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4.4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4.4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4.4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4.4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4.4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4.4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4.4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4.4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4.4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4.4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4.4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4.4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4.4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4.4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4.4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4.4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4.4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4.4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4.4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4.4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4.4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4.4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4.4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4.4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4.4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4.4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4.4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4.4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4.4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4.4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4.4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4.4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4.4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4.4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4.4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4.4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4.4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4.4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4.4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4.4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4.4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4.4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4.4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4.4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4.4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4.4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4.4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4.4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4.4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4.4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4.4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4.4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4.4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4.4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4.4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4.4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4.4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4.4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4.4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4.4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4.4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4.4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4.4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4.4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4.4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4.4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4.4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4.4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4.4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4.4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4.4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4.4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4.4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4.4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4.4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4.4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4.4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4.4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4.4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4.4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4.4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4.4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4.4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4.4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4.4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4.4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4.4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4.4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4.4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4.4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4.4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4.4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4.4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4.4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4.4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4.4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4.4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4.4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4.4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4.4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4.4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4.4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4.4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4.4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4.4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4.4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4.4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4.4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4.4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4.4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4.4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4.4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4.4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4.4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4.4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4.4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4.4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4.4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4.4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4.4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4.4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4.4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4.4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4.4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4.4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4.4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4.4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4.4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4.4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4.4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4.4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4.4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4.4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4.4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4.4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4.4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4.4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4.4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4.4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4.4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4.4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4.4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4.4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4.4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4.4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4.4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4.4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4.4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4.4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4.4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4.4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4.4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4.4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4.4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4.4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4.4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4.4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4.4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4.4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4.4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4.4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4.4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4.4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4.4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4.4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4.4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4.4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4.4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4.4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4.4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4.4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4.4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4.4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4.4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4.4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4.4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4.4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4.4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4.4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4.4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4.4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4.4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4.4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4.4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4.4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4.4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4.4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4.4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4.4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4.4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4.4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4.4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4.4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4.4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4.4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4.4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4.4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4.4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4.4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4.4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4.4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4.4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4.4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4.4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4.4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4.4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4.4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4.4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4.4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4.4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4.4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4.4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4.4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4.4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4.4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4.4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4.4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4.4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4.4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4.4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4.4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4.4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4.4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4.4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4.4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4.4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4.4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4.4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4.4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4.4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4.4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4.4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4.4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4.4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4.4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4.4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4.4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4.4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4.4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4.4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4.4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4.4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4.4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4.4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4.4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4.4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4.4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4.4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4.4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4.4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4.4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4.4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4.4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4.4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4.4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4.4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4.4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4.4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4.4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4.4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4.4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4.4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4.4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4.4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4.4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4.4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4.4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4.4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4.4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4.4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4.4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4.45" hidden="1" x14ac:dyDescent="0.25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4.45" hidden="1" x14ac:dyDescent="0.25">
      <c r="A1500" s="155"/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4.4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4.4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4.4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4.4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4.4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4.4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4.4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4.4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4.4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4.4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4.4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4.4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4.4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4.4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4.4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4.4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4.4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4.4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4.4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4.4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4.4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4.4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4.4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4.4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4.4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4.4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4.4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4.4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4.4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4.4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4.4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4.4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4.4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4.4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4.4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4.4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4.4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4.4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4.4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4.4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4.4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4.4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4.4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4.4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4.4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4.4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4.4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4.4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4.4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4.4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4.4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4.4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4.4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4.4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4.4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4.4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4.4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4.4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4.4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4.4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4.4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4.4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4.4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4.4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4.4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4.4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4.4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4.4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4.4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4.4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4.4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4.4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4.4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4.4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4.4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4.4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4.4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4.4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4.4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4.4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4.4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4.4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4.4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4.4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4.4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4.4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4.4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4.4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4.4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4.4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4.4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4.4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4.4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4.4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4.4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4.4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4.4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4.4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4.4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4.4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4.4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4.4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4.4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4.4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4.4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4.4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4.4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4.4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4.4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4.4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4.4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4.4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4.4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4.4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4.4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4.4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4.4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4.4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4.4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4.4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4.4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4.4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4.4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4.4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4.4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4.4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4.4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4.4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4.4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4.4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4.4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4.4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4.4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4.4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4.4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4.4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4.4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4.4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4.4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4.4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4.4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4.4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4.4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4.4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4.4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4.4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4.4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4.4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4.4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4.4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4.4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4.4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4.4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4.4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4.4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4.4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4.4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4.4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4.4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4.4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4.4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4.4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4.4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4.4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4.4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4.4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4.4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4.4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4.4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4.4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4.4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4.4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4.4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4.4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4.4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4.4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4.4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4.4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4.4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4.4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4.4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4.4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4.4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4.4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4.4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4.4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4.4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4.4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4.4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4.4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4.4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4.4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4.4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4.4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4.4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4.4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4.4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4.4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4.4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4.4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4.4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4.4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4.4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4.4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4.4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4.4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4.4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4.4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4.4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4.4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4.4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4.4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4.4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4.4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4.4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4.4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4.4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4.4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4.4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4.4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4.4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4.4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4.4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4.4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4.4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4.4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4.4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4.4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4.4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4.4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4.4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4.4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4.4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4.4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4.4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4.4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4.4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4.4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4.4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4.4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4.4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4.4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4.4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4.4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4.4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4.4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4.4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4.4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4.4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4.4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4.4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4.4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4.4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4.4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4.4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4.4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4.4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4.4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4.4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4.4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4.4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4.4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4.4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4.4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4.4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4.4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4.4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4.4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4.4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4.4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4.4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4.4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4.4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4.4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4.4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4.4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4.4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4.4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4.4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4.4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4.4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4.4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4.4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4.4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4.4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4.4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4.4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4.4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4.4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4.4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4.4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4.4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4.4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4.4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4.4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4.4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4.4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4.4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4.4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4.4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4.4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4.4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4.4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4.4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4.4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4.4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4.4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4.4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4.4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4.4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4.4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4.4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4.4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4.4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4.4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4.4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4.4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4.4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4.4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4.4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4.4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4.4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4.4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4.4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4.4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4.4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4.4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4.4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4.4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4.4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4.4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4.4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4.4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4.4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4.4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4.4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4.4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4.4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4.4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4.4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4.4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4.4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4.4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4.4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4.4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4.4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4.4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4.4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4.4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4.4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4.4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4.4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4.4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4.4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4.4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4.4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4.4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4.4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4.4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4.4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4.4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4.4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4.4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4.4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4.4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4.4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4.4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4.4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4.4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4.4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4.4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4.4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4.4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4.4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4.4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4.4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4.4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4.4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4.4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4.4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4.4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4.4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4.4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4.4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4.4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4.4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4.4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4.4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4.4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4.4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4.4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4.4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4.4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4.4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4.4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4.4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4.4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4.4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4.4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4.4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4.4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4.4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4.4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4.4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4.4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4.4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4.4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4.4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4.4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4.4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4.4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4.4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4.4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4.4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4.4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4.4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4.4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4.4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4.4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4.4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4.4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4.4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4.4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4.4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4.4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4.4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4.4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4.4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4.4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4.4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4.4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4.4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4.4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4.4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4.4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4.4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4.4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4.4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4.4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4.4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4.4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4.4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4.4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4.4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4.4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4.4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4.4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4.4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4.4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4.4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4.4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4.4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4.4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4.4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4.4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4.4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4.4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4.4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4.4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4.4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4.4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4.4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4.4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4.4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4.4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4.4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4.4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4.4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4.4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4.4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4.4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4.4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4.4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4.4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4.4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4.4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4.4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4.4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4.4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4.4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4.4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4.4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4.4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4.4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4.4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4.4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4.4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4.4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4.4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4.4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4.4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4.4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4.4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4.4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4.4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4.4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4.4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4.4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4.45" hidden="1" x14ac:dyDescent="0.25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4.45" hidden="1" x14ac:dyDescent="0.25">
      <c r="A2000" s="164"/>
      <c r="B2000" s="193"/>
      <c r="C2000" s="193"/>
      <c r="D2000" s="193"/>
      <c r="E2000" s="199"/>
      <c r="F2000" s="201"/>
      <c r="G2000" s="194"/>
      <c r="H2000" s="164"/>
      <c r="I2000" s="195"/>
      <c r="J2000" s="195"/>
      <c r="K2000" s="193"/>
      <c r="L2000" s="196"/>
      <c r="M2000" s="197"/>
      <c r="N2000" s="198"/>
      <c r="O2000" s="198"/>
      <c r="P2000" s="198"/>
      <c r="Q2000" s="198"/>
      <c r="R2000" s="198"/>
      <c r="S2000" s="193"/>
      <c r="T2000" s="194"/>
      <c r="U2000" s="210"/>
    </row>
    <row r="2001" spans="1:21" ht="14.45" hidden="1" x14ac:dyDescent="0.25">
      <c r="A2001" s="155"/>
      <c r="B2001" s="202"/>
      <c r="C2001" s="193"/>
      <c r="D2001" s="193"/>
      <c r="E2001" s="158"/>
      <c r="F2001" s="201"/>
      <c r="G2001" s="194"/>
      <c r="H2001" s="164"/>
      <c r="I2001" s="195"/>
      <c r="J2001" s="195"/>
      <c r="K2001" s="203"/>
      <c r="L2001" s="204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4.45" hidden="1" x14ac:dyDescent="0.25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22.5" hidden="1" customHeight="1" x14ac:dyDescent="0.25">
      <c r="A2003" s="155"/>
      <c r="B2003" s="205"/>
      <c r="C2003" s="153"/>
      <c r="D2003" s="153"/>
      <c r="E2003" s="158"/>
      <c r="F2003" s="169"/>
      <c r="G2003" s="154"/>
      <c r="H2003" s="155"/>
      <c r="I2003" s="189"/>
      <c r="J2003" s="189"/>
      <c r="K2003" s="206"/>
      <c r="L2003" s="207"/>
      <c r="M2003" s="181"/>
      <c r="N2003" s="157"/>
      <c r="O2003" s="157"/>
      <c r="P2003" s="157"/>
      <c r="Q2003" s="157"/>
      <c r="R2003" s="157"/>
      <c r="S2003" s="153"/>
      <c r="T2003" s="154"/>
      <c r="U2003" s="210"/>
    </row>
    <row r="2004" spans="1:21" ht="22.5" hidden="1" customHeight="1" x14ac:dyDescent="0.25">
      <c r="A2004" s="155"/>
      <c r="B2004" s="202"/>
      <c r="C2004" s="193"/>
      <c r="D2004" s="193"/>
      <c r="E2004" s="158"/>
      <c r="F2004" s="201"/>
      <c r="G2004" s="194"/>
      <c r="H2004" s="164"/>
      <c r="I2004" s="195"/>
      <c r="J2004" s="195"/>
      <c r="K2004" s="203"/>
      <c r="L2004" s="204"/>
      <c r="M2004" s="197"/>
      <c r="N2004" s="198"/>
      <c r="O2004" s="198"/>
      <c r="P2004" s="198"/>
      <c r="Q2004" s="198"/>
      <c r="R2004" s="198"/>
      <c r="S2004" s="193"/>
      <c r="T2004" s="194"/>
      <c r="U2004" s="210"/>
    </row>
    <row r="2005" spans="1:21" ht="22.5" hidden="1" customHeight="1" x14ac:dyDescent="0.25">
      <c r="A2005" s="155"/>
      <c r="B2005" s="205"/>
      <c r="C2005" s="153"/>
      <c r="D2005" s="153"/>
      <c r="E2005" s="158"/>
      <c r="F2005" s="169"/>
      <c r="G2005" s="154"/>
      <c r="H2005" s="155"/>
      <c r="I2005" s="189"/>
      <c r="J2005" s="189"/>
      <c r="K2005" s="206"/>
      <c r="L2005" s="207"/>
      <c r="M2005" s="181"/>
      <c r="N2005" s="157"/>
      <c r="O2005" s="157"/>
      <c r="P2005" s="157"/>
      <c r="Q2005" s="157"/>
      <c r="R2005" s="157"/>
      <c r="S2005" s="153"/>
      <c r="T2005" s="154"/>
      <c r="U2005" s="210"/>
    </row>
    <row r="2006" spans="1:21" ht="22.5" hidden="1" customHeight="1" x14ac:dyDescent="0.25">
      <c r="A2006" s="198"/>
      <c r="B2006" s="202"/>
      <c r="C2006" s="193"/>
      <c r="D2006" s="193"/>
      <c r="E2006" s="199"/>
      <c r="F2006" s="201"/>
      <c r="G2006" s="194"/>
      <c r="H2006" s="164"/>
      <c r="I2006" s="195"/>
      <c r="J2006" s="195"/>
      <c r="K2006" s="203"/>
      <c r="L2006" s="204"/>
      <c r="M2006" s="197"/>
      <c r="N2006" s="198"/>
      <c r="O2006" s="198"/>
      <c r="P2006" s="198"/>
      <c r="Q2006" s="198"/>
      <c r="R2006" s="198"/>
      <c r="S2006" s="193"/>
      <c r="T2006" s="194"/>
      <c r="U2006" s="213"/>
    </row>
    <row r="2008" spans="1:21" ht="22.5" customHeight="1" x14ac:dyDescent="0.25">
      <c r="E2008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6">
    <cfRule type="expression" dxfId="13" priority="3">
      <formula>TRIM(C2)="Realizado"</formula>
    </cfRule>
  </conditionalFormatting>
  <conditionalFormatting sqref="C2:C2006">
    <cfRule type="expression" dxfId="12" priority="4">
      <formula>TRIM(C2)="Cancelado"</formula>
    </cfRule>
  </conditionalFormatting>
  <conditionalFormatting sqref="C2:C2006">
    <cfRule type="expression" dxfId="11" priority="5">
      <formula>TRIM(C2)="Em andamento"</formula>
    </cfRule>
  </conditionalFormatting>
  <conditionalFormatting sqref="C2:C2006">
    <cfRule type="expression" dxfId="10" priority="6">
      <formula>TRIM(C2)="Adiado"</formula>
    </cfRule>
  </conditionalFormatting>
  <conditionalFormatting sqref="A2:A2006">
    <cfRule type="expression" dxfId="9" priority="7">
      <formula>AND($B2&lt;&gt;"",$A2="")</formula>
    </cfRule>
  </conditionalFormatting>
  <conditionalFormatting sqref="L2:M2006">
    <cfRule type="expression" dxfId="8" priority="8">
      <formula>L2=""</formula>
    </cfRule>
  </conditionalFormatting>
  <conditionalFormatting sqref="A2001:A2005 E2006 A714:S715 A2:T713 A716:T2000">
    <cfRule type="expression" dxfId="7" priority="9">
      <formula>MOD(ROW(),2)=0</formula>
    </cfRule>
  </conditionalFormatting>
  <conditionalFormatting sqref="A2001:A2005 E2006 A714:S715 A2:T713 A716:T2000">
    <cfRule type="expression" dxfId="6" priority="10">
      <formula>MOD(ROW(),2)=1</formula>
    </cfRule>
  </conditionalFormatting>
  <dataValidations disablePrompts="1"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5:I1048576 I712:J720 I706:J710 H2001:I2013 I743:J2000 I704:J704 I735:J738 I740:J741 I726:J733" xr:uid="{A71E4390-A059-418C-8F5C-AD2AF445253E}">
      <formula1>41640</formula1>
      <formula2>47848</formula2>
    </dataValidation>
    <dataValidation type="decimal" allowBlank="1" showInputMessage="1" showErrorMessage="1" sqref="K2015:K1048576 K2001:K2013 L2:L2000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1:S5000" xr:uid="{6DB71AA7-38AC-4D66-9C9B-78436ED7E932}">
      <formula1>ListaInstrutores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6" xr:uid="{EBA39D3E-8B6B-4EBC-AA3B-E360C1666579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6" xr:uid="{576DADEE-8432-40AC-A1D2-7CA5121BB2E5}">
      <formula1>OR(A2="",COUNTIF($A$2:$A$2000,A2)=1)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F499998:F1048576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E2015:E1048576 E2007:E2013 F519:F2000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C999:C2000 B2001:B1048576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J2015:J1048576 J2001:J2013 K2:K2000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F2015:F499997 F2001:F2013 G657:G2000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3059</v>
      </c>
      <c r="H1" s="167" t="s">
        <v>3060</v>
      </c>
    </row>
    <row r="2" spans="1:8" x14ac:dyDescent="0.25">
      <c r="H2" s="166" t="s">
        <v>3061</v>
      </c>
    </row>
    <row r="3" spans="1:8" x14ac:dyDescent="0.25">
      <c r="A3" t="s">
        <v>0</v>
      </c>
      <c r="B3" t="s">
        <v>19</v>
      </c>
      <c r="C3" t="s">
        <v>3062</v>
      </c>
      <c r="D3" t="s">
        <v>3063</v>
      </c>
      <c r="E3" t="s">
        <v>3064</v>
      </c>
      <c r="H3" s="166" t="s">
        <v>3065</v>
      </c>
    </row>
    <row r="4" spans="1:8" x14ac:dyDescent="0.25">
      <c r="A4">
        <v>1</v>
      </c>
      <c r="B4" t="s">
        <v>3066</v>
      </c>
      <c r="D4" t="s">
        <v>3067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3068</v>
      </c>
    </row>
    <row r="5" spans="1:8" x14ac:dyDescent="0.25">
      <c r="A5">
        <v>2</v>
      </c>
      <c r="B5" t="s">
        <v>2508</v>
      </c>
      <c r="D5" t="s">
        <v>3067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3069</v>
      </c>
    </row>
    <row r="6" spans="1:8" x14ac:dyDescent="0.25">
      <c r="A6">
        <v>3</v>
      </c>
      <c r="B6" t="s">
        <v>1031</v>
      </c>
      <c r="D6" t="s">
        <v>3067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3070</v>
      </c>
      <c r="D7" t="s">
        <v>3067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3071</v>
      </c>
    </row>
    <row r="8" spans="1:8" x14ac:dyDescent="0.25">
      <c r="A8">
        <v>5</v>
      </c>
      <c r="B8" t="s">
        <v>3072</v>
      </c>
      <c r="D8" t="s">
        <v>3067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3067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3067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3067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3067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3067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3067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3067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3067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3067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3067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3067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3067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3067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3067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3073</v>
      </c>
      <c r="D23" t="s">
        <v>3067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3067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3074</v>
      </c>
      <c r="D25" t="s">
        <v>3067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3075</v>
      </c>
      <c r="D26" t="s">
        <v>3067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3067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3067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3076</v>
      </c>
      <c r="D29" t="s">
        <v>3067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3067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3067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3067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3077</v>
      </c>
      <c r="D33" t="s">
        <v>3067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3078</v>
      </c>
      <c r="D34" t="s">
        <v>3067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3067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3067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3067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3079</v>
      </c>
      <c r="D38" t="s">
        <v>3067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3080</v>
      </c>
      <c r="D39" t="s">
        <v>3067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3067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3081</v>
      </c>
      <c r="D41" t="s">
        <v>3067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3067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3067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3082</v>
      </c>
      <c r="D44" t="s">
        <v>3067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3067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3067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3067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3067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3083</v>
      </c>
      <c r="D49" t="s">
        <v>3067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3067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3084</v>
      </c>
      <c r="D51" t="s">
        <v>3067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3067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3067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3085</v>
      </c>
      <c r="D54" t="s">
        <v>3067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3067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3067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3067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3086</v>
      </c>
      <c r="D58" t="s">
        <v>3067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3067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3067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3087</v>
      </c>
      <c r="D61" t="s">
        <v>3067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3088</v>
      </c>
      <c r="D62" t="s">
        <v>3067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3089</v>
      </c>
      <c r="D63" t="s">
        <v>3067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3090</v>
      </c>
      <c r="D64" t="s">
        <v>3067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3067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3067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3091</v>
      </c>
      <c r="D67" t="s">
        <v>3067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3092</v>
      </c>
      <c r="D68" t="s">
        <v>3067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3067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3093</v>
      </c>
      <c r="D70" t="s">
        <v>3067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3067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3067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3067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3094</v>
      </c>
      <c r="D74" t="s">
        <v>3067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3067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3067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3067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3067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3095</v>
      </c>
      <c r="D79" t="s">
        <v>3067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3096</v>
      </c>
      <c r="D80" t="s">
        <v>3067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3097</v>
      </c>
      <c r="D81" t="s">
        <v>3067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3098</v>
      </c>
      <c r="D82" t="s">
        <v>3067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3067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3099</v>
      </c>
      <c r="D84" t="s">
        <v>3067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3067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3100</v>
      </c>
      <c r="D86" t="s">
        <v>3067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3101</v>
      </c>
      <c r="D87" t="s">
        <v>3067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3102</v>
      </c>
      <c r="D88" t="s">
        <v>3067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3103</v>
      </c>
      <c r="D89" t="s">
        <v>3067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3104</v>
      </c>
      <c r="D90" t="s">
        <v>3067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3105</v>
      </c>
      <c r="D91" t="s">
        <v>3067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3106</v>
      </c>
      <c r="D92" t="s">
        <v>3067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3107</v>
      </c>
      <c r="D93" t="s">
        <v>3067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3108</v>
      </c>
      <c r="D94" t="s">
        <v>3067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3067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3109</v>
      </c>
      <c r="D96" t="s">
        <v>3067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3067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3110</v>
      </c>
      <c r="D98" t="s">
        <v>3067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3111</v>
      </c>
      <c r="D99" t="s">
        <v>3067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3112</v>
      </c>
      <c r="D100" t="s">
        <v>3067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3113</v>
      </c>
      <c r="D101" t="s">
        <v>3067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2714</v>
      </c>
      <c r="D102" t="s">
        <v>3067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3114</v>
      </c>
      <c r="D103" t="s">
        <v>3067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3115</v>
      </c>
      <c r="D104" t="s">
        <v>3067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3116</v>
      </c>
      <c r="D105" t="s">
        <v>3067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2867</v>
      </c>
      <c r="D106" t="s">
        <v>3067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2872</v>
      </c>
      <c r="D107" t="s">
        <v>3067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3117</v>
      </c>
      <c r="D108" t="s">
        <v>3067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3118</v>
      </c>
      <c r="D109" t="s">
        <v>3067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3119</v>
      </c>
      <c r="D110" t="s">
        <v>3067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3120</v>
      </c>
      <c r="D111" t="s">
        <v>3067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3121</v>
      </c>
      <c r="D112" t="s">
        <v>3067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3122</v>
      </c>
      <c r="D113" t="s">
        <v>3067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3123</v>
      </c>
      <c r="C1" s="18" t="s">
        <v>3124</v>
      </c>
      <c r="D1" s="18" t="s">
        <v>4</v>
      </c>
      <c r="E1" s="18" t="s">
        <v>3125</v>
      </c>
      <c r="F1" s="18" t="s">
        <v>19</v>
      </c>
      <c r="G1" s="18" t="s">
        <v>3126</v>
      </c>
      <c r="H1" s="18" t="s">
        <v>3127</v>
      </c>
      <c r="I1" s="18" t="s">
        <v>3128</v>
      </c>
      <c r="J1" s="18" t="s">
        <v>3129</v>
      </c>
      <c r="L1" s="109" t="s">
        <v>3130</v>
      </c>
      <c r="M1" s="22">
        <v>2026</v>
      </c>
      <c r="U1" s="79" t="s">
        <v>3131</v>
      </c>
      <c r="V1" s="78"/>
      <c r="X1" s="77" t="s">
        <v>3132</v>
      </c>
      <c r="Y1" s="26"/>
      <c r="Z1" s="26"/>
      <c r="AA1" s="26"/>
      <c r="AC1" s="99" t="s">
        <v>3133</v>
      </c>
    </row>
    <row r="2" spans="1:31" x14ac:dyDescent="0.25">
      <c r="A2" s="20" cm="1">
        <f t="array" aca="1" ref="A2:J15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3134</v>
      </c>
      <c r="M2" s="105" t="s">
        <v>2929</v>
      </c>
      <c r="X2" s="111" t="s">
        <v>3123</v>
      </c>
      <c r="Y2" s="111" t="s">
        <v>19</v>
      </c>
      <c r="Z2" s="111" t="s">
        <v>3135</v>
      </c>
      <c r="AA2" s="111" t="s">
        <v>3136</v>
      </c>
      <c r="AC2" s="112" t="s">
        <v>1</v>
      </c>
      <c r="AD2" s="112" t="s">
        <v>3137</v>
      </c>
      <c r="AE2" s="112" t="s">
        <v>3138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3139</v>
      </c>
      <c r="M3" s="110" t="s">
        <v>3140</v>
      </c>
      <c r="N3" s="110" t="s">
        <v>3141</v>
      </c>
      <c r="O3" s="110" t="s">
        <v>3142</v>
      </c>
      <c r="P3" s="110" t="s">
        <v>3143</v>
      </c>
      <c r="Q3" s="110" t="s">
        <v>3144</v>
      </c>
      <c r="R3" s="110" t="s">
        <v>3145</v>
      </c>
      <c r="S3" s="110" t="s">
        <v>3146</v>
      </c>
      <c r="T3" s="110" t="s">
        <v>3147</v>
      </c>
      <c r="X3" t="s">
        <v>2836</v>
      </c>
      <c r="Y3" t="s">
        <v>3080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997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3148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3080</v>
      </c>
      <c r="Z6">
        <v>1</v>
      </c>
      <c r="AA6">
        <v>0</v>
      </c>
      <c r="AC6" s="96">
        <v>2026</v>
      </c>
      <c r="AD6" s="17" t="s">
        <v>3149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3074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3092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3074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3092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3074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3092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3080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3080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3115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3111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3093</v>
      </c>
      <c r="Z33">
        <v>4</v>
      </c>
      <c r="AA33">
        <v>0.6</v>
      </c>
      <c r="AC33" s="98"/>
      <c r="AD33" s="113" t="s">
        <v>3150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3094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3112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3109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3108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2026-071</v>
      </c>
      <c r="N59" t="str">
        <f ca="1"/>
        <v>A realizar</v>
      </c>
      <c r="O59" t="str">
        <f ca="1"/>
        <v>UniTCDF: Engenharia civil (Adriana)</v>
      </c>
      <c r="P59">
        <f ca="1"/>
        <v>4</v>
      </c>
      <c r="Q59" t="str">
        <f ca="1"/>
        <v>Adriana Cuoco Portugal</v>
      </c>
      <c r="R59">
        <f ca="1"/>
        <v>1</v>
      </c>
      <c r="S59">
        <f ca="1"/>
        <v>133</v>
      </c>
      <c r="T59">
        <f ca="1"/>
        <v>132</v>
      </c>
      <c r="X59" t="s">
        <v>2749</v>
      </c>
      <c r="Y59" t="s">
        <v>3107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2026-072</v>
      </c>
      <c r="N60" t="str">
        <f ca="1"/>
        <v>Realizado</v>
      </c>
      <c r="O60" t="str">
        <f ca="1"/>
        <v>UniTCDF: Gestão Pública e Responsabilidade Fiscal (CEUB)</v>
      </c>
      <c r="P60">
        <f ca="1"/>
        <v>3</v>
      </c>
      <c r="Q60" t="str">
        <f ca="1"/>
        <v>Fernanda Viana de Souza; Túllio Herbeth Teixeira Moraes</v>
      </c>
      <c r="R60">
        <f ca="1"/>
        <v>2</v>
      </c>
      <c r="S60">
        <f ca="1"/>
        <v>135</v>
      </c>
      <c r="T60">
        <f ca="1"/>
        <v>133</v>
      </c>
      <c r="X60" t="s">
        <v>2749</v>
      </c>
      <c r="Y60" t="s">
        <v>3106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2026-077</v>
      </c>
      <c r="N61" t="str">
        <f ca="1"/>
        <v>A realizar</v>
      </c>
      <c r="O61" t="str">
        <f ca="1"/>
        <v>Exibição de filme: Consciência Negra</v>
      </c>
      <c r="P61">
        <f ca="1"/>
        <v>0</v>
      </c>
      <c r="Q61">
        <f ca="1"/>
        <v>0</v>
      </c>
      <c r="R61">
        <f ca="1"/>
        <v>1</v>
      </c>
      <c r="S61">
        <f ca="1"/>
        <v>136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2026-078</v>
      </c>
      <c r="N62" t="str">
        <f ca="1"/>
        <v>Realizado</v>
      </c>
      <c r="O62" t="str">
        <f ca="1"/>
        <v>Café e Tertúlia: Gincana dos Neurotransmissores</v>
      </c>
      <c r="P62">
        <f ca="1"/>
        <v>2</v>
      </c>
      <c r="Q62" t="str">
        <f ca="1"/>
        <v>Isac Mendes Caixeta de Pamplona Araújo; Valéria Feitoza; Cinthia Thais de Carvalho Luz Thomazi</v>
      </c>
      <c r="R62">
        <f ca="1"/>
        <v>3</v>
      </c>
      <c r="S62">
        <f ca="1"/>
        <v>139</v>
      </c>
      <c r="T62">
        <f ca="1"/>
        <v>136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2026-081</v>
      </c>
      <c r="N63" t="str">
        <f ca="1"/>
        <v>Realizado</v>
      </c>
      <c r="O63" t="str">
        <f ca="1"/>
        <v>Contratações de TIC com base na jurisprudência do TCDF - SGDI</v>
      </c>
      <c r="P63">
        <f ca="1"/>
        <v>8</v>
      </c>
      <c r="Q63" t="str">
        <f ca="1"/>
        <v>Felipe da Costa Malaquias</v>
      </c>
      <c r="R63">
        <f ca="1"/>
        <v>1</v>
      </c>
      <c r="S63">
        <f ca="1"/>
        <v>140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2026-082</v>
      </c>
      <c r="N64" t="str">
        <f ca="1"/>
        <v>Realizado</v>
      </c>
      <c r="O64" t="str">
        <f ca="1"/>
        <v>Curso de formação para gestores e fiscais de contrato nas unidades hospitalares – Turma 4</v>
      </c>
      <c r="P64">
        <f ca="1"/>
        <v>12</v>
      </c>
      <c r="Q64" t="str">
        <f ca="1"/>
        <v>Luciana Alvim; Tarsila Firmino Ely</v>
      </c>
      <c r="R64">
        <f ca="1"/>
        <v>2</v>
      </c>
      <c r="S64">
        <f ca="1"/>
        <v>142</v>
      </c>
      <c r="T64">
        <f ca="1"/>
        <v>140</v>
      </c>
      <c r="X64" t="s">
        <v>2702</v>
      </c>
      <c r="Y64" t="s">
        <v>3098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2026-083</v>
      </c>
      <c r="N65" t="str">
        <f ca="1"/>
        <v>Realizado</v>
      </c>
      <c r="O65" t="str">
        <f ca="1"/>
        <v>Oficina básica de Power Automate</v>
      </c>
      <c r="P65">
        <f ca="1"/>
        <v>9</v>
      </c>
      <c r="Q65" t="str">
        <f ca="1"/>
        <v>Josdeyvi Magalhães Russi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2026-084</v>
      </c>
      <c r="N66" t="str">
        <f ca="1"/>
        <v>A realizar</v>
      </c>
      <c r="O66" t="str">
        <f ca="1"/>
        <v>Oficina EmentAI: o seu assistente de IA na elaboração de ementas jurisprudenciais</v>
      </c>
      <c r="P66">
        <f ca="1"/>
        <v>4</v>
      </c>
      <c r="Q66" t="str">
        <f ca="1"/>
        <v>Caio Filipe</v>
      </c>
      <c r="R66">
        <f ca="1"/>
        <v>1</v>
      </c>
      <c r="S66">
        <f ca="1"/>
        <v>144</v>
      </c>
      <c r="T66">
        <f ca="1"/>
        <v>143</v>
      </c>
      <c r="X66" t="s">
        <v>2710</v>
      </c>
      <c r="Y66" t="s">
        <v>1480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2026-085</v>
      </c>
      <c r="N67" t="str">
        <f ca="1"/>
        <v>Realizado</v>
      </c>
      <c r="O67" t="str">
        <f ca="1"/>
        <v xml:space="preserve">Introdução à Engenharia de Prompt – T5 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146</v>
      </c>
      <c r="T67">
        <f ca="1"/>
        <v>144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2026-086</v>
      </c>
      <c r="N68" t="str">
        <f ca="1"/>
        <v>A realizar</v>
      </c>
      <c r="O68" t="str">
        <f ca="1"/>
        <v>Introdução à Engenharia de Prompt – T6</v>
      </c>
      <c r="P68">
        <f ca="1"/>
        <v>8</v>
      </c>
      <c r="Q68" t="str">
        <f ca="1"/>
        <v>Arthur Wú; Gustavo Takahashi</v>
      </c>
      <c r="R68">
        <f ca="1"/>
        <v>2</v>
      </c>
      <c r="S68">
        <f ca="1"/>
        <v>148</v>
      </c>
      <c r="T68">
        <f ca="1"/>
        <v>146</v>
      </c>
      <c r="X68" t="s">
        <v>2965</v>
      </c>
      <c r="Y68" t="s">
        <v>3096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2026-087</v>
      </c>
      <c r="N69" t="str">
        <f ca="1"/>
        <v>Realizado</v>
      </c>
      <c r="O69" t="str">
        <f ca="1"/>
        <v>Café e Tertúlia - Show de Talentos</v>
      </c>
      <c r="P69">
        <f ca="1"/>
        <v>2</v>
      </c>
      <c r="Q69" t="str">
        <f ca="1"/>
        <v>Isac Mendes Caixeta de Pamplona Araújo; Valéria Feitoza; Cinthia Thais de Carvalho Luz Thomazi</v>
      </c>
      <c r="R69">
        <f ca="1"/>
        <v>3</v>
      </c>
      <c r="S69">
        <f ca="1"/>
        <v>151</v>
      </c>
      <c r="T69">
        <f ca="1"/>
        <v>148</v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2026-092</v>
      </c>
      <c r="N70" t="str">
        <f ca="1"/>
        <v>Realizado</v>
      </c>
      <c r="O70" t="str">
        <f ca="1"/>
        <v>MROSC para servidores do GDF</v>
      </c>
      <c r="P70">
        <f ca="1"/>
        <v>12</v>
      </c>
      <c r="Q70" t="str">
        <f ca="1"/>
        <v>Indio Artiaga do Brasil Rabelo; Leonardo de Melo</v>
      </c>
      <c r="R70">
        <f ca="1"/>
        <v>2</v>
      </c>
      <c r="S70">
        <f ca="1"/>
        <v>153</v>
      </c>
      <c r="T70">
        <f ca="1"/>
        <v>151</v>
      </c>
      <c r="X70" t="s">
        <v>2823</v>
      </c>
      <c r="Y70" s="17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153</v>
      </c>
      <c r="X71" t="s">
        <v>2823</v>
      </c>
      <c r="Y71" s="17" t="s">
        <v>3080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3099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3103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3086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3086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3086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3152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3152</v>
      </c>
      <c r="Y87" t="s">
        <v>3098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3152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3050</v>
      </c>
      <c r="Y89" t="s">
        <v>3085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3054</v>
      </c>
      <c r="Y90" t="s">
        <v>3119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2026-071</v>
      </c>
      <c r="C134" t="str">
        <f ca="1"/>
        <v>A realizar</v>
      </c>
      <c r="D134" t="str">
        <f ca="1"/>
        <v>UniTCDF: Engenharia civil (Adriana)</v>
      </c>
      <c r="E134">
        <f ca="1"/>
        <v>4</v>
      </c>
      <c r="F134" t="str">
        <f ca="1"/>
        <v>Adriana Cuoco Portugal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Fernanda Viana de Souza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2026-072</v>
      </c>
      <c r="C136" t="str">
        <f ca="1"/>
        <v>Realizado</v>
      </c>
      <c r="D136" t="str">
        <f ca="1"/>
        <v>UniTCDF: Gestão Pública e Responsabilidade Fiscal (CEUB)</v>
      </c>
      <c r="E136">
        <f ca="1"/>
        <v>3</v>
      </c>
      <c r="F136" t="str">
        <f ca="1"/>
        <v>Túllio Herbeth Teixeira Moraes</v>
      </c>
      <c r="G136">
        <f ca="1"/>
        <v>2</v>
      </c>
      <c r="H136">
        <f ca="1"/>
        <v>3</v>
      </c>
      <c r="I136">
        <f ca="1"/>
        <v>0.89999999999999991</v>
      </c>
      <c r="J136">
        <f ca="1"/>
        <v>3.9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2026-077</v>
      </c>
      <c r="C137" t="str">
        <f ca="1"/>
        <v>A realizar</v>
      </c>
      <c r="D137" t="str">
        <f ca="1"/>
        <v>Exibição de filme: Consciência Negra</v>
      </c>
      <c r="E137">
        <f ca="1"/>
        <v>0</v>
      </c>
      <c r="F137" t="str">
        <f ca="1"/>
        <v>0</v>
      </c>
      <c r="G137">
        <f ca="1"/>
        <v>1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2026-078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2026-078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2026-078</v>
      </c>
      <c r="C140" t="str">
        <f ca="1"/>
        <v>Realizado</v>
      </c>
      <c r="D140" t="str">
        <f ca="1"/>
        <v>Café e Tertúlia: Gincana dos Neurotransmissores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2026-081</v>
      </c>
      <c r="C141" t="str">
        <f ca="1"/>
        <v>Realizado</v>
      </c>
      <c r="D141" t="str">
        <f ca="1"/>
        <v>Contratações de TIC com base na jurisprudência do TCDF - SGDI</v>
      </c>
      <c r="E141">
        <f ca="1"/>
        <v>8</v>
      </c>
      <c r="F141" t="str">
        <f ca="1"/>
        <v>Felipe da Costa Malaquias</v>
      </c>
      <c r="G141">
        <f ca="1"/>
        <v>1</v>
      </c>
      <c r="H141">
        <f ca="1"/>
        <v>8</v>
      </c>
      <c r="I141">
        <f ca="1"/>
        <v>2.4</v>
      </c>
      <c r="J141">
        <f ca="1"/>
        <v>10.4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Luciana Alvim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2026-082</v>
      </c>
      <c r="C143" t="str">
        <f ca="1"/>
        <v>Realizado</v>
      </c>
      <c r="D143" t="str">
        <f ca="1"/>
        <v>Curso de formação para gestores e fiscais de contrato nas unidades hospitalares – Turma 4</v>
      </c>
      <c r="E143">
        <f ca="1"/>
        <v>12</v>
      </c>
      <c r="F143" t="str">
        <f ca="1"/>
        <v>Tarsila Firmino Ely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2026-083</v>
      </c>
      <c r="C144" t="str">
        <f ca="1"/>
        <v>Realizado</v>
      </c>
      <c r="D144" t="str">
        <f ca="1"/>
        <v>Oficina básica de Power Automate</v>
      </c>
      <c r="E144">
        <f ca="1"/>
        <v>9</v>
      </c>
      <c r="F144" t="str">
        <f ca="1"/>
        <v>Josdeyvi Magalhães Russi</v>
      </c>
      <c r="G144">
        <f ca="1"/>
        <v>1</v>
      </c>
      <c r="H144">
        <f ca="1"/>
        <v>9</v>
      </c>
      <c r="I144">
        <f ca="1"/>
        <v>2.6999999999999997</v>
      </c>
      <c r="J144">
        <f ca="1"/>
        <v>11.7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2026-084</v>
      </c>
      <c r="C145" t="str">
        <f ca="1"/>
        <v>A realizar</v>
      </c>
      <c r="D145" t="str">
        <f ca="1"/>
        <v>Oficina EmentAI: o seu assistente de IA na elaboração de ementas jurisprudenciais</v>
      </c>
      <c r="E145">
        <f ca="1"/>
        <v>4</v>
      </c>
      <c r="F145" t="str">
        <f ca="1"/>
        <v>Caio Filipe</v>
      </c>
      <c r="G145">
        <f ca="1"/>
        <v>1</v>
      </c>
      <c r="H145">
        <f ca="1"/>
        <v>4</v>
      </c>
      <c r="I145">
        <f ca="1"/>
        <v>1.2</v>
      </c>
      <c r="J145">
        <f ca="1"/>
        <v>5.2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Arthur Wú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2026-085</v>
      </c>
      <c r="C147" t="str">
        <f ca="1"/>
        <v>Realizado</v>
      </c>
      <c r="D147" t="str">
        <f ca="1"/>
        <v xml:space="preserve">Introdução à Engenharia de Prompt – T5 </v>
      </c>
      <c r="E147">
        <f ca="1"/>
        <v>8</v>
      </c>
      <c r="F147" t="str">
        <f ca="1"/>
        <v>Gustavo Takahashi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Arthur Wú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2026-086</v>
      </c>
      <c r="C149" t="str">
        <f ca="1"/>
        <v>A realizar</v>
      </c>
      <c r="D149" t="str">
        <f ca="1"/>
        <v>Introdução à Engenharia de Prompt – T6</v>
      </c>
      <c r="E149">
        <f ca="1"/>
        <v>8</v>
      </c>
      <c r="F149" t="str">
        <f ca="1"/>
        <v>Gustavo Takahashi</v>
      </c>
      <c r="G149">
        <f ca="1"/>
        <v>2</v>
      </c>
      <c r="H149">
        <f ca="1"/>
        <v>8</v>
      </c>
      <c r="I149">
        <f ca="1"/>
        <v>2.4</v>
      </c>
      <c r="J149">
        <f ca="1"/>
        <v>10.4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Isac Mendes Caixeta de Pamplona Araújo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Valéria Feitoza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2026-087</v>
      </c>
      <c r="C152" t="str">
        <f ca="1"/>
        <v>Realizado</v>
      </c>
      <c r="D152" t="str">
        <f ca="1"/>
        <v>Café e Tertúlia - Show de Talentos</v>
      </c>
      <c r="E152">
        <f ca="1"/>
        <v>2</v>
      </c>
      <c r="F152" t="str">
        <f ca="1"/>
        <v>Cinthia Thais de Carvalho Luz Thomazi</v>
      </c>
      <c r="G152">
        <f ca="1"/>
        <v>3</v>
      </c>
      <c r="H152">
        <f ca="1"/>
        <v>2</v>
      </c>
      <c r="I152">
        <f ca="1"/>
        <v>0.6</v>
      </c>
      <c r="J152">
        <f ca="1"/>
        <v>2.6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Indio Artiaga do Brasil Rabelo</v>
      </c>
      <c r="G153">
        <f ca="1"/>
        <v>2</v>
      </c>
      <c r="H153">
        <f ca="1"/>
        <v>12</v>
      </c>
      <c r="I153">
        <f ca="1"/>
        <v>3.5999999999999996</v>
      </c>
      <c r="J153">
        <f ca="1"/>
        <v>15.6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2026-092</v>
      </c>
      <c r="C154" t="str">
        <f ca="1"/>
        <v>Realizado</v>
      </c>
      <c r="D154" t="str">
        <f ca="1"/>
        <v>MROSC para servidores do GDF</v>
      </c>
      <c r="E154">
        <f ca="1"/>
        <v>12</v>
      </c>
      <c r="F154" t="str">
        <f ca="1"/>
        <v>Leonardo de Melo</v>
      </c>
      <c r="G154">
        <f ca="1"/>
        <v>2</v>
      </c>
      <c r="H154">
        <f ca="1"/>
        <v>0</v>
      </c>
      <c r="I154">
        <f ca="1"/>
        <v>0</v>
      </c>
      <c r="J154">
        <f ca="1"/>
        <v>0</v>
      </c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3153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9" t="s">
        <v>3154</v>
      </c>
      <c r="B4" s="220"/>
      <c r="D4" s="221" t="s">
        <v>3155</v>
      </c>
      <c r="E4" s="222"/>
      <c r="G4" s="44" t="s">
        <v>3156</v>
      </c>
    </row>
    <row r="5" spans="1:7" ht="54.95" customHeight="1" thickBot="1" x14ac:dyDescent="0.75">
      <c r="A5" s="34">
        <f>COUNTIF('Ações InCompany'!B:B,2026)</f>
        <v>92</v>
      </c>
      <c r="B5" s="35" t="s">
        <v>3157</v>
      </c>
      <c r="D5" s="42">
        <f>COUNTIFS('Ações InCompany'!B:B,2026,'Ações InCompany'!C:C,"Realizado")</f>
        <v>67</v>
      </c>
      <c r="E5" s="43" t="s">
        <v>3157</v>
      </c>
      <c r="G5" s="45">
        <f>COUNTIFS('Ações InCompany'!B:B,2026,'Ações InCompany'!C:C,"A realizar")</f>
        <v>16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6" t="s">
        <v>3158</v>
      </c>
      <c r="B8" s="216"/>
      <c r="D8" s="216" t="s">
        <v>3159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7" t="s">
        <v>5</v>
      </c>
      <c r="B10" s="27" t="s">
        <v>3160</v>
      </c>
      <c r="D10" s="27" t="s">
        <v>3161</v>
      </c>
      <c r="E10" s="27" t="s">
        <v>3162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3163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3164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3165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3166</v>
      </c>
      <c r="B14" s="33">
        <f>SUM(B11:B13)</f>
        <v>67</v>
      </c>
      <c r="D14" s="32" t="s">
        <v>3167</v>
      </c>
      <c r="E14" s="33">
        <f>SUM(E11:E13)</f>
        <v>3539</v>
      </c>
    </row>
    <row r="30" spans="1:5" ht="17.25" x14ac:dyDescent="0.3">
      <c r="A30" s="216" t="s">
        <v>3168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7" t="s">
        <v>6</v>
      </c>
      <c r="B32" s="27" t="s">
        <v>3169</v>
      </c>
      <c r="C32" s="27" t="s">
        <v>3170</v>
      </c>
      <c r="D32" s="27" t="s">
        <v>3171</v>
      </c>
      <c r="E32" s="27" t="s">
        <v>3172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0.26506024096385544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4.8192771084337352E-2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0.10843373493975904</v>
      </c>
    </row>
    <row r="36" spans="1:5" ht="24" customHeight="1" x14ac:dyDescent="0.25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2.4096385542168676E-2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0.12048192771084337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6</v>
      </c>
      <c r="D38" s="38">
        <f t="shared" si="0"/>
        <v>21</v>
      </c>
      <c r="E38" s="39">
        <f t="shared" si="1"/>
        <v>0.25301204819277107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4.8192771084337352E-2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2.4096385542168676E-2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8.4337349397590355E-2</v>
      </c>
    </row>
    <row r="42" spans="1:5" ht="24" customHeight="1" x14ac:dyDescent="0.25">
      <c r="A42" s="74" t="s">
        <v>3173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2.4096385542168676E-2</v>
      </c>
    </row>
    <row r="44" spans="1:5" ht="24" customHeight="1" x14ac:dyDescent="0.25">
      <c r="A44" s="66" t="s">
        <v>3174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3166</v>
      </c>
      <c r="B45" s="40">
        <f>SUM(B33:B44)</f>
        <v>67</v>
      </c>
      <c r="C45" s="40">
        <f>SUM(C33:C44)</f>
        <v>16</v>
      </c>
      <c r="D45" s="40">
        <f>SUM(D33:D44)</f>
        <v>83</v>
      </c>
      <c r="E45" s="41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 x14ac:dyDescent="0.25">
      <c r="A2" s="11" t="s">
        <v>3180</v>
      </c>
      <c r="B2" s="11" t="s">
        <v>3181</v>
      </c>
      <c r="C2" s="11" t="s">
        <v>1737</v>
      </c>
      <c r="D2" s="11" t="s">
        <v>3182</v>
      </c>
      <c r="E2" s="11" t="s">
        <v>3183</v>
      </c>
    </row>
    <row r="3" spans="1:5" ht="18" customHeight="1" x14ac:dyDescent="0.25">
      <c r="A3" s="11" t="s">
        <v>3180</v>
      </c>
      <c r="B3" s="11" t="s">
        <v>3181</v>
      </c>
      <c r="C3" s="13" t="s">
        <v>26</v>
      </c>
      <c r="D3" s="11" t="s">
        <v>3184</v>
      </c>
      <c r="E3" s="11" t="s">
        <v>3185</v>
      </c>
    </row>
    <row r="4" spans="1:5" ht="18" customHeight="1" x14ac:dyDescent="0.25">
      <c r="A4" s="11" t="s">
        <v>3180</v>
      </c>
      <c r="B4" s="11" t="s">
        <v>3181</v>
      </c>
      <c r="C4" s="11" t="s">
        <v>76</v>
      </c>
      <c r="D4" s="11" t="s">
        <v>3182</v>
      </c>
      <c r="E4" s="11" t="s">
        <v>3186</v>
      </c>
    </row>
    <row r="5" spans="1:5" ht="18" customHeight="1" x14ac:dyDescent="0.25">
      <c r="A5" s="11" t="s">
        <v>3180</v>
      </c>
      <c r="B5" s="11" t="s">
        <v>3181</v>
      </c>
      <c r="C5" s="11" t="s">
        <v>80</v>
      </c>
      <c r="D5" s="11" t="s">
        <v>3187</v>
      </c>
      <c r="E5" s="11" t="s">
        <v>3188</v>
      </c>
    </row>
    <row r="6" spans="1:5" ht="18" customHeight="1" x14ac:dyDescent="0.25">
      <c r="A6" s="11" t="s">
        <v>3180</v>
      </c>
      <c r="B6" s="11" t="s">
        <v>3181</v>
      </c>
      <c r="C6" s="11" t="s">
        <v>2718</v>
      </c>
      <c r="D6" s="11" t="s">
        <v>3189</v>
      </c>
      <c r="E6" s="11" t="s">
        <v>3190</v>
      </c>
    </row>
    <row r="7" spans="1:5" ht="18" customHeight="1" x14ac:dyDescent="0.25">
      <c r="A7" s="11" t="s">
        <v>3180</v>
      </c>
      <c r="B7" s="11" t="s">
        <v>3191</v>
      </c>
      <c r="C7" s="11" t="s">
        <v>37</v>
      </c>
      <c r="D7" s="11" t="s">
        <v>3192</v>
      </c>
      <c r="E7" s="11" t="s">
        <v>3193</v>
      </c>
    </row>
    <row r="8" spans="1:5" ht="18" customHeight="1" x14ac:dyDescent="0.25">
      <c r="A8" s="11" t="s">
        <v>3180</v>
      </c>
      <c r="B8" s="11" t="s">
        <v>3191</v>
      </c>
      <c r="C8" s="11" t="s">
        <v>43</v>
      </c>
      <c r="D8" s="11" t="s">
        <v>3194</v>
      </c>
      <c r="E8" s="11" t="s">
        <v>3195</v>
      </c>
    </row>
    <row r="9" spans="1:5" ht="18" customHeight="1" x14ac:dyDescent="0.25">
      <c r="A9" s="11" t="s">
        <v>3180</v>
      </c>
      <c r="B9" s="11" t="s">
        <v>3196</v>
      </c>
      <c r="C9" s="11" t="s">
        <v>465</v>
      </c>
      <c r="D9" s="11" t="s">
        <v>3197</v>
      </c>
      <c r="E9" s="11" t="s">
        <v>3198</v>
      </c>
    </row>
    <row r="10" spans="1:5" ht="18" customHeight="1" x14ac:dyDescent="0.25">
      <c r="A10" s="11" t="s">
        <v>3180</v>
      </c>
      <c r="B10" s="11" t="s">
        <v>3196</v>
      </c>
      <c r="C10" s="11" t="s">
        <v>207</v>
      </c>
      <c r="D10" s="11" t="s">
        <v>25</v>
      </c>
      <c r="E10" s="11" t="s">
        <v>3199</v>
      </c>
    </row>
    <row r="11" spans="1:5" ht="18" customHeight="1" x14ac:dyDescent="0.25">
      <c r="A11" s="11" t="s">
        <v>3180</v>
      </c>
      <c r="B11" s="11" t="s">
        <v>3196</v>
      </c>
      <c r="C11" s="11" t="s">
        <v>372</v>
      </c>
      <c r="D11" s="11" t="s">
        <v>25</v>
      </c>
      <c r="E11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3201</v>
      </c>
      <c r="B1" s="5" t="s">
        <v>10</v>
      </c>
      <c r="C1" s="14" t="s">
        <v>3202</v>
      </c>
      <c r="D1" s="14" t="s">
        <v>3124</v>
      </c>
    </row>
    <row r="2" spans="1:4" ht="21" customHeight="1" x14ac:dyDescent="0.25">
      <c r="A2" s="102" t="s">
        <v>25</v>
      </c>
      <c r="B2" s="102" t="s">
        <v>39</v>
      </c>
      <c r="C2" s="11" t="s">
        <v>3203</v>
      </c>
      <c r="D2" s="11" t="s">
        <v>2711</v>
      </c>
    </row>
    <row r="3" spans="1:4" ht="21" customHeight="1" x14ac:dyDescent="0.25">
      <c r="A3" s="11" t="s">
        <v>70</v>
      </c>
      <c r="B3" s="102" t="s">
        <v>28</v>
      </c>
      <c r="C3" s="11" t="s">
        <v>3204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3055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3175</v>
      </c>
      <c r="B1" s="11" t="s">
        <v>3176</v>
      </c>
      <c r="C1" s="12" t="s">
        <v>3177</v>
      </c>
      <c r="D1" s="12" t="s">
        <v>3178</v>
      </c>
      <c r="E1" s="12" t="s">
        <v>3179</v>
      </c>
    </row>
    <row r="2" spans="1:5" ht="18" customHeight="1" x14ac:dyDescent="0.25">
      <c r="A2" s="11" t="s">
        <v>3206</v>
      </c>
      <c r="B2" s="11" t="s">
        <v>3181</v>
      </c>
      <c r="C2" s="13" t="s">
        <v>26</v>
      </c>
      <c r="D2" s="11" t="s">
        <v>3182</v>
      </c>
      <c r="E2" s="16" t="s">
        <v>3207</v>
      </c>
    </row>
    <row r="3" spans="1:5" ht="18" customHeight="1" x14ac:dyDescent="0.25">
      <c r="A3" s="11" t="s">
        <v>3206</v>
      </c>
      <c r="B3" s="11" t="s">
        <v>3181</v>
      </c>
      <c r="C3" s="11" t="s">
        <v>76</v>
      </c>
      <c r="D3" s="11" t="s">
        <v>3184</v>
      </c>
      <c r="E3" s="11" t="s">
        <v>3208</v>
      </c>
    </row>
    <row r="4" spans="1:5" ht="18" customHeight="1" x14ac:dyDescent="0.25">
      <c r="A4" s="11" t="s">
        <v>3206</v>
      </c>
      <c r="B4" s="11" t="s">
        <v>3181</v>
      </c>
      <c r="C4" s="11" t="s">
        <v>80</v>
      </c>
      <c r="D4" s="11" t="s">
        <v>3187</v>
      </c>
      <c r="E4" s="11" t="s">
        <v>3209</v>
      </c>
    </row>
    <row r="5" spans="1:5" ht="27.75" customHeight="1" x14ac:dyDescent="0.25">
      <c r="A5" s="11" t="s">
        <v>3206</v>
      </c>
      <c r="B5" s="11" t="s">
        <v>3181</v>
      </c>
      <c r="C5" s="11" t="s">
        <v>2694</v>
      </c>
      <c r="D5" s="16" t="s">
        <v>3210</v>
      </c>
      <c r="E5" s="11" t="s">
        <v>3211</v>
      </c>
    </row>
    <row r="6" spans="1:5" ht="18" customHeight="1" x14ac:dyDescent="0.25">
      <c r="A6" s="11" t="s">
        <v>3206</v>
      </c>
      <c r="B6" s="11" t="s">
        <v>3181</v>
      </c>
      <c r="C6" s="11" t="s">
        <v>2718</v>
      </c>
      <c r="D6" s="11" t="s">
        <v>3189</v>
      </c>
      <c r="E6" s="11" t="s">
        <v>3190</v>
      </c>
    </row>
    <row r="7" spans="1:5" ht="18" customHeight="1" x14ac:dyDescent="0.25">
      <c r="A7" s="11" t="s">
        <v>3206</v>
      </c>
      <c r="B7" s="11" t="s">
        <v>3191</v>
      </c>
      <c r="C7" s="11" t="s">
        <v>2700</v>
      </c>
      <c r="D7" s="11" t="s">
        <v>3212</v>
      </c>
      <c r="E7" s="11" t="s">
        <v>3213</v>
      </c>
    </row>
    <row r="8" spans="1:5" ht="18" customHeight="1" x14ac:dyDescent="0.25">
      <c r="A8" s="11" t="s">
        <v>3206</v>
      </c>
      <c r="B8" s="11" t="s">
        <v>3191</v>
      </c>
      <c r="C8" s="11" t="s">
        <v>43</v>
      </c>
      <c r="D8" s="11" t="s">
        <v>3194</v>
      </c>
      <c r="E8" s="11" t="s">
        <v>3195</v>
      </c>
    </row>
    <row r="9" spans="1:5" ht="18" customHeight="1" x14ac:dyDescent="0.25">
      <c r="A9" s="11" t="s">
        <v>3206</v>
      </c>
      <c r="B9" s="11" t="s">
        <v>3191</v>
      </c>
      <c r="C9" s="11" t="s">
        <v>2793</v>
      </c>
      <c r="D9" s="11" t="s">
        <v>3214</v>
      </c>
      <c r="E9" s="16" t="s">
        <v>3215</v>
      </c>
    </row>
    <row r="10" spans="1:5" ht="18" customHeight="1" x14ac:dyDescent="0.25">
      <c r="A10" s="11" t="s">
        <v>3206</v>
      </c>
      <c r="B10" s="11" t="s">
        <v>3216</v>
      </c>
      <c r="C10" s="11" t="s">
        <v>3173</v>
      </c>
      <c r="D10" s="11" t="s">
        <v>3217</v>
      </c>
      <c r="E10" s="16" t="s">
        <v>3218</v>
      </c>
    </row>
    <row r="11" spans="1:5" ht="18" customHeight="1" x14ac:dyDescent="0.25">
      <c r="A11" s="11" t="s">
        <v>3206</v>
      </c>
      <c r="B11" s="11" t="s">
        <v>3216</v>
      </c>
      <c r="C11" s="11" t="s">
        <v>207</v>
      </c>
      <c r="D11" s="11" t="s">
        <v>25</v>
      </c>
      <c r="E11" s="11" t="s">
        <v>3199</v>
      </c>
    </row>
    <row r="12" spans="1:5" ht="18" customHeight="1" x14ac:dyDescent="0.25">
      <c r="A12" s="11" t="s">
        <v>3206</v>
      </c>
      <c r="B12" s="11" t="s">
        <v>3216</v>
      </c>
      <c r="C12" s="11" t="s">
        <v>372</v>
      </c>
      <c r="D12" s="11" t="s">
        <v>25</v>
      </c>
      <c r="E12" s="11" t="s">
        <v>3200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3219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8" t="s">
        <v>3220</v>
      </c>
    </row>
    <row r="4" spans="1:8" ht="21.95" customHeight="1" x14ac:dyDescent="0.25">
      <c r="A4" s="224" t="s">
        <v>3221</v>
      </c>
      <c r="B4" s="225"/>
      <c r="D4" s="224" t="s">
        <v>3222</v>
      </c>
      <c r="E4" s="225"/>
      <c r="G4" s="224" t="s">
        <v>3223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1" t="s">
        <v>3224</v>
      </c>
      <c r="B7" s="61" t="s">
        <v>3225</v>
      </c>
      <c r="C7" s="61" t="s">
        <v>1</v>
      </c>
      <c r="D7" s="61" t="s">
        <v>3226</v>
      </c>
      <c r="E7" s="61" t="s">
        <v>3227</v>
      </c>
      <c r="F7" s="61" t="s">
        <v>3124</v>
      </c>
      <c r="G7" s="61" t="s">
        <v>5</v>
      </c>
      <c r="H7" s="61" t="s">
        <v>3228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3229</v>
      </c>
      <c r="B1" s="229"/>
      <c r="C1" s="229"/>
      <c r="D1" s="229"/>
      <c r="E1" s="229"/>
      <c r="F1" s="229"/>
    </row>
    <row r="2" spans="1:7" x14ac:dyDescent="0.25">
      <c r="A2" s="230" t="s">
        <v>3230</v>
      </c>
      <c r="B2" s="230"/>
      <c r="C2" s="230"/>
      <c r="D2" s="230"/>
      <c r="E2" s="230"/>
      <c r="F2" s="230"/>
    </row>
    <row r="4" spans="1:7" x14ac:dyDescent="0.25">
      <c r="A4" s="24" t="s">
        <v>19</v>
      </c>
      <c r="B4" s="24" t="s">
        <v>3127</v>
      </c>
      <c r="C4" s="24" t="s">
        <v>3128</v>
      </c>
      <c r="D4" s="24" t="s">
        <v>3231</v>
      </c>
      <c r="E4" s="24" t="s">
        <v>3129</v>
      </c>
      <c r="F4" s="24" t="s">
        <v>3232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16</v>
      </c>
      <c r="C6" s="25">
        <f ca="1">IF($A6="","",SUMIFS('GECC 2026'!I$2:I$200,'GECC 2026'!F$2:F$200,$A6))</f>
        <v>4.8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20.8</v>
      </c>
      <c r="F6" s="23">
        <f ca="1">IF($A6="","",COUNTIFS('GECC 2026'!F$2:F$200,$A6))</f>
        <v>4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49</v>
      </c>
      <c r="C17" s="25">
        <f ca="1">IF($A17="","",SUMIFS('GECC 2026'!I$2:I$200,'GECC 2026'!F$2:F$200,$A17))</f>
        <v>11.099999999999998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60.100000000000016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3167</v>
      </c>
      <c r="B105" s="94">
        <f ca="1">SUM(B5:B100)</f>
        <v>882</v>
      </c>
      <c r="C105" s="94">
        <f ca="1">SUM(C5:C100)</f>
        <v>392.93999999999994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3233</v>
      </c>
      <c r="B1" s="116" t="s">
        <v>3234</v>
      </c>
      <c r="C1" s="116" t="s">
        <v>3235</v>
      </c>
      <c r="D1" s="116" t="s">
        <v>3236</v>
      </c>
      <c r="E1" s="116" t="s">
        <v>3237</v>
      </c>
      <c r="F1" s="116" t="s">
        <v>3238</v>
      </c>
      <c r="G1" s="116" t="s">
        <v>10</v>
      </c>
      <c r="H1" s="116" t="s">
        <v>3239</v>
      </c>
      <c r="I1" s="116" t="s">
        <v>3240</v>
      </c>
      <c r="J1" s="116" t="s">
        <v>3241</v>
      </c>
      <c r="K1" s="116" t="s">
        <v>3242</v>
      </c>
      <c r="L1" s="116" t="s">
        <v>3243</v>
      </c>
      <c r="N1" s="116" t="s">
        <v>3244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3245</v>
      </c>
      <c r="L2" t="str">
        <f>IF(K2="","",IFERROR(INDEX(Tabela2[Curso],MATCH(K2,Tabela2[ID],0)),""))</f>
        <v/>
      </c>
      <c r="N2" s="116" t="s">
        <v>3123</v>
      </c>
      <c r="O2" s="116" t="s">
        <v>4</v>
      </c>
      <c r="P2" s="116" t="s">
        <v>3246</v>
      </c>
      <c r="Q2" s="116" t="s">
        <v>3247</v>
      </c>
      <c r="R2" s="116" t="s">
        <v>3248</v>
      </c>
      <c r="S2" s="116" t="s">
        <v>3249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3245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3245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3245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3245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3245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3245</v>
      </c>
      <c r="L10" t="str">
        <f>IF(K10="","",IFERROR(INDEX(Tabela2[Curso],MATCH(K10,Tabela2[ID],0)),""))</f>
        <v/>
      </c>
      <c r="N10" s="110" t="s">
        <v>3250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3245</v>
      </c>
      <c r="L11" t="str">
        <f>IF(K11="","",IFERROR(INDEX(Tabela2[Curso],MATCH(K11,Tabela2[ID],0)),""))</f>
        <v/>
      </c>
      <c r="N11" s="208" t="s">
        <v>3251</v>
      </c>
      <c r="O11" s="208" t="s">
        <v>3252</v>
      </c>
      <c r="P11" s="208" t="s">
        <v>3253</v>
      </c>
      <c r="Q11" s="208" t="s">
        <v>3236</v>
      </c>
      <c r="R11" s="208" t="s">
        <v>3237</v>
      </c>
      <c r="S11" s="208" t="s">
        <v>3254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3245</v>
      </c>
      <c r="L12" t="str">
        <f>IF(K12="","",IFERROR(INDEX(Tabela2[Curso],MATCH(K12,Tabela2[ID],0)),""))</f>
        <v/>
      </c>
      <c r="N12" t="s">
        <v>3255</v>
      </c>
      <c r="O12" t="s">
        <v>2754</v>
      </c>
      <c r="P12" t="s">
        <v>3256</v>
      </c>
      <c r="Q12">
        <v>0</v>
      </c>
      <c r="R12">
        <v>0</v>
      </c>
      <c r="S12" t="s">
        <v>3257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3245</v>
      </c>
      <c r="L13" t="str">
        <f>IF(K13="","",IFERROR(INDEX(Tabela2[Curso],MATCH(K13,Tabela2[ID],0)),""))</f>
        <v/>
      </c>
      <c r="N13" t="s">
        <v>3258</v>
      </c>
      <c r="O13" t="s">
        <v>2686</v>
      </c>
      <c r="P13" t="s">
        <v>3259</v>
      </c>
      <c r="Q13">
        <v>0</v>
      </c>
      <c r="R13">
        <v>0</v>
      </c>
      <c r="S13" t="s">
        <v>3260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fe686eaa-0658-4f15-b230-9e46c4d089fd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elements/1.1/"/>
    <ds:schemaRef ds:uri="http://schemas.microsoft.com/office/infopath/2007/PartnerControls"/>
    <ds:schemaRef ds:uri="91ce1707-6d34-452b-b217-9734c03e6729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Raphael Felipe De Sousa</cp:lastModifiedBy>
  <cp:revision/>
  <dcterms:created xsi:type="dcterms:W3CDTF">2024-04-02T18:43:15Z</dcterms:created>
  <dcterms:modified xsi:type="dcterms:W3CDTF">2026-10-06T21:33:33Z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