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78" documentId="8_{454372C2-A99E-4E47-A759-72B38925853E}" xr6:coauthVersionLast="47" xr6:coauthVersionMax="47" xr10:uidLastSave="{44538285-CC63-49F4-915D-18D2182B7805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47" i="23" l="1"/>
  <c r="E47" i="23"/>
  <c r="F47" i="23"/>
  <c r="C47" i="23"/>
  <c r="B47" i="23"/>
  <c r="B45" i="23" l="1"/>
  <c r="C45" i="23"/>
  <c r="F45" i="23"/>
  <c r="C46" i="23"/>
  <c r="F46" i="23"/>
  <c r="E46" i="23"/>
  <c r="E45" i="23"/>
  <c r="D45" i="23"/>
  <c r="B46" i="23"/>
  <c r="D46" i="23"/>
  <c r="B8" i="27" l="1"/>
  <c r="A8" i="27"/>
  <c r="L4" i="20"/>
  <c r="R4" i="20" s="1" a="1"/>
  <c r="R4" i="20" l="1"/>
  <c r="S4" i="20" s="1" a="1"/>
  <c r="S4" i="20" l="1"/>
  <c r="T4" i="20" s="1" a="1"/>
  <c r="A2" i="20" l="1" a="1"/>
  <c r="T4" i="20"/>
  <c r="A5" i="23" l="1" a="1"/>
  <c r="E105" i="23"/>
  <c r="A2" i="20"/>
  <c r="C35" i="23" l="1"/>
  <c r="D29" i="23"/>
  <c r="F7" i="23"/>
  <c r="C41" i="23"/>
  <c r="F23" i="23"/>
  <c r="D6" i="23"/>
  <c r="C28" i="23"/>
  <c r="C44" i="23"/>
  <c r="F21" i="23"/>
  <c r="D24" i="23"/>
  <c r="D17" i="23"/>
  <c r="F38" i="23"/>
  <c r="E14" i="23"/>
  <c r="E31" i="23"/>
  <c r="C40" i="23"/>
  <c r="F13" i="23"/>
  <c r="D27" i="23"/>
  <c r="E19" i="23"/>
  <c r="C39" i="23"/>
  <c r="E7" i="23"/>
  <c r="D19" i="23"/>
  <c r="B10" i="23"/>
  <c r="E26" i="23"/>
  <c r="E27" i="23"/>
  <c r="E25" i="23"/>
  <c r="E18" i="23"/>
  <c r="E8" i="23"/>
  <c r="D8" i="23"/>
  <c r="B40" i="23"/>
  <c r="B8" i="23"/>
  <c r="C10" i="23"/>
  <c r="D16" i="23"/>
  <c r="B35" i="23"/>
  <c r="D35" i="23"/>
  <c r="F28" i="23"/>
  <c r="C29" i="23"/>
  <c r="E24" i="23"/>
  <c r="D43" i="23"/>
  <c r="D7" i="23"/>
  <c r="B37" i="23"/>
  <c r="B15" i="23"/>
  <c r="D12" i="23"/>
  <c r="B16" i="23"/>
  <c r="D25" i="23"/>
  <c r="C6" i="23"/>
  <c r="D10" i="23"/>
  <c r="F37" i="23"/>
  <c r="D13" i="23"/>
  <c r="B21" i="23"/>
  <c r="B43" i="23"/>
  <c r="E37" i="23"/>
  <c r="B39" i="23"/>
  <c r="F31" i="23"/>
  <c r="B14" i="23"/>
  <c r="E22" i="23"/>
  <c r="C34" i="23"/>
  <c r="C9" i="23"/>
  <c r="E35" i="23"/>
  <c r="E15" i="23"/>
  <c r="D42" i="23"/>
  <c r="C8" i="23"/>
  <c r="C25" i="23"/>
  <c r="C36" i="23"/>
  <c r="F44" i="23"/>
  <c r="E6" i="23"/>
  <c r="D44" i="23"/>
  <c r="D30" i="23"/>
  <c r="D20" i="23"/>
  <c r="E36" i="23"/>
  <c r="F42" i="23"/>
  <c r="E16" i="23"/>
  <c r="B24" i="23"/>
  <c r="D21" i="23"/>
  <c r="B30" i="23"/>
  <c r="F22" i="23"/>
  <c r="B20" i="23"/>
  <c r="B38" i="23"/>
  <c r="E32" i="23"/>
  <c r="E33" i="23"/>
  <c r="B29" i="23"/>
  <c r="F26" i="23"/>
  <c r="F40" i="23"/>
  <c r="C26" i="23"/>
  <c r="D39" i="23"/>
  <c r="F32" i="23"/>
  <c r="F11" i="23"/>
  <c r="B34" i="23"/>
  <c r="D18" i="23"/>
  <c r="B18" i="23"/>
  <c r="C18" i="23"/>
  <c r="E29" i="23"/>
  <c r="C19" i="23"/>
  <c r="B27" i="23"/>
  <c r="E44" i="23"/>
  <c r="E39" i="23"/>
  <c r="B19" i="23"/>
  <c r="C24" i="23"/>
  <c r="C23" i="23"/>
  <c r="E42" i="23"/>
  <c r="F29" i="23"/>
  <c r="F18" i="23"/>
  <c r="D41" i="23"/>
  <c r="C38" i="23"/>
  <c r="F12" i="23"/>
  <c r="F41" i="23"/>
  <c r="B13" i="23"/>
  <c r="C37" i="23"/>
  <c r="B26" i="23"/>
  <c r="D37" i="23"/>
  <c r="B36" i="23"/>
  <c r="B31" i="23"/>
  <c r="E40" i="23"/>
  <c r="C31" i="23"/>
  <c r="C13" i="23"/>
  <c r="D26" i="23"/>
  <c r="B7" i="23"/>
  <c r="F9" i="23"/>
  <c r="E30" i="23"/>
  <c r="C20" i="23"/>
  <c r="C11" i="23"/>
  <c r="E12" i="23"/>
  <c r="D40" i="23"/>
  <c r="B9" i="23"/>
  <c r="B11" i="23"/>
  <c r="F17" i="23"/>
  <c r="F8" i="23"/>
  <c r="E17" i="23"/>
  <c r="C33" i="23"/>
  <c r="C32" i="23"/>
  <c r="B25" i="23"/>
  <c r="F25" i="23"/>
  <c r="D11" i="23"/>
  <c r="F34" i="23"/>
  <c r="F36" i="23"/>
  <c r="D33" i="23"/>
  <c r="B12" i="23"/>
  <c r="C30" i="23"/>
  <c r="F43" i="23"/>
  <c r="C7" i="23"/>
  <c r="D36" i="23"/>
  <c r="E20" i="23"/>
  <c r="F35" i="23"/>
  <c r="D38" i="23"/>
  <c r="B17" i="23"/>
  <c r="F39" i="23"/>
  <c r="D15" i="23"/>
  <c r="C15" i="23"/>
  <c r="D32" i="23"/>
  <c r="F6" i="23"/>
  <c r="B6" i="23"/>
  <c r="C42" i="23"/>
  <c r="F15" i="23"/>
  <c r="C22" i="23"/>
  <c r="D31" i="23"/>
  <c r="D9" i="23"/>
  <c r="B44" i="23"/>
  <c r="D22" i="23"/>
  <c r="F24" i="23"/>
  <c r="E9" i="23"/>
  <c r="B41" i="23"/>
  <c r="F10" i="23"/>
  <c r="C43" i="23"/>
  <c r="C12" i="23"/>
  <c r="F16" i="23"/>
  <c r="C16" i="23"/>
  <c r="E41" i="23"/>
  <c r="C17" i="23"/>
  <c r="F19" i="23"/>
  <c r="B23" i="23"/>
  <c r="D28" i="23"/>
  <c r="B33" i="23"/>
  <c r="E38" i="23"/>
  <c r="C21" i="23"/>
  <c r="E34" i="23"/>
  <c r="F30" i="23"/>
  <c r="E13" i="23"/>
  <c r="D34" i="23"/>
  <c r="E23" i="23"/>
  <c r="F27" i="23"/>
  <c r="F33" i="23"/>
  <c r="F20" i="23"/>
  <c r="C27" i="23"/>
  <c r="C14" i="23"/>
  <c r="E21" i="23"/>
  <c r="D14" i="23"/>
  <c r="E11" i="23"/>
  <c r="B22" i="23"/>
  <c r="E28" i="23"/>
  <c r="E43" i="23"/>
  <c r="D23" i="23"/>
  <c r="B32" i="23"/>
  <c r="B28" i="23"/>
  <c r="B42" i="23"/>
  <c r="F14" i="23"/>
  <c r="E10" i="23"/>
  <c r="A5" i="23"/>
  <c r="D5" i="23" l="1"/>
  <c r="F5" i="23"/>
  <c r="F105" i="23" s="1"/>
  <c r="E5" i="23"/>
  <c r="G5" i="23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<sst xmlns="http://schemas.openxmlformats.org/spreadsheetml/2006/main" count="6155" uniqueCount="2375">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</sst>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topLeftCell="H1" zoomScaleNormal="100" workbookViewId="0">
      <pane ySplit="1" topLeftCell="A697" activePane="bottomLeft" state="frozen"/>
      <selection pane="bottomLeft" activeCell="T699" sqref="T699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2012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/>
      <c r="N682" s="73"/>
      <c r="O682" s="73"/>
      <c r="P682" s="73"/>
      <c r="Q682" s="73"/>
      <c r="R682" s="73">
        <f t="shared" si="13"/>
        <v>0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/>
      <c r="I699" s="213"/>
      <c r="J699" s="213"/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U83" sqref="U8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Em andamento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Em andamento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56</v>
      </c>
      <c r="B5" s="116" t="s">
        <v>2297</v>
      </c>
      <c r="D5" s="123">
        <f>COUNTIFS('Ações InCompany'!B:B,2026,'Ações InCompany'!C:C,"Realizado")</f>
        <v>34</v>
      </c>
      <c r="E5" s="124" t="s">
        <v>2297</v>
      </c>
      <c r="G5" s="126">
        <f>COUNTIFS('Ações InCompany'!B:B,2026,'Ações InCompany'!C:C,"A realizar")</f>
        <v>18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16</v>
      </c>
      <c r="D11" s="109" t="s">
        <v>2303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34</v>
      </c>
      <c r="D14" s="113" t="s">
        <v>2307</v>
      </c>
      <c r="E14" s="114">
        <f>SUM(E11:E13)</f>
        <v>1544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0.23076923076923078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5.7692307692307696E-2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0.11538461538461539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0</v>
      </c>
      <c r="D36" s="119">
        <f t="shared" si="0"/>
        <v>1</v>
      </c>
      <c r="E36" s="120">
        <f t="shared" si="1"/>
        <v>1.9230769230769232E-2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3.8461538461538464E-2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0.25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7.6923076923076927E-2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3.8461538461538464E-2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0.13461538461538461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3.8461538461538464E-2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34</v>
      </c>
      <c r="C45" s="121">
        <f>SUM(C33:C44)</f>
        <v>18</v>
      </c>
      <c r="D45" s="121">
        <f>SUM(D33:D44)</f>
        <v>52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28</v>
      </c>
      <c r="C36" s="103">
        <f>IF($A36="","",SUMIFS('GECC 2026'!I$2:I$200,'GECC 2026'!F$2:F$200,$A36))</f>
        <v>8.3999999999999986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36.4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708</v>
      </c>
      <c r="C105" s="242">
        <f>SUM(C5:C100)</f>
        <v>391.38000000000005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2026-07-09T21:32:15Z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