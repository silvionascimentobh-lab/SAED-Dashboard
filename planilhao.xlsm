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45" documentId="13_ncr:1_{6A2CC3E2-FAFB-4D8F-B284-5E8FB5045DFE}" xr6:coauthVersionLast="47" xr6:coauthVersionMax="47" xr10:uidLastSave="{B521115D-8D54-4D67-9CF5-473751D7E11E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l="1" a="1"/>
  <c r="T4" i="20" s="1"/>
  <c r="A2" i="20" l="1" a="1"/>
  <c r="A5" i="23" l="1" a="1"/>
  <c r="E105" i="23"/>
  <c r="A2" i="20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A5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<sst xmlns="http://schemas.openxmlformats.org/spreadsheetml/2006/main" count="7258" uniqueCount="3189">
  <si>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</si>
  <si>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</si>
  <si>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</si>
  <si>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</si>
  <si>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</si>
  <si>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</si>
  <si>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</si>
  <si>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</si>
  <si>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</si>
  <si>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</si>
  <si>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</si>
  <si>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</si>
  <si>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</si>
  <si>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</si>
  <si>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</si>
  <si>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</si>
  <si>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</si>
  <si>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</si>
  <si>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</si>
  <si>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</si>
  <si>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</si>
  <si>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</si>
  <si>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</si>
  <si>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</si>
  <si>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</si>
  <si>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</si>
  <si>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</si>
  <si>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</si>
  <si>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</si>
  <si>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</si>
  <si>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</si>
  <si>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</si>
  <si>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</si>
  <si>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</si>
  <si>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</si>
  <si>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</si>
  <si>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</si>
  <si>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</si>
  <si>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</si>
  <si>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</si>
  <si>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</si>
  <si>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</si>
  <si>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</si>
  <si>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</si>
  <si>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</si>
  <si>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</si>
  <si>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</si>
  <si>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</si>
  <si>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</si>
  <si>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</si>
  <si>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</si>
  <si>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</si>
  <si>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</si>
  <si>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</si>
  <si>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</si>
  <si>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</si>
  <si>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</si>
  <si>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</si>
  <si>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</si>
  <si>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</si>
  <si>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</si>
  <si>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</si>
  <si>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</si>
  <si>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</si>
  <si>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</si>
  <si>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</si>
  <si>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</si>
  <si>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</si>
  <si>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</si>
  <si>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</si>
  <si>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</si>
  <si>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</si>
  <si>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</si>
  <si>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</si>
  <si>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</si>
  <si>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</si>
  <si>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</si>
  <si>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</si>
  <si>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</si>
  <si>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</si>
  <si>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</si>
  <si>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</si>
  <si>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</si>
  <si>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</si>
  <si>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</si>
  <si>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</si>
  <si>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</si>
  <si>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</si>
  <si>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</si>
  <si>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</si>
  <si>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</si>
  <si>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</si>
  <si>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</si>
  <si>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</si>
  <si>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</si>
  <si>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</si>
  <si>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</si>
  <si>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</si>
  <si>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</si>
  <si>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</si>
  <si>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</si>
  <si>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</si>
  <si>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</si>
  <si>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</si>
  <si>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</si>
  <si>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</si>
  <si>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</si>
  <si>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</si>
  <si>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</si>
  <si>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</si>
  <si>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</si>
  <si>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</si>
  <si>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</si>
  <si>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</si>
  <si>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</si>
  <si>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</si>
  <si>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</si>
  <si>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</si>
  <si>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</si>
  <si>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</si>
  <si>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</si>
  <si>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</si>
  <si>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</si>
  <si>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</si>
  <si>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</si>
  <si>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</si>
  <si>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</si>
  <si>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</si>
  <si>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</si>
  <si>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</si>
  <si>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</si>
  <si>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</si>
  <si>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</si>
  <si>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</si>
  <si>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</si>
  <si>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</si>
  <si>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</si>
  <si>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</si>
  <si>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</si>
  <si>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</si>
  <si>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</si>
  <si>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</si>
  <si>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</si>
  <si>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</si>
  <si>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</si>
  <si>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</si>
  <si>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</si>
  <si>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</si>
  <si>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</si>
  <si>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</si>
  <si>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</si>
  <si>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</si>
  <si>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</si>
  <si>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</si>
  <si>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</si>
  <si>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</si>
  <si>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</si>
  <si>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</si>
  <si>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</si>
  <si>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</si>
  <si>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</si>
  <si>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</si>
  <si>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</si>
  <si>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</si>
  <si>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</si>
  <si>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</si>
  <si>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</si>
  <si>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</si>
  <si>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</si>
  <si>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</si>
  <si>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</si>
  <si>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</si>
  <si>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</si>
  <si>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</si>
  <si>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</si>
  <si>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</si>
  <si>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</si>
  <si>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</si>
  <si>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</si>
  <si>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</si>
  <si>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</si>
  <si>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</si>
  <si>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</si>
  <si>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</si>
  <si>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</si>
  <si>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</si>
  <si>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</si>
  <si>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</si>
  <si>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</si>
  <si>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</si>
  <si>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</si>
  <si>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</si>
  <si>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</si>
  <si>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</si>
  <si>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</si>
  <si>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</si>
  <si>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</si>
  <si>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</si>
  <si>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</si>
  <si>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</si>
  <si>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</si>
  <si>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</si>
  <si>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</si>
  <si>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</si>
  <si>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</si>
  <si>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</si>
  <si>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</si>
  <si>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</si>
  <si>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</si>
  <si>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</si>
  <si>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</si>
  <si>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</si>
  <si>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</si>
  <si>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</si>
  <si>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</si>
  <si>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</si>
  <si>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</si>
  <si>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</si>
  <si>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</si>
  <si>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</si>
  <si>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</si>
  <si>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</si>
  <si>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</si>
  <si>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</si>
  <si>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</si>
  <si>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</si>
  <si>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</si>
  <si>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</si>
  <si>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</si>
  <si>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</si>
  <si>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</si>
  <si>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</si>
  <si>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</si>
  <si>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</si>
  <si>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</si>
  <si>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</si>
  <si>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</si>
  <si>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</si>
  <si>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</si>
  <si>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</si>
  <si>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</si>
  <si>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</si>
  <si>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</si>
  <si>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</si>
  <si>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</si>
  <si>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</si>
  <si>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</si>
  <si>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</si>
  <si>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</si>
  <si>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</si>
  <si>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</si>
  <si>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</si>
  <si>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</si>
  <si>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</si>
  <si>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</si>
  <si>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</si>
  <si>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</si>
  <si>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</si>
  <si>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</si>
  <si>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</si>
  <si>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</si>
  <si>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</si>
  <si>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</si>
  <si>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</si>
  <si>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</si>
  <si>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</si>
  <si>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</si>
  <si>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</si>
  <si>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</si>
  <si>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</si>
  <si>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</si>
  <si>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</si>
  <si>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</si>
  <si>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</si>
  <si>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</si>
  <si>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</si>
  <si>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</si>
  <si>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</si>
  <si>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</si>
  <si>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</si>
  <si>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</si>
  <si>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</si>
  <si>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</si>
  <si>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</si>
  <si>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</si>
  <si>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</si>
  <si>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</si>
  <si>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</si>
  <si>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</si>
  <si>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</si>
  <si>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</si>
  <si>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</si>
  <si>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</si>
  <si>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</si>
  <si>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</si>
  <si>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</si>
  <si>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</si>
  <si>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</si>
  <si>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</si>
  <si>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</si>
  <si>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</si>
  <si>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</si>
  <si>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</si>
  <si>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</si>
  <si>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</si>
  <si>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</si>
  <si>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</si>
  <si>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</si>
  <si>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</si>
  <si>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</si>
  <si>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</si>
  <si>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</si>
  <si>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</si>
  <si>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</si>
  <si>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</si>
  <si>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</si>
  <si>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</si>
  <si>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</si>
  <si>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</si>
  <si>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</si>
  <si>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</si>
  <si>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</si>
  <si>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</si>
  <si>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</si>
  <si>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</si>
  <si>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</si>
  <si>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</si>
  <si>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</si>
  <si>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</si>
  <si>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</si>
  <si>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</si>
  <si>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</si>
  <si>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</si>
  <si>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</si>
  <si>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</si>
  <si>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</si>
  <si>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</si>
  <si>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</si>
  <si>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</si>
  <si>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</si>
  <si>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</si>
  <si>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</si>
  <si>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</si>
  <si>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</si>
  <si>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</si>
  <si>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</si>
  <si>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</si>
  <si>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</si>
  <si>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</si>
  <si>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</si>
  <si>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</si>
  <si>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</si>
  <si>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</si>
  <si>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</si>
  <si>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</si>
  <si>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</si>
  <si>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</si>
  <si>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</si>
  <si>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</si>
  <si>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</si>
  <si>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</si>
  <si>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</si>
  <si>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</si>
  <si>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</si>
  <si>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</si>
  <si>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</si>
  <si>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</si>
  <si>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</si>
  <si>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</si>
  <si>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</si>
  <si>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</si>
  <si>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</si>
  <si>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</si>
  <si>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</si>
  <si>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</si>
  <si>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</si>
  <si>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</si>
  <si>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</si>
  <si>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</si>
  <si>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</si>
  <si>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</si>
  <si>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</si>
  <si>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</si>
  <si>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</si>
  <si>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</si>
  <si>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</si>
  <si>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</si>
  <si>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</si>
  <si>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</si>
  <si>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</si>
  <si>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</si>
  <si>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</si>
  <si>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</si>
  <si>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</si>
  <si>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</si>
  <si>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</si>
  <si>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</si>
  <si>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</si>
  <si>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</si>
  <si>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</si>
  <si>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</si>
  <si>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</si>
  <si>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</si>
  <si>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</si>
  <si>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</si>
  <si>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</si>
  <si>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</si>
  <si>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</si>
  <si>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</si>
  <si>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</si>
  <si>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</si>
  <si>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</si>
  <si>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</si>
  <si>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</si>
  <si>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</si>
  <si>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</si>
  <si>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</si>
  <si>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</si>
  <si>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</si>
  <si>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</si>
  <si>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</si>
  <si>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</si>
  <si>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</si>
  <si>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</si>
  <si>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</si>
  <si>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</si>
  <si>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</si>
  <si>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</si>
  <si>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</si>
  <si>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</si>
  <si>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</si>
  <si>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</si>
  <si>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</si>
  <si>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</si>
  <si>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</si>
  <si>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</si>
  <si>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</si>
  <si>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</si>
  <si>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</si>
  <si>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</si>
  <si>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</si>
  <si>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</si>
  <si>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</si>
  <si>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</si>
  <si>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</si>
  <si>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</si>
  <si>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</si>
  <si>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</si>
  <si>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</si>
  <si>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</si>
  <si>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</si>
  <si>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</si>
  <si>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</si>
  <si>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</si>
  <si>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</si>
  <si>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</si>
  <si>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</si>
  <si>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</si>
  <si>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</si>
  <si>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</si>
  <si>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</si>
  <si>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</si>
  <si>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</si>
  <si>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</si>
  <si>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</si>
  <si>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</si>
  <si>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</si>
  <si>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</si>
  <si>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</si>
  <si>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</si>
  <si>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</si>
  <si>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</si>
  <si>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</si>
  <si>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</si>
  <si>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</si>
  <si>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</si>
  <si>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</si>
  <si>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</si>
  <si>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</si>
  <si>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</si>
  <si>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</si>
  <si>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</si>
  <si>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</si>
  <si>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</si>
  <si>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</si>
  <si>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</si>
  <si>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</si>
  <si>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</si>
  <si>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</si>
  <si>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</si>
  <si>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</si>
  <si>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</si>
  <si>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</si>
  <si>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</si>
  <si>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</si>
  <si>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</si>
  <si>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</si>
  <si>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</si>
  <si>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</si>
  <si>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</si>
  <si>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</si>
  <si>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</si>
  <si>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</si>
  <si>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</si>
  <si>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</si>
  <si>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</si>
  <si>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</si>
  <si>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</si>
  <si>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</si>
  <si>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</si>
  <si>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</si>
  <si>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</si>
  <si>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</si>
  <si>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</si>
  <si>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</si>
  <si>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</si>
  <si>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</si>
  <si>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</si>
  <si>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</si>
  <si>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</si>
  <si>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</si>
  <si>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</si>
  <si>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</si>
  <si>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</si>
  <si>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</si>
  <si>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</si>
  <si>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</si>
  <si>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</si>
  <si>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</si>
  <si>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</si>
  <si>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</si>
  <si>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</si>
  <si>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</si>
  <si>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</si>
  <si>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</si>
  <si>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</si>
  <si>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</si>
  <si>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</si>
  <si>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</si>
  <si>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</si>
  <si>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</si>
  <si>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</si>
  <si>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</si>
  <si>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</si>
  <si>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</si>
  <si>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</si>
  <si>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</si>
  <si>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</si>
  <si>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</si>
  <si>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</si>
  <si>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</si>
  <si>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</si>
  <si>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</si>
  <si>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</si>
  <si>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</si>
  <si>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</si>
  <si>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</si>
  <si>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</si>
  <si>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</si>
  <si>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</si>
  <si>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</si>
  <si>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</si>
  <si>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</si>
  <si>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</si>
  <si>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</si>
  <si>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</si>
  <si>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</si>
  <si>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</si>
  <si>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</si>
  <si>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</si>
  <si>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</si>
  <si>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</si>
  <si>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</si>
  <si>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</si>
  <si>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</si>
  <si>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</si>
  <si>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</si>
  <si>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</si>
  <si>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</si>
  <si>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</si>
  <si>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</si>
  <si>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</si>
  <si>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</si>
  <si>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</si>
  <si>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</si>
  <si>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</si>
  <si>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</si>
  <si>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</si>
  <si>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</si>
  <si>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</si>
  <si>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</si>
  <si>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</si>
  <si>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</si>
  <si>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</si>
  <si>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</si>
  <si>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</si>
  <si>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</si>
  <si>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</si>
  <si>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</si>
  <si>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</si>
  <si>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</si>
  <si>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</si>
  <si>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</si>
  <si>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</si>
  <si>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</si>
  <si>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</si>
  <si>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</si>
  <si>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</si>
  <si>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</si>
  <si>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</si>
  <si>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</si>
  <si>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</si>
  <si>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</si>
  <si>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</si>
  <si>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</si>
  <si>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</si>
  <si>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</si>
  <si>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</si>
  <si>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</si>
  <si>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</si>
  <si>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</si>
  <si>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</si>
  <si>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</si>
  <si>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</si>
  <si>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</si>
  <si>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</si>
  <si>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</si>
  <si>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</si>
  <si>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</si>
  <si>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</si>
  <si>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</si>
  <si>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</si>
  <si>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</si>
  <si>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</si>
  <si>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</si>
  <si>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</si>
  <si>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</si>
  <si>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</si>
  <si>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</si>
  <si>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</si>
  <si>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</si>
  <si>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</si>
  <si>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</si>
  <si>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</si>
  <si>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</si>
  <si>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</si>
  <si>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</si>
  <si>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</si>
  <si>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</si>
  <si>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</si>
  <si>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</si>
  <si>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</si>
  <si>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</si>
  <si>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</si>
  <si>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</si>
  <si>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</si>
  <si>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</si>
  <si>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</si>
  <si>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</si>
  <si>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</si>
  <si>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</si>
  <si>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</si>
  <si>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</si>
  <si>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</si>
  <si>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</si>
  <si>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</si>
  <si>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</si>
  <si>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</si>
  <si>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</si>
  <si>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</si>
  <si>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</si>
  <si>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</si>
  <si>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</si>
  <si>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</si>
  <si>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</si>
  <si>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</si>
  <si>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</si>
  <si>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</si>
  <si>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</si>
  <si>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</si>
  <si>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</si>
  <si>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</si>
  <si>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</si>
  <si>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</si>
  <si>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</si>
  <si>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</si>
  <si>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</si>
  <si>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</si>
  <si>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</si>
  <si>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</si>
  <si>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</si>
  <si>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</si>
  <si>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</si>
  <si>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</si>
  <si>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</si>
  <si>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</si>
  <si>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</si>
  <si>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</si>
  <si>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</si>
  <si>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</si>
  <si>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</si>
  <si>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</si>
  <si>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</si>
  <si>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</si>
  <si>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</si>
  <si>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</si>
  <si>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</si>
  <si>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</si>
  <si>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</si>
  <si>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</si>
  <si>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</si>
  <si>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</si>
  <si>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</si>
  <si>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</si>
  <si>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</si>
  <si>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</si>
  <si>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</si>
  <si>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</si>
  <si>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</si>
  <si>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</si>
  <si>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</si>
  <si>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</si>
  <si>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</si>
  <si>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</si>
  <si>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</si>
  <si>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</si>
  <si>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</si>
  <si>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</si>
  <si>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</si>
  <si>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</si>
  <si>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</si>
  <si>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</si>
  <si>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</si>
  <si>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</si>
  <si>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</si>
  <si>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</si>
  <si>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</si>
  <si>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</si>
  <si>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</si>
  <si>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</si>
  <si>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</si>
  <si>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</si>
  <si>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</si>
  <si>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</si>
  <si>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</si>
  <si>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</si>
  <si>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</si>
  <si>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</si>
  <si>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</si>
  <si>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</si>
  <si>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</si>
  <si>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</si>
  <si>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</si>
  <si>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</si>
  <si>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</si>
  <si>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</si>
  <si>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</si>
  <si>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</si>
  <si>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</si>
  <si>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</si>
  <si>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</si>
  <si>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</si>
  <si>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</si>
  <si>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</si>
  <si>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</si>
  <si>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</si>
  <si>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</si>
  <si>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</si>
  <si>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</si>
  <si>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</si>
  <si>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</si>
  <si>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</si>
  <si>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</si>
  <si>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</si>
  <si>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</si>
  <si>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</si>
  <si>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</si>
  <si>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</si>
  <si>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</si>
  <si>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</si>
  <si>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</si>
  <si>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</si>
  <si>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</si>
  <si>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</si>
  <si>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</si>
  <si>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</si>
  <si>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</si>
  <si>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</si>
  <si>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</si>
  <si>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</si>
  <si>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</si>
  <si>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</si>
  <si>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</si>
  <si>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</si>
  <si>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</si>
  <si>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</si>
  <si>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</si>
  <si>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</si>
  <si>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</si>
  <si>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</si>
  <si>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</si>
  <si>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</si>
  <si>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</si>
  <si>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</si>
  <si>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</si>
  <si>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</si>
  <si>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</si>
  <si>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</si>
  <si>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</si>
  <si>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</si>
  <si>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</si>
  <si>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</si>
  <si>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</si>
  <si>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</si>
  <si>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</si>
  <si>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</si>
  <si>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</si>
  <si>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</si>
  <si>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</si>
  <si>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</si>
  <si>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</si>
  <si>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</si>
  <si>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</si>
  <si>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</si>
  <si>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</si>
  <si>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</si>
  <si>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</si>
  <si>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</si>
  <si>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</si>
  <si>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</si>
  <si>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</si>
  <si>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</si>
  <si>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</si>
  <si>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</si>
  <si>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</si>
  <si>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</si>
  <si>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</si>
  <si>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</si>
  <si>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</si>
  <si>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</si>
  <si>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</si>
  <si>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</si>
  <si>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</si>
  <si>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</si>
  <si>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</si>
  <si>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</si>
  <si>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</si>
  <si>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</si>
  <si>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</si>
  <si>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</si>
  <si>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</si>
  <si>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</si>
  <si>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</si>
  <si>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</si>
  <si>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</si>
  <si>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</si>
  <si>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</si>
  <si>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</si>
  <si>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</si>
  <si>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</si>
  <si>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</si>
  <si>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</si>
  <si>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</si>
  <si>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</si>
  <si>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</si>
  <si>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</si>
  <si>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</si>
  <si>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</si>
  <si>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</si>
  <si>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</si>
  <si>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</si>
  <si>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</si>
  <si>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</si>
  <si>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</si>
  <si>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</si>
  <si>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</si>
  <si>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</si>
  <si>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</si>
  <si>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</si>
  <si>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</si>
  <si>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</si>
  <si>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</si>
  <si>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</si>
  <si>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</si>
  <si>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</si>
  <si>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</si>
  <si>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</si>
  <si>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</si>
  <si>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</si>
  <si>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</si>
  <si>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</si>
  <si>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</si>
  <si>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</si>
  <si>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</si>
  <si>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</si>
  <si>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</si>
  <si>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</si>
  <si>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</si>
  <si>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</si>
  <si>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</si>
  <si>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</si>
  <si>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</si>
  <si>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</si>
  <si>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</si>
  <si>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</si>
  <si>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</si>
  <si>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</si>
  <si>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</si>
  <si>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</si>
  <si>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</si>
  <si>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</si>
  <si>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</si>
  <si>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</si>
  <si>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</si>
  <si>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</si>
  <si>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</si>
  <si>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</si>
  <si>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</si>
  <si>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</si>
  <si>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</si>
  <si>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</si>
  <si>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</si>
  <si>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</si>
  <si>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</si>
  <si>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</si>
  <si>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</si>
  <si>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</si>
  <si>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</si>
  <si>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</si>
  <si>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</si>
  <si>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</si>
  <si>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</si>
  <si>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</si>
  <si>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</si>
  <si>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</si>
  <si>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</si>
  <si>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</si>
  <si>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</si>
  <si>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</si>
  <si>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</si>
  <si>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</si>
  <si>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</si>
  <si>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</si>
  <si>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</si>
  <si>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</si>
  <si>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</si>
  <si>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</si>
  <si>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</si>
  <si>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</si>
  <si>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</si>
  <si>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</si>
  <si>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</si>
  <si>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</si>
  <si>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</si>
  <si>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</si>
  <si>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</si>
  <si>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</si>
  <si>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</si>
  <si>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</si>
  <si>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</si>
  <si>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</si>
  <si>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</si>
  <si>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</si>
  <si>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</si>
  <si>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</si>
  <si>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</si>
  <si>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</si>
  <si>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</si>
  <si>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</si>
  <si>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</si>
  <si>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</si>
  <si>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</si>
  <si>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</si>
  <si>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</si>
  <si>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</si>
  <si>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</si>
  <si>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</si>
  <si>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</si>
  <si>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</si>
  <si>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</si>
  <si>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</si>
  <si>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</si>
  <si>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</si>
  <si>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</si>
  <si>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</si>
  <si>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</si>
  <si>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</si>
  <si>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</si>
  <si>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</si>
  <si>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</si>
  <si>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</si>
  <si>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</si>
  <si>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</si>
  <si>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</si>
  <si>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</si>
  <si>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</si>
  <si>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</si>
  <si>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</si>
  <si>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</si>
  <si>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</si>
  <si>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</si>
  <si>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</si>
  <si>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</si>
  <si>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</si>
  <si>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</si>
  <si>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</si>
  <si>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</si>
  <si>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</si>
  <si>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</si>
  <si>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</si>
  <si>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</si>
  <si>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</si>
  <si>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</si>
  <si>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</si>
  <si>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</si>
  <si>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</si>
  <si>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</si>
  <si>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</si>
  <si>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</si>
  <si>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</si>
  <si>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</si>
  <si>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</si>
  <si>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</si>
  <si>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</si>
  <si>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</si>
  <si>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</si>
  <si>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</si>
  <si>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</si>
  <si>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</si>
  <si>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</si>
  <si>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</si>
  <si>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</si>
  <si>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</si>
  <si>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</si>
  <si>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</si>
  <si>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</si>
  <si>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</si>
  <si>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</si>
  <si>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</si>
  <si>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</si>
  <si>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</si>
  <si>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</si>
  <si>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</si>
  <si>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</si>
  <si>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</si>
  <si>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</si>
  <si>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</si>
  <si>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</si>
  <si>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</si>
  <si>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</si>
  <si>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</si>
  <si>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</si>
  <si>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</si>
  <si>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</si>
  <si>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</si>
  <si>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</si>
  <si>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</si>
  <si>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</si>
  <si>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</si>
  <si>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</si>
  <si>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</si>
  <si>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</si>
  <si>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</si>
  <si>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</si>
  <si>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</si>
  <si>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</si>
  <si>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</si>
  <si>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</si>
  <si>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</si>
  <si>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</si>
  <si>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</si>
  <si>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</si>
  <si>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</si>
  <si>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</si>
  <si>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</si>
  <si>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</si>
  <si>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</si>
  <si>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</si>
  <si>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</si>
  <si>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</si>
  <si>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</si>
  <si>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</si>
  <si>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</si>
  <si>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</si>
  <si>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</si>
  <si>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</si>
  <si>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</si>
  <si>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</si>
  <si>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</si>
  <si>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</si>
  <si>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</si>
  <si>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</si>
  <si>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</si>
  <si>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</si>
  <si>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</si>
  <si>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</si>
  <si>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</si>
  <si>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</si>
  <si>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</si>
  <si>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</si>
  <si>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</si>
  <si>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</si>
  <si>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</si>
  <si>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</si>
  <si>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</si>
  <si>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</si>
  <si>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</si>
  <si>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</si>
  <si>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</si>
  <si>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</si>
  <si>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</si>
  <si>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</si>
  <si>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</si>
  <si>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</si>
  <si>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</si>
  <si>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</si>
  <si>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</si>
  <si>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</si>
  <si>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</si>
  <si>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</si>
  <si>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</si>
  <si>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</si>
  <si>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</si>
  <si>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</si>
  <si>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</si>
  <si>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</si>
  <si>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</si>
  <si>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</si>
  <si>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</si>
  <si>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</si>
  <si>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</si>
  <si>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</si>
  <si>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</si>
  <si>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</si>
  <si>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</si>
  <si>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</si>
  <si>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</si>
  <si>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</si>
  <si>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</si>
  <si>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</si>
  <si>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</si>
  <si>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</si>
  <si>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</si>
  <si>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</si>
  <si>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</si>
  <si>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</si>
  <si>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</si>
  <si>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</si>
  <si>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</si>
  <si>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</si>
  <si>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</si>
  <si>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</si>
  <si>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</si>
  <si>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</si>
  <si>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</si>
  <si>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</si>
  <si>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</si>
  <si>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</si>
  <si>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</si>
  <si>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</si>
  <si>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</si>
  <si>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</si>
  <si>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</si>
  <si>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</si>
  <si>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</si>
  <si>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</si>
  <si>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</si>
  <si>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</si>
  <si>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</si>
  <si>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</si>
  <si>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</si>
  <si>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</si>
  <si>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</si>
  <si>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</si>
  <si>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</si>
  <si>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</si>
  <si>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</si>
  <si>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</si>
  <si>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</si>
  <si>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</si>
  <si>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</si>
  <si>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</si>
  <si>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</si>
  <si>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</si>
  <si>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</si>
  <si>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</si>
  <si>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</si>
  <si>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</si>
  <si>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</si>
  <si>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</si>
  <si>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</si>
  <si>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</si>
  <si>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</si>
  <si>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</si>
  <si>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</si>
  <si>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</si>
  <si>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</si>
  <si>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</si>
  <si>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</si>
  <si>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</si>
  <si>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</si>
  <si>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</si>
  <si>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</si>
  <si>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</si>
  <si>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</si>
  <si>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</si>
  <si>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</si>
  <si>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</si>
  <si>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</si>
  <si>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</si>
  <si>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</si>
  <si>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</si>
  <si>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</si>
  <si>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</si>
  <si>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</si>
  <si>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</si>
  <si>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</si>
  <si>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</si>
  <si>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</si>
  <si>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</si>
  <si>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</si>
  <si>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</si>
  <si>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</si>
  <si>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</si>
  <si>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</si>
  <si>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</si>
  <si>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</si>
  <si>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</si>
  <si>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</si>
  <si>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</si>
  <si>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</si>
  <si>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</si>
  <si>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</si>
  <si>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</si>
  <si>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</si>
  <si>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</si>
  <si>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</si>
  <si>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</si>
  <si>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</si>
  <si>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</si>
  <si>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</si>
  <si>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</si>
  <si>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</si>
  <si>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</si>
  <si>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</si>
  <si>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</si>
  <si>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</si>
  <si>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</si>
  <si>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</si>
  <si>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</si>
  <si>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</si>
  <si>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</si>
  <si>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</si>
  <si>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</si>
  <si>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</si>
  <si>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</si>
  <si>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</si>
  <si>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</si>
  <si>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</si>
  <si>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</si>
  <si>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</si>
  <si>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</si>
  <si>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</si>
  <si>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</si>
  <si>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</si>
  <si>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</si>
  <si>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</si>
  <si>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</si>
  <si>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</si>
  <si>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</si>
  <si>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</si>
  <si>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</si>
  <si>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</si>
  <si>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</si>
  <si>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</si>
  <si>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</si>
  <si>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</si>
  <si>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</si>
  <si>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</si>
  <si>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</si>
  <si>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</si>
  <si>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</si>
  <si>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</si>
  <si>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</si>
  <si>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</si>
  <si>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</si>
  <si>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</si>
  <si>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</si>
  <si>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</si>
  <si>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</si>
  <si>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</si>
  <si>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</si>
  <si>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</si>
  <si>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</si>
  <si>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</si>
  <si>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</si>
  <si>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</si>
  <si>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</si>
  <si>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</si>
  <si>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</si>
  <si>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</si>
  <si>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</si>
  <si>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</si>
  <si>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</si>
  <si>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</si>
  <si>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</si>
  <si>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</si>
  <si>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</si>
  <si>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</si>
  <si>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</si>
  <si>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</si>
  <si>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</si>
  <si>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</si>
  <si>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</si>
  <si>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</si>
  <si>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</si>
  <si>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</si>
  <si>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</si>
  <si>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</si>
  <si>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</si>
  <si>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</si>
  <si>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</si>
  <si>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</si>
  <si>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</si>
  <si>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</si>
  <si>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</si>
  <si>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</si>
  <si>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</si>
  <si>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</si>
  <si>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</si>
  <si>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</si>
  <si>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</si>
  <si>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</si>
  <si>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</si>
  <si>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</si>
  <si>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</si>
  <si>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</si>
  <si>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</si>
  <si>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</si>
  <si>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</si>
  <si>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</si>
  <si>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</si>
  <si>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</si>
  <si>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</si>
  <si>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</si>
  <si>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</si>
  <si>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</si>
  <si>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</si>
  <si>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</si>
  <si>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</si>
  <si>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</si>
  <si>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</si>
  <si>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</si>
  <si>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</si>
  <si>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</si>
  <si>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</si>
  <si>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</si>
  <si>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</si>
  <si>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</si>
  <si>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</si>
  <si>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</si>
  <si>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</si>
  <si>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</si>
  <si>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</si>
  <si>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</si>
  <si>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</si>
  <si>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</si>
  <si>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</si>
  <si>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</si>
  <si>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</si>
  <si>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</si>
  <si>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</si>
  <si>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</si>
  <si>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</si>
  <si>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</si>
  <si>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</si>
  <si>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</si>
  <si>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</si>
  <si>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</si>
  <si>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</si>
  <si>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</si>
  <si>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</si>
  <si>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</si>
  <si>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</si>
  <si>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</si>
  <si>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</si>
  <si>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</si>
  <si>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</si>
  <si>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</si>
  <si>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</si>
  <si>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</si>
  <si>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</si>
  <si>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</si>
  <si>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</si>
  <si>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</si>
  <si>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</si>
  <si>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</si>
  <si>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</si>
  <si>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</si>
  <si>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</si>
  <si>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</si>
  <si>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</si>
  <si>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</si>
  <si>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</si>
  <si>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</si>
  <si>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</si>
  <si>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</si>
  <si>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</si>
  <si>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</si>
  <si>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</si>
  <si>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</si>
  <si>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</si>
  <si>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</si>
  <si>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</si>
  <si>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</si>
  <si>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</si>
  <si>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</si>
  <si>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</si>
  <si>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</si>
  <si>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</si>
  <si>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</si>
  <si>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</si>
  <si>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</si>
  <si>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</si>
  <si>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</si>
  <si>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</si>
  <si>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</si>
  <si>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</si>
  <si>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</si>
  <si>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</si>
  <si>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</si>
  <si>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</si>
  <si>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</si>
  <si>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</si>
  <si>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</si>
  <si>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</si>
  <si>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</si>
  <si>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</si>
  <si>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</si>
  <si>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</si>
  <si>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</si>
  <si>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</si>
  <si>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</si>
  <si>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</si>
  <si>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</si>
  <si>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</si>
  <si>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</si>
  <si>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</si>
  <si>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</si>
  <si>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</si>
  <si>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</si>
  <si>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</si>
  <si>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</si>
  <si>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</si>
  <si>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</si>
  <si>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</si>
  <si>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</si>
  <si>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</si>
  <si>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</si>
  <si>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</si>
  <si>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</si>
  <si>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</si>
  <si>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</si>
  <si>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</si>
  <si>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</si>
  <si>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</si>
  <si>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</si>
  <si>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</si>
  <si>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</si>
  <si>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</si>
  <si>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</si>
  <si>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</si>
  <si>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</si>
  <si>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</si>
  <si>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</si>
  <si>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</si>
  <si>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</si>
  <si>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</si>
  <si>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</si>
  <si>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</si>
  <si>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</si>
  <si>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</si>
  <si>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</si>
  <si>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</si>
  <si>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</si>
  <si>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</si>
  <si>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</si>
  <si>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</si>
  <si>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</si>
  <si>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</si>
  <si>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</si>
  <si>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</si>
  <si>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</si>
  <si>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</si>
  <si>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</si>
  <si>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</si>
  <si>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</si>
  <si>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</si>
  <si>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</si>
  <si>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</si>
  <si>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</si>
  <si>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</si>
  <si>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</si>
  <si>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</si>
  <si>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</si>
  <si>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</si>
  <si>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</si>
  <si>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</si>
  <si>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</si>
  <si>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</si>
  <si>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</si>
  <si>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</si>
  <si>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</si>
  <si>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</si>
  <si>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</si>
  <si>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</si>
  <si>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</si>
  <si>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</si>
  <si>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</si>
  <si>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</si>
  <si>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</si>
  <si>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</si>
  <si>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</si>
  <si>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</si>
  <si>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</si>
  <si>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</si>
  <si>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</si>
  <si>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</si>
  <si>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</si>
  <si>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</si>
  <si>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</si>
  <si>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</si>
  <si>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</si>
  <si>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</si>
  <si>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</si>
  <si>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</si>
  <si>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</si>
  <si>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</si>
  <si>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</si>
  <si>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</si>
  <si>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</si>
  <si>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</si>
  <si>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</si>
  <si>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</si>
  <si>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</si>
  <si>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</si>
  <si>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</si>
  <si>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</si>
  <si>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</si>
  <si>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</si>
  <si>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</si>
  <si>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</si>
  <si>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</si>
  <si>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</si>
  <si>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</si>
  <si>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</si>
  <si>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</si>
  <si>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</si>
  <si>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</si>
  <si>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</si>
  <si>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</si>
  <si>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</si>
  <si>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</si>
  <si>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</si>
  <si>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</si>
  <si>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</si>
  <si>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</si>
  <si>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</si>
  <si>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</si>
  <si>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</si>
  <si>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</si>
  <si>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</si>
  <si>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</si>
  <si>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</si>
  <si>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</si>
  <si>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</si>
  <si>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</si>
  <si>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</si>
  <si>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</si>
  <si>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</si>
  <si>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</si>
  <si>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</si>
  <si>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</si>
  <si>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</si>
  <si>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</si>
  <si>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</si>
  <si>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</si>
  <si>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</si>
  <si>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</si>
  <si>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</si>
  <si>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</si>
  <si>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</si>
  <si>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</si>
  <si>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</si>
  <si>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</si>
  <si>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</si>
  <si>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</si>
  <si>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</si>
  <si>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</si>
  <si>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</si>
  <si>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</si>
  <si>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</si>
  <si>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</si>
  <si>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</si>
  <si>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</si>
  <si>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</si>
  <si>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</si>
  <si>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</si>
  <si>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</si>
  <si>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</si>
  <si>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</si>
  <si>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</si>
  <si>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</si>
  <si>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</si>
  <si>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</si>
  <si>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</si>
  <si>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</si>
  <si>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</si>
  <si>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</si>
  <si>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</si>
  <si>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</si>
  <si>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</si>
  <si>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</si>
  <si>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</si>
  <si>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</si>
  <si>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</si>
  <si>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</si>
  <si>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</si>
  <si>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</si>
  <si>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</si>
  <si>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</si>
  <si>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</si>
  <si>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</si>
  <si>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</si>
  <si>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</si>
  <si>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</si>
  <si>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</si>
  <si>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</si>
  <si>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</si>
  <si>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</si>
  <si>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</si>
  <si>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</si>
  <si>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</si>
  <si>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</si>
  <si>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</si>
  <si>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</si>
  <si>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</si>
  <si>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</si>
  <si>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</si>
  <si>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</si>
  <si>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</si>
  <si>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</si>
  <si>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</si>
  <si>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</si>
  <si>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</si>
  <si>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</si>
  <si>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</si>
  <si>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</si>
  <si>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</si>
  <si>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</si>
  <si>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</si>
  <si>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</si>
  <si>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</si>
  <si>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</si>
  <si>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</si>
  <si>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</si>
  <si>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</si>
  <si>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</si>
  <si>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</si>
  <si>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</si>
  <si>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</si>
  <si>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</si>
  <si>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</si>
  <si>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</si>
  <si>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</si>
  <si>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</si>
  <si>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</si>
  <si>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</si>
  <si>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</si>
  <si>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</si>
  <si>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</si>
  <si>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</si>
  <si>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</si>
  <si>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</si>
  <si>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</si>
  <si>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</si>
  <si>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</si>
  <si>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</si>
  <si>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</si>
  <si>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</si>
  <si>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</si>
  <si>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</si>
  <si>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</si>
  <si>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</si>
  <si>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</si>
  <si>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</si>
  <si>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</si>
  <si>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</si>
  <si>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</si>
  <si>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</si>
  <si>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</si>
  <si>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</si>
  <si>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</si>
  <si>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</si>
  <si>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</si>
  <si>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</si>
  <si>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</si>
  <si>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</si>
  <si>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</si>
  <si>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</si>
  <si>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</si>
  <si>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</si>
  <si>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</si>
  <si>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</si>
  <si>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</si>
  <si>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</si>
  <si>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</si>
  <si>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</si>
  <si>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</si>
  <si>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</si>
  <si>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</si>
  <si>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</si>
  <si>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</si>
  <si>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</si>
  <si>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</si>
  <si>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</si>
  <si>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</si>
  <si>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</si>
  <si>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</si>
  <si>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</si>
  <si>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</si>
  <si>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</si>
  <si>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</si>
  <si>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</si>
  <si>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</si>
  <si>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</si>
  <si>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</si>
  <si>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</si>
  <si>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</si>
  <si>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</si>
  <si>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</si>
  <si>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</si>
  <si>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</si>
  <si>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</si>
  <si>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</si>
  <si>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</si>
  <si>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</si>
  <si>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</si>
  <si>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</si>
  <si>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</si>
  <si>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</si>
  <si>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</si>
  <si>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</si>
  <si>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</si>
  <si>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</si>
  <si>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</si>
  <si>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</si>
  <si>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</si>
  <si>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</si>
  <si>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</si>
  <si>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</si>
  <si>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</si>
  <si>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</si>
  <si>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</si>
  <si>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</si>
  <si>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</si>
  <si>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</si>
  <si>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</si>
  <si>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</si>
  <si>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</si>
  <si>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</si>
  <si>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</si>
  <si>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</si>
  <si>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</si>
  <si>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</si>
  <si>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</si>
  <si>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</si>
  <si>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</si>
  <si>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</si>
  <si>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</si>
  <si>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</si>
  <si>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</si>
  <si>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</si>
  <si>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</si>
  <si>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</si>
  <si>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</si>
  <si>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</si>
  <si>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</si>
  <si>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</si>
  <si>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</si>
  <si>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</si>
  <si>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</si>
  <si>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</si>
  <si>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</si>
  <si>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</si>
  <si>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</si>
  <si>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</si>
  <si>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</si>
  <si>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</si>
  <si>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</si>
  <si>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</si>
  <si>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</si>
  <si>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</si>
  <si>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</si>
  <si>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</si>
  <si>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</si>
  <si>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</si>
  <si>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</si>
  <si>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</si>
  <si>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</si>
  <si>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</si>
  <si>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</si>
  <si>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</si>
  <si>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</si>
  <si>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</si>
  <si>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</si>
  <si>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</si>
  <si>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</si>
  <si>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</si>
  <si>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</si>
  <si>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</si>
  <si>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</si>
  <si>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</si>
  <si>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</si>
  <si>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</si>
  <si>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</si>
  <si>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</si>
  <si>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</si>
  <si>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</si>
  <si>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</si>
  <si>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</si>
  <si>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</si>
  <si>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</si>
  <si>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</si>
  <si>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</si>
  <si>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</si>
  <si>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</si>
  <si>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</si>
  <si>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</si>
  <si>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</si>
  <si>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</si>
  <si>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</si>
  <si>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</si>
  <si>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</si>
  <si>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</si>
  <si>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</si>
  <si>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</si>
  <si>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</si>
  <si>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</si>
  <si>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</si>
  <si>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</si>
  <si>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</si>
  <si>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</si>
  <si>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</si>
  <si>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</si>
  <si>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</si>
  <si>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</si>
  <si>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</si>
  <si>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</si>
  <si>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</si>
  <si>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</si>
  <si>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</si>
  <si>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</si>
  <si>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</si>
  <si>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</si>
  <si>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</si>
  <si>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</si>
  <si>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</si>
  <si>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</si>
  <si>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</si>
  <si>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</si>
  <si>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</si>
  <si>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</si>
  <si>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</si>
  <si>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</si>
  <si>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</si>
  <si>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</si>
  <si>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</si>
  <si>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</si>
  <si>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</si>
  <si>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</si>
  <si>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</si>
  <si>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</si>
  <si>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</si>
  <si>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</si>
  <si>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</si>
  <si>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</si>
  <si>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</si>
  <si>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</si>
  <si>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</si>
  <si>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</si>
  <si>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</si>
  <si>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</si>
  <si>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</si>
  <si>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</si>
  <si>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</si>
  <si>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</si>
  <si>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</si>
  <si>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</si>
  <si>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</si>
  <si>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</si>
  <si>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</si>
  <si>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</si>
  <si>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</si>
  <si>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</si>
  <si>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</si>
  <si>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</si>
  <si>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</si>
  <si>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</si>
  <si>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</si>
  <si>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</si>
  <si>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</si>
  <si>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</si>
  <si>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</si>
  <si>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</si>
  <si>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</si>
  <si>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</si>
  <si>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</si>
  <si>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</si>
  <si>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</si>
  <si>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</si>
  <si>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</si>
  <si>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</si>
  <si>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</si>
  <si>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</si>
  <si>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</si>
  <si>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</si>
  <si>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</si>
  <si>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</si>
  <si>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</si>
  <si>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</si>
  <si>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</si>
  <si>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</si>
  <si>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</si>
  <si>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</si>
  <si>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</si>
  <si>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</si>
  <si>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</si>
  <si>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</si>
  <si>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</si>
  <si>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</si>
  <si>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</si>
  <si>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</si>
  <si>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</si>
  <si>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</si>
  <si>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</si>
  <si>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</si>
  <si>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</si>
  <si>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</si>
  <si>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</si>
  <si>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</si>
  <si>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</si>
  <si>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</si>
  <si>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</si>
  <si>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</si>
  <si>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</si>
  <si>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</si>
  <si>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</si>
  <si>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</si>
  <si>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</si>
  <si>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</si>
  <si>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</si>
  <si>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</si>
  <si>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</si>
  <si>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</si>
  <si>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</si>
  <si>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</si>
  <si>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</si>
  <si>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</si>
  <si>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</si>
  <si>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</si>
  <si>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</si>
  <si>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</si>
  <si>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</si>
  <si>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</si>
  <si>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</si>
  <si>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</si>
  <si>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</si>
  <si>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</si>
  <si>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</si>
  <si>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</si>
  <si>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</si>
  <si>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</si>
  <si>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</si>
  <si>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</si>
  <si>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</si>
  <si>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</si>
  <si>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</si>
  <si>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</si>
  <si>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</si>
  <si>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</si>
  <si>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</si>
  <si>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</si>
  <si>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</si>
  <si>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</si>
  <si>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</si>
  <si>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</si>
  <si>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</si>
  <si>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</si>
  <si>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</si>
  <si>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</si>
  <si>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</si>
  <si>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</si>
  <si>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</si>
  <si>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</si>
  <si>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</si>
  <si>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</si>
  <si>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</si>
  <si>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</si>
  <si>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</si>
  <si>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</si>
  <si>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</si>
  <si>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</si>
  <si>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</si>
  <si>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</si>
  <si>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</si>
  <si>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</si>
  <si>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</si>
  <si>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</si>
  <si>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</si>
  <si>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</si>
  <si>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</si>
  <si>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</si>
  <si>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</si>
  <si>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</si>
  <si>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</si>
  <si>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</si>
  <si>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</si>
  <si>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</si>
  <si>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</si>
  <si>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</si>
  <si>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</si>
  <si>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</si>
  <si>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</si>
  <si>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</si>
  <si>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</si>
  <si>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</si>
  <si>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</si>
  <si>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</si>
  <si>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</si>
  <si>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</si>
  <si>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</si>
  <si>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</si>
  <si>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</si>
  <si>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</si>
  <si>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</si>
  <si>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</si>
  <si>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</si>
  <si>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</si>
  <si>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</si>
  <si>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</si>
  <si>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</si>
  <si>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</si>
  <si>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</si>
  <si>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</si>
  <si>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</si>
  <si>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</si>
  <si>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</si>
  <si>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</si>
  <si>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</si>
  <si>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</si>
  <si>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</si>
  <si>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</si>
  <si>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</si>
  <si>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</si>
  <si>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</si>
  <si>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</si>
  <si>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</si>
  <si>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</si>
  <si>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</si>
  <si>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</si>
  <si>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</si>
  <si>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</si>
  <si>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</si>
  <si>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</si>
  <si>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</si>
  <si>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</si>
  <si>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</si>
  <si>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</si>
  <si>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</si>
  <si>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</si>
  <si>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</si>
  <si>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</si>
  <si>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</si>
  <si>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</si>
  <si>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</si>
  <si>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</si>
  <si>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</si>
  <si>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</si>
  <si>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</si>
  <si>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</si>
  <si>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</si>
  <si>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</si>
  <si>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</si>
  <si>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</si>
  <si>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</si>
  <si>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</si>
  <si>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</si>
  <si>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</si>
  <si>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</si>
  <si>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</si>
  <si>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</si>
  <si>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</si>
  <si>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</si>
  <si>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</si>
  <si>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</si>
  <si>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</si>
  <si>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</si>
  <si>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</si>
  <si>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</si>
  <si>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</si>
  <si>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</si>
  <si>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</si>
  <si>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</si>
  <si>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</si>
  <si>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</si>
  <si>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</si>
  <si>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</si>
  <si>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</si>
  <si>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</si>
  <si>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</si>
  <si>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</si>
  <si>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</si>
  <si>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</si>
  <si>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</si>
  <si>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</si>
  <si>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</si>
  <si>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</si>
  <si>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</si>
  <si>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</si>
  <si>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</si>
  <si>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</si>
  <si>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</si>
  <si>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</si>
  <si>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</si>
  <si>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</si>
  <si>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</si>
  <si>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</si>
  <si>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</si>
  <si>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</si>
  <si>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</si>
  <si>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</si>
  <si>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</si>
  <si>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</si>
  <si>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</si>
  <si>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</si>
  <si>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</si>
  <si>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</si>
  <si>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</si>
  <si>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</si>
  <si>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</si>
  <si>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</si>
  <si>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</si>
  <si>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</si>
  <si>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</si>
  <si>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</si>
  <si>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</si>
  <si>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</si>
  <si>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</si>
  <si>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</si>
  <si>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</si>
  <si>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</si>
  <si>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</si>
  <si>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</si>
  <si>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</si>
  <si>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</si>
  <si>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</si>
  <si>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</si>
  <si>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</si>
  <si>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</si>
  <si>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</si>
  <si>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</si>
  <si>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</si>
  <si>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</si>
  <si>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</si>
  <si>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</si>
  <si>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</si>
  <si>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</si>
  <si>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</si>
  <si>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</si>
  <si>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</si>
  <si>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</si>
  <si>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</si>
  <si>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</si>
  <si>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</si>
  <si>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</si>
  <si>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</si>
  <si>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</si>
  <si>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</si>
  <si>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</si>
  <si>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</si>
  <si>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</si>
  <si>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</si>
  <si>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</si>
  <si>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</si>
  <si>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</si>
  <si>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</si>
  <si>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</si>
  <si>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</si>
  <si>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</si>
  <si>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</si>
  <si>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</si>
  <si>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</si>
  <si>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</si>
  <si>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</si>
  <si>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</si>
  <si>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</si>
  <si>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</si>
  <si>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</si>
  <si>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</si>
  <si>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</si>
  <si>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</si>
  <si>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</si>
  <si>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</si>
  <si>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</si>
  <si>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</si>
  <si>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</si>
  <si>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</si>
  <si>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</si>
  <si>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</si>
  <si>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</si>
  <si>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</si>
  <si>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</si>
  <si>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</si>
  <si>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</si>
  <si>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</si>
  <si>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</si>
  <si>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</si>
  <si>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</si>
  <si>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</si>
  <si>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</si>
  <si>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</si>
  <si>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</si>
  <si>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</si>
  <si>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</si>
  <si>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</si>
  <si>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</si>
  <si>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</si>
  <si>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</si>
  <si>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</si>
  <si>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</si>
  <si>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</si>
  <si>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</si>
  <si>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</si>
  <si>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</si>
  <si>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</si>
  <si>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</si>
  <si>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</si>
  <si>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</si>
  <si>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</si>
  <si>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</si>
  <si>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</si>
  <si>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</si>
  <si>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</si>
  <si>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</si>
  <si>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</si>
  <si>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</si>
  <si>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</si>
  <si>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</si>
  <si>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</si>
  <si>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</si>
  <si>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</si>
  <si>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</si>
  <si>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</si>
  <si>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</si>
  <si>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</si>
  <si>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</si>
  <si>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</si>
  <si>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</si>
  <si>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</si>
  <si>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</si>
  <si>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</si>
  <si>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</si>
  <si>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</si>
  <si>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</si>
  <si>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</si>
  <si>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</si>
  <si>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</si>
  <si>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</si>
  <si>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</si>
  <si>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</si>
  <si>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</si>
  <si>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</si>
  <si>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</si>
  <si>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</si>
  <si>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</si>
  <si>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</si>
  <si>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</si>
  <si>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</si>
  <si>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</si>
  <si>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</si>
  <si>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</si>
  <si>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</si>
  <si>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</si>
  <si>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</si>
  <si>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</si>
  <si>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</si>
  <si>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</si>
  <si>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</si>
  <si>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</si>
  <si>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</si>
  <si>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</si>
  <si>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</si>
  <si>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</si>
  <si>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</si>
  <si>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</si>
  <si>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</si>
  <si>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</si>
  <si>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</si>
  <si>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</si>
  <si>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</si>
  <si>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</si>
  <si>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</si>
  <si>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</si>
  <si>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</si>
  <si>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</si>
  <si>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</si>
  <si>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</si>
  <si>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</si>
  <si>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</si>
  <si>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</si>
  <si>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</si>
  <si>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</si>
  <si>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</si>
  <si>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</si>
  <si>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</si>
  <si>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</si>
  <si>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</si>
  <si>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</si>
  <si>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</si>
  <si>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</si>
  <si>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</si>
  <si>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</si>
  <si>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</si>
  <si>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</si>
  <si>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</si>
  <si>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</si>
  <si>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</si>
  <si>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</si>
  <si>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</si>
  <si>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</si>
  <si>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</si>
  <si>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</si>
  <si>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</si>
  <si>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</si>
  <si>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</si>
  <si>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</si>
  <si>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</si>
  <si>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</si>
  <si>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</si>
  <si>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</si>
  <si>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</si>
  <si>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</si>
  <si>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</si>
  <si>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</si>
  <si>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</si>
  <si>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</si>
  <si>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</si>
  <si>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</si>
  <si>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</si>
  <si>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</si>
  <si>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</si>
  <si>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</si>
  <si>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</si>
  <si>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</si>
  <si>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</si>
  <si>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</si>
  <si>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</si>
  <si>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</si>
  <si>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</si>
  <si>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</si>
  <si>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</si>
  <si>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</si>
  <si>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</si>
  <si>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</si>
  <si>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</si>
  <si>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</si>
  <si>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</si>
  <si>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</si>
  <si>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</si>
  <si>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</si>
  <si>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</si>
  <si>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</si>
  <si>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</si>
  <si>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</si>
  <si>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</si>
  <si>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</si>
  <si>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</si>
  <si>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</si>
  <si>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</si>
  <si>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</si>
  <si>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</si>
  <si>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</si>
  <si>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</si>
  <si>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</si>
  <si>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</si>
  <si>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</si>
  <si>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</si>
  <si>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</si>
  <si>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</si>
  <si>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</si>
  <si>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</si>
  <si>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</si>
  <si>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</si>
  <si>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</si>
  <si>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</si>
  <si>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</si>
  <si>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</si>
  <si>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</si>
  <si>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</si>
  <si>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</si>
  <si>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</si>
  <si>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</si>
  <si>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</si>
  <si>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</si>
  <si>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</si>
  <si>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</si>
  <si>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</si>
  <si>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</si>
  <si>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</si>
  <si>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</si>
  <si>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</si>
  <si>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</si>
  <si>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</si>
  <si>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</si>
  <si>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</si>
  <si>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</si>
  <si>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</si>
  <si>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</si>
  <si>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</si>
  <si>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</si>
  <si>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</si>
  <si>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</si>
  <si>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</si>
  <si>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</si>
  <si>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</si>
  <si>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</si>
  <si>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</si>
  <si>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</si>
  <si>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</si>
  <si>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</si>
  <si>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</si>
  <si>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</si>
  <si>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</si>
  <si>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</si>
  <si>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</si>
  <si>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</si>
  <si>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</si>
  <si>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</si>
  <si>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</si>
  <si>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</si>
  <si>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</si>
  <si>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</si>
  <si>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</si>
  <si>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</si>
  <si>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</si>
  <si>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</si>
  <si>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</si>
  <si>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</si>
  <si>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</si>
  <si>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</si>
  <si>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</si>
  <si>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</si>
  <si>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</si>
  <si>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</si>
  <si>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</si>
  <si>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</si>
  <si>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</si>
  <si>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</si>
  <si>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</si>
  <si>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</si>
  <si>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</si>
  <si>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</si>
  <si>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</si>
  <si>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</si>
  <si>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</si>
  <si>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</si>
  <si>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</si>
  <si>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</si>
  <si>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</si>
  <si>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</si>
  <si>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</si>
  <si>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</si>
  <si>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</si>
  <si>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</si>
  <si>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</si>
  <si>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</si>
  <si>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</si>
  <si>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</si>
  <si>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</si>
  <si>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</si>
  <si>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</si>
  <si>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</si>
  <si>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</si>
  <si>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</si>
  <si>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</si>
  <si>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</si>
  <si>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</si>
  <si>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</si>
  <si>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</si>
  <si>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</si>
  <si>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</si>
  <si>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</si>
  <si>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</si>
  <si>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</si>
  <si>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</si>
  <si>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</si>
  <si>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</si>
  <si>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</si>
  <si>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</si>
  <si>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</si>
  <si>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</si>
  <si>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</si>
  <si>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</si>
  <si>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</si>
  <si>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</si>
  <si>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</si>
  <si>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</si>
  <si>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</si>
  <si>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</si>
  <si>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</si>
  <si>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</si>
  <si>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</si>
  <si>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</si>
  <si>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</si>
  <si>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</si>
  <si>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</si>
  <si>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</si>
  <si>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</si>
  <si>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</si>
  <si>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</si>
  <si>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</si>
  <si>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</si>
  <si>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</si>
  <si>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</si>
  <si>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</si>
  <si>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</si>
  <si>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</si>
  <si>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</si>
  <si>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</si>
  <si>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</si>
  <si>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</si>
  <si>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</si>
  <si>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</si>
  <si>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</si>
  <si>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</si>
  <si>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</si>
  <si>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</si>
  <si>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</si>
  <si>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</si>
  <si>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</si>
  <si>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</si>
  <si>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</si>
  <si>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</si>
  <si>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</si>
  <si>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</si>
  <si>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</si>
  <si>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</si>
  <si>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</si>
  <si>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</si>
  <si>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</si>
  <si>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</si>
  <si>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</si>
  <si>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</si>
  <si>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</si>
  <si>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</si>
  <si>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</si>
  <si>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</si>
  <si>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</si>
  <si>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</si>
  <si>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</si>
  <si>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</si>
  <si>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</si>
  <si>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</si>
  <si>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</si>
  <si>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</si>
  <si>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</si>
  <si>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</si>
  <si>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</si>
  <si>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</si>
  <si>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</si>
  <si>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</si>
  <si>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</si>
  <si>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</si>
  <si>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</si>
  <si>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</si>
  <si>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</si>
  <si>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</si>
  <si>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</si>
  <si>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</si>
  <si>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</si>
  <si>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</si>
  <si>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</si>
  <si>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</si>
  <si>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</si>
  <si>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</si>
  <si>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</si>
  <si>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</si>
  <si>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</si>
  <si>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</si>
  <si>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</si>
  <si>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</si>
  <si>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</si>
  <si>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</si>
  <si>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</si>
  <si>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</si>
  <si>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</si>
  <si>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</si>
  <si>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</si>
  <si>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</si>
  <si>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</si>
  <si>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</si>
  <si>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</si>
  <si>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</si>
  <si>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</si>
  <si>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</si>
  <si>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</si>
  <si>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</si>
  <si>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</si>
  <si>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</si>
  <si>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</si>
  <si>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</si>
  <si>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</si>
  <si>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</si>
  <si>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</si>
  <si>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</si>
  <si>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</si>
  <si>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</si>
  <si>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</si>
  <si>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</si>
  <si>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</si>
  <si>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</si>
  <si>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</si>
  <si>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</si>
  <si>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</si>
  <si>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</si>
  <si>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</si>
  <si>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</si>
  <si>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</si>
  <si>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</si>
  <si>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</si>
  <si>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</si>
  <si>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</si>
  <si>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</si>
  <si>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</si>
  <si>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</si>
  <si>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</si>
  <si>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</si>
  <si>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</si>
  <si>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</si>
  <si>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</si>
  <si>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</si>
  <si>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</si>
  <si>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</si>
  <si>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</si>
  <si>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</si>
  <si>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</si>
  <si>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</si>
  <si>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</si>
  <si>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</si>
  <si>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</si>
  <si>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</si>
  <si>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</si>
  <si>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</si>
  <si>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</si>
  <si>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</si>
  <si>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</si>
  <si>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</si>
  <si>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</si>
  <si>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</si>
  <si>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</si>
  <si>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</si>
  <si>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</si>
  <si>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</si>
  <si>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</si>
  <si>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</si>
  <si>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</si>
  <si>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</si>
  <si>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</si>
  <si>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</si>
  <si>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</si>
  <si>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</si>
  <si>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</si>
  <si>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</si>
  <si>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</si>
  <si>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</si>
  <si>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</si>
  <si>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</si>
  <si>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</si>
  <si>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</si>
  <si>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</si>
  <si>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</si>
  <si>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</si>
  <si>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</si>
  <si>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</si>
  <si>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</si>
  <si>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</si>
  <si>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</si>
  <si>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</si>
  <si>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</si>
  <si>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</si>
  <si>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</si>
  <si>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</si>
  <si>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</si>
  <si>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</si>
  <si>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</si>
  <si>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</si>
  <si>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</si>
  <si>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</si>
  <si>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</si>
  <si>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</si>
  <si>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</si>
  <si>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</si>
  <si>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</si>
  <si>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</si>
  <si>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</si>
  <si>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</si>
  <si>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</si>
  <si>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</si>
  <si>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</si>
  <si>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</si>
  <si>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</si>
  <si>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</si>
  <si>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</si>
  <si>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</si>
  <si>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</si>
  <si>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</si>
  <si>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</si>
  <si>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</si>
  <si>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</si>
  <si>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</si>
  <si>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</si>
  <si>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</si>
  <si>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</si>
  <si>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</si>
  <si>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</si>
  <si>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</si>
  <si>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</si>
  <si>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</si>
  <si>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</si>
  <si>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</si>
  <si>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</si>
  <si>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</si>
  <si>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</si>
  <si>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</si>
  <si>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</si>
  <si>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</si>
  <si>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</si>
  <si>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</si>
  <si>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</si>
  <si>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</si>
  <si>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</si>
  <si>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</si>
  <si>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</si>
  <si>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</si>
  <si>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</si>
  <si>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</si>
  <si>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</si>
  <si>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</si>
  <si>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</si>
  <si>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</si>
  <si>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</si>
  <si>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</si>
  <si>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</si>
  <si>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</si>
  <si>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</si>
  <si>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</si>
  <si>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</si>
  <si>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</si>
  <si>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</si>
  <si>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</si>
  <si>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</si>
  <si>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</si>
  <si>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</si>
  <si>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</si>
  <si>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</si>
  <si>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</si>
  <si>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</si>
  <si>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</si>
  <si>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</si>
  <si>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</si>
  <si>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</si>
  <si>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</si>
  <si>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</si>
  <si>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</si>
  <si>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</si>
  <si>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</si>
  <si>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</si>
  <si>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</si>
  <si>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</si>
  <si>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</si>
  <si>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</si>
  <si>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</si>
  <si>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</si>
  <si>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</si>
  <si>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</si>
  <si>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</si>
  <si>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</si>
  <si>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</si>
  <si>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</si>
  <si>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</si>
  <si>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</si>
  <si>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</si>
  <si>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</si>
  <si>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</si>
  <si>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</si>
  <si>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</si>
  <si>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</si>
  <si>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</si>
  <si>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</si>
  <si>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</si>
  <si>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</si>
  <si>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</si>
  <si>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</si>
  <si>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</si>
  <si>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</si>
  <si>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</si>
  <si>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</si>
  <si>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</si>
  <si>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</si>
  <si>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</si>
  <si>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</si>
  <si>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</si>
  <si>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</si>
  <si>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</si>
  <si>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</si>
  <si>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</si>
  <si>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</si>
  <si>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</si>
  <si>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</si>
  <si>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</si>
  <si>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</si>
  <si>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</si>
  <si>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</si>
  <si>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</si>
  <si>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</si>
  <si>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</si>
  <si>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</si>
  <si>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</si>
  <si>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</si>
  <si>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</si>
  <si>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</si>
  <si>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</si>
  <si>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</si>
  <si>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</si>
  <si>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</si>
  <si>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</si>
  <si>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</si>
  <si>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</si>
  <si>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</si>
  <si>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</si>
  <si>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</si>
  <si>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</si>
  <si>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</si>
  <si>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</si>
  <si>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</si>
  <si>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</si>
  <si>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</si>
  <si>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</si>
  <si>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</si>
  <si>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</si>
  <si>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</si>
  <si>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</si>
  <si>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</si>
  <si>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</si>
  <si>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</si>
  <si>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</si>
  <si>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</si>
  <si>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</si>
  <si>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</si>
  <si>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</si>
  <si>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</si>
  <si>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</si>
  <si>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</si>
  <si>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</si>
  <si>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</si>
  <si>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</si>
  <si>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</si>
  <si>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</si>
  <si>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</si>
  <si>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</si>
  <si>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</si>
  <si>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</si>
  <si>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</si>
  <si>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</si>
  <si>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</si>
  <si>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</si>
  <si>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</si>
  <si>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</si>
  <si>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</si>
  <si>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</si>
  <si>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</si>
  <si>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</si>
  <si>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</si>
  <si>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</si>
  <si>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</si>
  <si>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</si>
  <si>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</si>
  <si>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</si>
  <si>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</si>
  <si>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</si>
  <si>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</si>
  <si>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</si>
  <si>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</si>
  <si>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</si>
  <si>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</si>
  <si>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</si>
  <si>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</si>
  <si>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</si>
  <si>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</si>
  <si>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</si>
  <si>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</si>
  <si>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</si>
  <si>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</si>
  <si>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</si>
  <si>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</si>
  <si>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</si>
  <si>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</si>
  <si>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</si>
  <si>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</si>
  <si>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</si>
  <si>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</si>
  <si>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</si>
  <si>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</si>
  <si>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</si>
  <si>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</si>
  <si>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</si>
  <si>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</si>
  <si>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</si>
  <si>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</si>
  <si>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</si>
  <si>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</si>
  <si>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</si>
  <si>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</si>
  <si>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</si>
  <si>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</si>
  <si>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</si>
  <si>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</si>
  <si>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</si>
  <si>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</si>
  <si>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</si>
  <si>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</si>
  <si>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</si>
  <si>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</si>
  <si>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</si>
  <si>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</si>
  <si>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</si>
  <si>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</si>
  <si>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</si>
  <si>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</si>
  <si>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</si>
  <si>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</si>
  <si>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</si>
  <si>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</si>
  <si>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</si>
  <si>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</si>
  <si>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</si>
  <si>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</si>
  <si>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</si>
  <si>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</si>
  <si>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</si>
  <si>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</si>
  <si>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</si>
  <si>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</si>
  <si>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</si>
  <si>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</si>
  <si>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</si>
  <si>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</si>
  <si>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</si>
  <si>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</si>
  <si>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</si>
  <si>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</si>
  <si>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</si>
  <si>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</si>
  <si>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</si>
  <si>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</si>
  <si>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</si>
  <si>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</si>
  <si>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</si>
  <si>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</si>
  <si>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</si>
  <si>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</si>
  <si>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</si>
  <si>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</si>
  <si>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</si>
  <si>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</si>
  <si>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</si>
  <si>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</si>
  <si>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</si>
  <si>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</si>
  <si>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</si>
  <si>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</si>
  <si>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</si>
  <si>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</si>
  <si>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</si>
  <si>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</si>
  <si>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</si>
  <si>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</si>
  <si>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</si>
  <si>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</si>
  <si>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</si>
  <si>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</si>
  <si>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</si>
  <si>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</si>
  <si>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</si>
  <si>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</si>
  <si>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</si>
  <si>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</si>
  <si>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</si>
  <si>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</si>
  <si>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</si>
  <si>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</si>
  <si>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</si>
  <si>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</si>
  <si>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</si>
  <si>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</si>
  <si>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</si>
  <si>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</si>
  <si>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</si>
  <si>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</si>
  <si>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</si>
  <si>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</si>
  <si>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</si>
  <si>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</si>
  <si>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</si>
  <si>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</si>
  <si>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</si>
  <si>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</si>
  <si>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</si>
  <si>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</si>
  <si>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</si>
  <si>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</si>
  <si>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</si>
  <si>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</si>
  <si>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</si>
  <si>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</si>
  <si>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</si>
  <si>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</si>
  <si>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</si>
  <si>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</si>
  <si>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</si>
  <si>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</si>
  <si>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</si>
  <si>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</si>
  <si>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</si>
  <si>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</si>
  <si>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</si>
  <si>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</si>
  <si>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</si>
  <si>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</si>
  <si>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</si>
  <si>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</si>
  <si>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</si>
  <si>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</si>
  <si>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</si>
  <si>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</si>
  <si>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</si>
  <si>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</si>
  <si>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</si>
  <si>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</si>
  <si>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</si>
  <si>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</si>
  <si>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</si>
  <si>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</si>
  <si>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</si>
  <si>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</si>
  <si>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</si>
  <si>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</si>
  <si>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</si>
  <si>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</si>
  <si>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</si>
  <si>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</si>
  <si>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</si>
  <si>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</si>
  <si>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</si>
  <si>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</si>
  <si>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</si>
  <si>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</si>
  <si>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</si>
  <si>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</si>
  <si>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</si>
  <si>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</si>
  <si>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</si>
  <si>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</si>
  <si>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</si>
  <si>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</si>
  <si>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</si>
  <si>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</si>
  <si>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</si>
  <si>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</si>
  <si>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</si>
  <si>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</si>
  <si>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</si>
  <si>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</si>
  <si>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</si>
  <si>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</si>
  <si>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</si>
  <si>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</si>
  <si>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</si>
  <si>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</si>
  <si>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</si>
  <si>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</si>
  <si>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</si>
  <si>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</si>
  <si>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</si>
  <si>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</si>
  <si>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</si>
  <si>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</si>
  <si>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</si>
  <si>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</si>
  <si>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</si>
  <si>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</si>
  <si>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</si>
  <si>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</si>
  <si>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</si>
  <si>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</si>
  <si>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</si>
  <si>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</si>
  <si>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</si>
  <si>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</si>
  <si>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</si>
  <si>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</si>
  <si>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</si>
  <si>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</si>
  <si>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</si>
  <si>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</si>
  <si>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</si>
  <si>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</si>
  <si>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</si>
  <si>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</si>
  <si>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</si>
  <si>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</si>
  <si>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</si>
  <si>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</si>
  <si>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</si>
  <si>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</si>
  <si>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</si>
  <si>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</si>
  <si>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</si>
  <si>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</si>
  <si>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</si>
  <si>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</si>
  <si>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</si>
  <si>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</si>
  <si>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</si>
  <si>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</si>
  <si>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</si>
  <si>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</si>
  <si>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</si>
  <si>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</si>
  <si>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</si>
  <si>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</si>
  <si>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</si>
  <si>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</si>
  <si>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</si>
  <si>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</si>
  <si>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</si>
  <si>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</si>
  <si>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</si>
  <si>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</si>
  <si>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</si>
  <si>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</si>
  <si>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</si>
  <si>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</si>
  <si>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</si>
  <si>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</si>
  <si>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</si>
  <si>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</si>
  <si>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</si>
  <si>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</si>
  <si>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</si>
  <si>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</si>
  <si>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</si>
  <si>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</si>
  <si>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</si>
  <si>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</si>
  <si>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</si>
  <si>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</si>
  <si>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</si>
  <si>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</si>
  <si>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</si>
  <si>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</si>
  <si>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</si>
  <si>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</si>
  <si>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</si>
  <si>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2026-081</t>
  </si>
  <si>
    <t>9520/2026</t>
  </si>
  <si>
    <t>Contratações de TIC com base na jurisprudência do TCDF</t>
  </si>
  <si>
    <t>02 e 04/09/2026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</si>
</sst>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19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13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8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Curso de formação para gestores e fiscais de Contrato em equipamentos nas unidades hospitalares - T2"/>
        <filter val="Curso de formação para gestores e fiscais de Contrato em equipamentos nas unidades hospitalares - T3"/>
        <filter val="Gestão e Fiscalização de Contratos de Equipamentos Médico Hospitalares e Serviços de Manutenção"/>
        <filter val="Regularidade nos Processo de Aquisição / Manutenção de Equipamentos médico-hospitalares – Termos de Referência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93" activePane="bottomLeft" state="frozen"/>
      <selection pane="bottomLeft" activeCell="C679" sqref="C679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9.4</v>
      </c>
      <c r="T662" s="186" t="s">
        <v>2892</v>
      </c>
    </row>
    <row r="663" spans="1:20" ht="30" hidden="1" x14ac:dyDescent="0.25">
      <c r="A663" s="191" t="s">
        <v>2715</v>
      </c>
      <c r="B663" s="127">
        <v>2026</v>
      </c>
      <c r="C663" s="164" t="s">
        <v>2697</v>
      </c>
      <c r="D663" s="127" t="s">
        <v>2716</v>
      </c>
      <c r="E663" s="162" t="s">
        <v>2717</v>
      </c>
      <c r="F663" s="129" t="s">
        <v>88</v>
      </c>
      <c r="G663" s="130" t="s">
        <v>2718</v>
      </c>
      <c r="H663" s="131" t="s">
        <v>2719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2720</v>
      </c>
    </row>
    <row r="664" spans="1:20" ht="15" hidden="1" x14ac:dyDescent="0.25">
      <c r="A664" s="191" t="s">
        <v>2721</v>
      </c>
      <c r="B664" s="127">
        <v>2026</v>
      </c>
      <c r="C664" s="183" t="s">
        <v>22</v>
      </c>
      <c r="D664" s="183" t="s">
        <v>2722</v>
      </c>
      <c r="E664" s="184" t="s">
        <v>2723</v>
      </c>
      <c r="F664" s="185" t="s">
        <v>24</v>
      </c>
      <c r="G664" s="186" t="s">
        <v>25</v>
      </c>
      <c r="H664" s="191" t="s">
        <v>2724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2725</v>
      </c>
    </row>
    <row r="665" spans="1:20" ht="15" hidden="1" x14ac:dyDescent="0.25">
      <c r="A665" s="137" t="s">
        <v>2726</v>
      </c>
      <c r="B665" s="127">
        <v>2026</v>
      </c>
      <c r="C665" s="183" t="s">
        <v>22</v>
      </c>
      <c r="D665" s="183" t="s">
        <v>2727</v>
      </c>
      <c r="E665" s="184" t="s">
        <v>2676</v>
      </c>
      <c r="F665" s="185" t="s">
        <v>24</v>
      </c>
      <c r="G665" s="186" t="s">
        <v>42</v>
      </c>
      <c r="H665" s="191" t="s">
        <v>2728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2729</v>
      </c>
      <c r="B666" s="127">
        <v>2026</v>
      </c>
      <c r="C666" s="183" t="s">
        <v>22</v>
      </c>
      <c r="D666" s="183" t="s">
        <v>2730</v>
      </c>
      <c r="E666" s="184" t="s">
        <v>2731</v>
      </c>
      <c r="F666" s="185" t="s">
        <v>24</v>
      </c>
      <c r="G666" s="186" t="s">
        <v>371</v>
      </c>
      <c r="H666" s="191" t="s">
        <v>2732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2733</v>
      </c>
      <c r="B667" s="127">
        <v>2026</v>
      </c>
      <c r="C667" s="127" t="s">
        <v>22</v>
      </c>
      <c r="D667" s="173" t="s">
        <v>2734</v>
      </c>
      <c r="E667" s="180" t="s">
        <v>2735</v>
      </c>
      <c r="F667" s="129" t="s">
        <v>88</v>
      </c>
      <c r="G667" s="130" t="s">
        <v>2718</v>
      </c>
      <c r="H667" s="175" t="s">
        <v>2736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2737</v>
      </c>
      <c r="B668" s="127">
        <v>2026</v>
      </c>
      <c r="C668" s="215" t="s">
        <v>22</v>
      </c>
      <c r="D668" s="183" t="s">
        <v>2738</v>
      </c>
      <c r="E668" s="184" t="s">
        <v>2739</v>
      </c>
      <c r="F668" s="185" t="s">
        <v>88</v>
      </c>
      <c r="G668" s="186" t="s">
        <v>2718</v>
      </c>
      <c r="H668" s="191" t="s">
        <v>2740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2741</v>
      </c>
      <c r="B669" s="127">
        <v>2026</v>
      </c>
      <c r="C669" s="127" t="s">
        <v>22</v>
      </c>
      <c r="D669" s="173" t="s">
        <v>2742</v>
      </c>
      <c r="E669" s="180" t="s">
        <v>2743</v>
      </c>
      <c r="F669" s="129" t="s">
        <v>69</v>
      </c>
      <c r="G669" s="174" t="s">
        <v>2694</v>
      </c>
      <c r="H669" s="175" t="s">
        <v>2744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2745</v>
      </c>
    </row>
    <row r="670" spans="1:20" ht="30" x14ac:dyDescent="0.25">
      <c r="A670" s="191" t="s">
        <v>2746</v>
      </c>
      <c r="B670" s="127">
        <v>2026</v>
      </c>
      <c r="C670" s="127" t="s">
        <v>22</v>
      </c>
      <c r="D670" s="173" t="s">
        <v>2742</v>
      </c>
      <c r="E670" s="208" t="s">
        <v>2747</v>
      </c>
      <c r="F670" s="129" t="s">
        <v>69</v>
      </c>
      <c r="G670" s="174" t="s">
        <v>2694</v>
      </c>
      <c r="H670" s="175" t="s">
        <v>2748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2745</v>
      </c>
    </row>
    <row r="671" spans="1:20" ht="15" hidden="1" x14ac:dyDescent="0.25">
      <c r="A671" s="191" t="s">
        <v>2749</v>
      </c>
      <c r="B671" s="127">
        <v>2026</v>
      </c>
      <c r="C671" s="183" t="s">
        <v>2697</v>
      </c>
      <c r="D671" s="183" t="s">
        <v>2750</v>
      </c>
      <c r="E671" s="184" t="s">
        <v>2751</v>
      </c>
      <c r="F671" s="185" t="s">
        <v>69</v>
      </c>
      <c r="G671" s="186" t="s">
        <v>79</v>
      </c>
      <c r="H671" s="209" t="s">
        <v>2752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2753</v>
      </c>
    </row>
    <row r="672" spans="1:20" ht="15" hidden="1" x14ac:dyDescent="0.25">
      <c r="A672" s="137" t="s">
        <v>2754</v>
      </c>
      <c r="B672" s="127">
        <v>2026</v>
      </c>
      <c r="C672" s="183" t="s">
        <v>22</v>
      </c>
      <c r="D672" s="183" t="s">
        <v>2755</v>
      </c>
      <c r="E672" s="184" t="s">
        <v>2756</v>
      </c>
      <c r="F672" s="185" t="s">
        <v>24</v>
      </c>
      <c r="G672" s="186" t="s">
        <v>25</v>
      </c>
      <c r="H672" s="191" t="s">
        <v>2757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2758</v>
      </c>
    </row>
    <row r="673" spans="1:20" ht="15" hidden="1" x14ac:dyDescent="0.25">
      <c r="A673" s="137" t="s">
        <v>2759</v>
      </c>
      <c r="B673" s="127">
        <v>2026</v>
      </c>
      <c r="C673" s="127" t="s">
        <v>22</v>
      </c>
      <c r="D673" s="127" t="s">
        <v>2760</v>
      </c>
      <c r="E673" s="128" t="s">
        <v>2761</v>
      </c>
      <c r="F673" s="129" t="s">
        <v>24</v>
      </c>
      <c r="G673" s="144" t="s">
        <v>371</v>
      </c>
      <c r="H673" s="155" t="s">
        <v>2762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2763</v>
      </c>
    </row>
    <row r="674" spans="1:20" ht="15" hidden="1" x14ac:dyDescent="0.25">
      <c r="A674" s="137" t="s">
        <v>2764</v>
      </c>
      <c r="B674" s="127">
        <v>2026</v>
      </c>
      <c r="C674" s="127" t="s">
        <v>22</v>
      </c>
      <c r="D674" s="127" t="s">
        <v>2765</v>
      </c>
      <c r="E674" s="128" t="s">
        <v>2766</v>
      </c>
      <c r="F674" s="129" t="s">
        <v>69</v>
      </c>
      <c r="G674" s="130" t="s">
        <v>2694</v>
      </c>
      <c r="H674" s="172" t="s">
        <v>2767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2768</v>
      </c>
    </row>
    <row r="675" spans="1:20" ht="15" hidden="1" x14ac:dyDescent="0.25">
      <c r="A675" s="137" t="s">
        <v>2769</v>
      </c>
      <c r="B675" s="127">
        <v>2026</v>
      </c>
      <c r="C675" s="127" t="s">
        <v>22</v>
      </c>
      <c r="D675" s="173" t="s">
        <v>2770</v>
      </c>
      <c r="E675" s="128" t="s">
        <v>2771</v>
      </c>
      <c r="F675" s="129" t="s">
        <v>69</v>
      </c>
      <c r="G675" s="174" t="s">
        <v>2694</v>
      </c>
      <c r="H675" s="217" t="s">
        <v>2772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2768</v>
      </c>
    </row>
    <row r="676" spans="1:20" ht="15" hidden="1" x14ac:dyDescent="0.25">
      <c r="A676" s="137" t="s">
        <v>2773</v>
      </c>
      <c r="B676" s="127">
        <v>2026</v>
      </c>
      <c r="C676" s="127" t="s">
        <v>22</v>
      </c>
      <c r="D676" s="127" t="s">
        <v>2774</v>
      </c>
      <c r="E676" s="128" t="s">
        <v>2775</v>
      </c>
      <c r="F676" s="129" t="s">
        <v>69</v>
      </c>
      <c r="G676" s="130" t="s">
        <v>79</v>
      </c>
      <c r="H676" s="127" t="s">
        <v>2776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2777</v>
      </c>
      <c r="B677" s="127">
        <v>2026</v>
      </c>
      <c r="C677" s="193" t="s">
        <v>2697</v>
      </c>
      <c r="D677" s="193" t="s">
        <v>2778</v>
      </c>
      <c r="E677" s="184" t="s">
        <v>2779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2745</v>
      </c>
    </row>
    <row r="678" spans="1:20" ht="15" hidden="1" x14ac:dyDescent="0.25">
      <c r="A678" s="191" t="s">
        <v>2780</v>
      </c>
      <c r="B678" s="127">
        <v>2026</v>
      </c>
      <c r="C678" s="193" t="s">
        <v>22</v>
      </c>
      <c r="D678" s="193" t="s">
        <v>2781</v>
      </c>
      <c r="E678" s="184" t="s">
        <v>2782</v>
      </c>
      <c r="F678" s="185" t="s">
        <v>69</v>
      </c>
      <c r="G678" s="194" t="s">
        <v>79</v>
      </c>
      <c r="H678" s="195" t="s">
        <v>2783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hidden="1" x14ac:dyDescent="0.25">
      <c r="A679" s="191" t="s">
        <v>2784</v>
      </c>
      <c r="B679" s="127">
        <v>2026</v>
      </c>
      <c r="C679" s="193" t="s">
        <v>2566</v>
      </c>
      <c r="D679" s="193" t="s">
        <v>2785</v>
      </c>
      <c r="E679" s="203" t="s">
        <v>2786</v>
      </c>
      <c r="F679" s="185" t="s">
        <v>69</v>
      </c>
      <c r="G679" s="186" t="s">
        <v>79</v>
      </c>
      <c r="H679" s="195" t="s">
        <v>2787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2788</v>
      </c>
    </row>
    <row r="680" spans="1:20" ht="15" hidden="1" x14ac:dyDescent="0.25">
      <c r="A680" s="137" t="s">
        <v>2789</v>
      </c>
      <c r="B680" s="127">
        <v>2026</v>
      </c>
      <c r="C680" s="168" t="s">
        <v>2790</v>
      </c>
      <c r="D680" s="152" t="s">
        <v>2791</v>
      </c>
      <c r="E680" s="153" t="s">
        <v>2792</v>
      </c>
      <c r="F680" s="129" t="s">
        <v>24</v>
      </c>
      <c r="G680" s="130" t="s">
        <v>2793</v>
      </c>
      <c r="H680" s="155" t="s">
        <v>2794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2795</v>
      </c>
    </row>
    <row r="681" spans="1:20" ht="15" hidden="1" x14ac:dyDescent="0.25">
      <c r="A681" s="191" t="s">
        <v>2796</v>
      </c>
      <c r="B681" s="127">
        <v>2026</v>
      </c>
      <c r="C681" s="168" t="s">
        <v>22</v>
      </c>
      <c r="D681" s="152" t="s">
        <v>2791</v>
      </c>
      <c r="E681" s="153" t="s">
        <v>2797</v>
      </c>
      <c r="F681" s="129" t="s">
        <v>24</v>
      </c>
      <c r="G681" s="154" t="s">
        <v>2793</v>
      </c>
      <c r="H681" s="155" t="s">
        <v>2798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2795</v>
      </c>
    </row>
    <row r="682" spans="1:20" ht="15" hidden="1" x14ac:dyDescent="0.25">
      <c r="A682" s="191" t="s">
        <v>2799</v>
      </c>
      <c r="B682" s="127">
        <v>2026</v>
      </c>
      <c r="C682" s="193" t="s">
        <v>2790</v>
      </c>
      <c r="D682" s="152" t="s">
        <v>2791</v>
      </c>
      <c r="E682" s="153" t="s">
        <v>2797</v>
      </c>
      <c r="F682" s="185" t="s">
        <v>24</v>
      </c>
      <c r="G682" s="194" t="s">
        <v>2793</v>
      </c>
      <c r="H682" s="195" t="s">
        <v>2800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2795</v>
      </c>
    </row>
    <row r="683" spans="1:20" ht="15" hidden="1" x14ac:dyDescent="0.25">
      <c r="A683" s="137" t="s">
        <v>2801</v>
      </c>
      <c r="B683" s="127">
        <v>2026</v>
      </c>
      <c r="C683" s="152" t="s">
        <v>22</v>
      </c>
      <c r="D683" s="152" t="s">
        <v>2802</v>
      </c>
      <c r="E683" s="153" t="s">
        <v>2803</v>
      </c>
      <c r="F683" s="129" t="s">
        <v>24</v>
      </c>
      <c r="G683" s="130" t="s">
        <v>42</v>
      </c>
      <c r="H683" s="218" t="s">
        <v>2804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2805</v>
      </c>
    </row>
    <row r="684" spans="1:20" ht="15" hidden="1" x14ac:dyDescent="0.25">
      <c r="A684" s="191" t="s">
        <v>2806</v>
      </c>
      <c r="B684" s="152">
        <v>2026</v>
      </c>
      <c r="C684" s="168" t="s">
        <v>22</v>
      </c>
      <c r="D684" s="152" t="s">
        <v>2807</v>
      </c>
      <c r="E684" s="153" t="s">
        <v>2808</v>
      </c>
      <c r="F684" s="161" t="s">
        <v>24</v>
      </c>
      <c r="G684" s="154" t="s">
        <v>25</v>
      </c>
      <c r="H684" s="207" t="s">
        <v>2809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2810</v>
      </c>
    </row>
    <row r="685" spans="1:20" ht="15" hidden="1" x14ac:dyDescent="0.25">
      <c r="A685" s="137" t="s">
        <v>2811</v>
      </c>
      <c r="B685" s="152">
        <v>2026</v>
      </c>
      <c r="C685" s="127" t="s">
        <v>22</v>
      </c>
      <c r="D685" s="131" t="s">
        <v>2812</v>
      </c>
      <c r="E685" s="128" t="s">
        <v>2813</v>
      </c>
      <c r="F685" s="129" t="s">
        <v>24</v>
      </c>
      <c r="G685" s="144" t="s">
        <v>2793</v>
      </c>
      <c r="H685" s="131" t="s">
        <v>2814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2795</v>
      </c>
    </row>
    <row r="686" spans="1:20" ht="15" x14ac:dyDescent="0.25">
      <c r="A686" s="137" t="s">
        <v>2815</v>
      </c>
      <c r="B686" s="152">
        <v>2026</v>
      </c>
      <c r="C686" s="127" t="s">
        <v>22</v>
      </c>
      <c r="D686" s="127" t="s">
        <v>2816</v>
      </c>
      <c r="E686" s="128" t="s">
        <v>2817</v>
      </c>
      <c r="F686" s="129" t="s">
        <v>69</v>
      </c>
      <c r="G686" s="130" t="s">
        <v>2694</v>
      </c>
      <c r="H686" s="131" t="s">
        <v>2818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2745</v>
      </c>
    </row>
    <row r="687" spans="1:20" ht="15" hidden="1" x14ac:dyDescent="0.25">
      <c r="A687" s="191" t="s">
        <v>2819</v>
      </c>
      <c r="B687" s="152">
        <v>2026</v>
      </c>
      <c r="C687" s="127" t="s">
        <v>22</v>
      </c>
      <c r="D687" s="173" t="s">
        <v>2820</v>
      </c>
      <c r="E687" s="180" t="s">
        <v>2821</v>
      </c>
      <c r="F687" s="216" t="s">
        <v>24</v>
      </c>
      <c r="G687" s="174" t="s">
        <v>42</v>
      </c>
      <c r="H687" s="175" t="s">
        <v>2822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2823</v>
      </c>
      <c r="B688" s="152">
        <v>2026</v>
      </c>
      <c r="C688" s="183" t="s">
        <v>22</v>
      </c>
      <c r="D688" s="183" t="s">
        <v>2824</v>
      </c>
      <c r="E688" s="184" t="s">
        <v>2825</v>
      </c>
      <c r="F688" s="185" t="s">
        <v>69</v>
      </c>
      <c r="G688" s="186" t="s">
        <v>79</v>
      </c>
      <c r="H688" s="191" t="s">
        <v>2826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2827</v>
      </c>
    </row>
    <row r="689" spans="1:20" ht="15" hidden="1" x14ac:dyDescent="0.25">
      <c r="A689" s="137" t="s">
        <v>2828</v>
      </c>
      <c r="B689" s="152">
        <v>2026</v>
      </c>
      <c r="C689" s="127" t="s">
        <v>22</v>
      </c>
      <c r="D689" s="127" t="s">
        <v>2829</v>
      </c>
      <c r="E689" s="128" t="s">
        <v>2830</v>
      </c>
      <c r="F689" s="129" t="s">
        <v>24</v>
      </c>
      <c r="G689" s="144" t="s">
        <v>2700</v>
      </c>
      <c r="H689" s="131" t="s">
        <v>2831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2832</v>
      </c>
    </row>
    <row r="690" spans="1:20" ht="15" hidden="1" x14ac:dyDescent="0.25">
      <c r="A690" s="137" t="s">
        <v>2833</v>
      </c>
      <c r="B690" s="152">
        <v>2026</v>
      </c>
      <c r="C690" s="127" t="s">
        <v>22</v>
      </c>
      <c r="D690" s="127" t="s">
        <v>2829</v>
      </c>
      <c r="E690" s="128" t="s">
        <v>2834</v>
      </c>
      <c r="F690" s="129" t="s">
        <v>24</v>
      </c>
      <c r="G690" s="144" t="s">
        <v>2700</v>
      </c>
      <c r="H690" s="131" t="s">
        <v>2835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2827</v>
      </c>
    </row>
    <row r="691" spans="1:20" ht="15" hidden="1" x14ac:dyDescent="0.25">
      <c r="A691" s="137" t="s">
        <v>2836</v>
      </c>
      <c r="B691" s="152">
        <v>2026</v>
      </c>
      <c r="C691" s="183" t="s">
        <v>22</v>
      </c>
      <c r="D691" s="183" t="s">
        <v>2837</v>
      </c>
      <c r="E691" s="184" t="s">
        <v>2838</v>
      </c>
      <c r="F691" s="185" t="s">
        <v>24</v>
      </c>
      <c r="G691" s="186" t="s">
        <v>2700</v>
      </c>
      <c r="H691" s="191" t="s">
        <v>2839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2827</v>
      </c>
    </row>
    <row r="692" spans="1:20" ht="15" hidden="1" x14ac:dyDescent="0.25">
      <c r="A692" s="191" t="s">
        <v>2840</v>
      </c>
      <c r="B692" s="152">
        <v>2026</v>
      </c>
      <c r="C692" s="183" t="s">
        <v>22</v>
      </c>
      <c r="D692" s="183" t="s">
        <v>2837</v>
      </c>
      <c r="E692" s="184" t="s">
        <v>2841</v>
      </c>
      <c r="F692" s="185" t="s">
        <v>24</v>
      </c>
      <c r="G692" s="186" t="s">
        <v>2700</v>
      </c>
      <c r="H692" s="191" t="s">
        <v>2842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2827</v>
      </c>
    </row>
    <row r="693" spans="1:20" ht="15" hidden="1" x14ac:dyDescent="0.25">
      <c r="A693" s="191" t="s">
        <v>2843</v>
      </c>
      <c r="B693" s="152">
        <v>2026</v>
      </c>
      <c r="C693" s="183" t="s">
        <v>2697</v>
      </c>
      <c r="D693" s="183" t="s">
        <v>2844</v>
      </c>
      <c r="E693" s="184" t="s">
        <v>2845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2846</v>
      </c>
      <c r="B694" s="152">
        <v>2026</v>
      </c>
      <c r="C694" s="127" t="s">
        <v>2697</v>
      </c>
      <c r="D694" s="173" t="s">
        <v>2847</v>
      </c>
      <c r="E694" s="180" t="s">
        <v>2848</v>
      </c>
      <c r="F694" s="129" t="s">
        <v>69</v>
      </c>
      <c r="G694" s="130" t="s">
        <v>79</v>
      </c>
      <c r="H694" s="175" t="s">
        <v>2849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2850</v>
      </c>
      <c r="B695" s="152">
        <v>2026</v>
      </c>
      <c r="C695" s="183" t="s">
        <v>2697</v>
      </c>
      <c r="D695" s="183" t="s">
        <v>2851</v>
      </c>
      <c r="E695" s="184" t="s">
        <v>2852</v>
      </c>
      <c r="F695" s="185" t="s">
        <v>69</v>
      </c>
      <c r="G695" s="186" t="s">
        <v>79</v>
      </c>
      <c r="H695" s="191" t="s">
        <v>2853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2854</v>
      </c>
      <c r="B696" s="152">
        <v>2026</v>
      </c>
      <c r="C696" s="127" t="s">
        <v>22</v>
      </c>
      <c r="D696" s="127" t="s">
        <v>2855</v>
      </c>
      <c r="E696" s="128" t="s">
        <v>2856</v>
      </c>
      <c r="F696" s="129" t="s">
        <v>69</v>
      </c>
      <c r="G696" s="130" t="s">
        <v>79</v>
      </c>
      <c r="H696" s="131" t="s">
        <v>2857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2858</v>
      </c>
      <c r="B697" s="152">
        <v>2026</v>
      </c>
      <c r="C697" s="127" t="s">
        <v>22</v>
      </c>
      <c r="D697" s="173" t="s">
        <v>2859</v>
      </c>
      <c r="E697" s="180" t="s">
        <v>2860</v>
      </c>
      <c r="F697" s="129" t="s">
        <v>24</v>
      </c>
      <c r="G697" s="144" t="s">
        <v>2700</v>
      </c>
      <c r="H697" s="175" t="s">
        <v>2861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2827</v>
      </c>
    </row>
    <row r="698" spans="1:20" ht="15" hidden="1" x14ac:dyDescent="0.25">
      <c r="A698" s="191" t="s">
        <v>2862</v>
      </c>
      <c r="B698" s="152">
        <v>2026</v>
      </c>
      <c r="C698" s="183" t="s">
        <v>2790</v>
      </c>
      <c r="D698" s="183" t="s">
        <v>2863</v>
      </c>
      <c r="E698" s="184" t="s">
        <v>2864</v>
      </c>
      <c r="F698" s="185" t="s">
        <v>24</v>
      </c>
      <c r="G698" s="186" t="s">
        <v>75</v>
      </c>
      <c r="H698" s="191" t="s">
        <v>2865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2866</v>
      </c>
    </row>
    <row r="699" spans="1:20" ht="15" hidden="1" x14ac:dyDescent="0.25">
      <c r="A699" s="137" t="s">
        <v>2867</v>
      </c>
      <c r="B699" s="152">
        <v>2026</v>
      </c>
      <c r="C699" s="127" t="s">
        <v>22</v>
      </c>
      <c r="D699" s="127" t="s">
        <v>2868</v>
      </c>
      <c r="E699" s="128" t="s">
        <v>2869</v>
      </c>
      <c r="F699" s="129" t="s">
        <v>24</v>
      </c>
      <c r="G699" s="130" t="s">
        <v>206</v>
      </c>
      <c r="H699" s="131" t="s">
        <v>2870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2871</v>
      </c>
    </row>
    <row r="700" spans="1:20" ht="15" hidden="1" x14ac:dyDescent="0.25">
      <c r="A700" s="191" t="s">
        <v>2872</v>
      </c>
      <c r="B700" s="152">
        <v>2026</v>
      </c>
      <c r="C700" s="183" t="s">
        <v>22</v>
      </c>
      <c r="D700" s="183" t="s">
        <v>2873</v>
      </c>
      <c r="E700" s="184" t="s">
        <v>2874</v>
      </c>
      <c r="F700" s="185" t="s">
        <v>88</v>
      </c>
      <c r="G700" s="186" t="s">
        <v>2718</v>
      </c>
      <c r="H700" s="191" t="s">
        <v>2875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2876</v>
      </c>
      <c r="B701" s="152">
        <v>2026</v>
      </c>
      <c r="C701" s="183" t="s">
        <v>22</v>
      </c>
      <c r="D701" s="183" t="s">
        <v>2877</v>
      </c>
      <c r="E701" s="184" t="s">
        <v>2878</v>
      </c>
      <c r="F701" s="185" t="s">
        <v>24</v>
      </c>
      <c r="G701" s="186" t="s">
        <v>75</v>
      </c>
      <c r="H701" s="191" t="s">
        <v>2879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2810</v>
      </c>
    </row>
    <row r="702" spans="1:20" ht="15" hidden="1" x14ac:dyDescent="0.25">
      <c r="A702" s="191" t="s">
        <v>2880</v>
      </c>
      <c r="B702" s="152">
        <v>2026</v>
      </c>
      <c r="C702" s="183" t="s">
        <v>2697</v>
      </c>
      <c r="D702" s="183" t="s">
        <v>2881</v>
      </c>
      <c r="E702" s="184" t="s">
        <v>2882</v>
      </c>
      <c r="F702" s="185" t="s">
        <v>69</v>
      </c>
      <c r="G702" s="186" t="s">
        <v>79</v>
      </c>
      <c r="H702" s="191" t="s">
        <v>2787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2883</v>
      </c>
    </row>
    <row r="703" spans="1:20" ht="15" hidden="1" x14ac:dyDescent="0.25">
      <c r="A703" s="191" t="s">
        <v>2884</v>
      </c>
      <c r="B703" s="152">
        <v>2026</v>
      </c>
      <c r="C703" s="183" t="s">
        <v>22</v>
      </c>
      <c r="D703" s="183" t="s">
        <v>2885</v>
      </c>
      <c r="E703" s="184" t="s">
        <v>2886</v>
      </c>
      <c r="F703" s="185" t="s">
        <v>69</v>
      </c>
      <c r="G703" s="186" t="s">
        <v>79</v>
      </c>
      <c r="H703" s="191" t="s">
        <v>2783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2887</v>
      </c>
    </row>
    <row r="704" spans="1:20" ht="15" hidden="1" x14ac:dyDescent="0.25">
      <c r="A704" s="191" t="s">
        <v>2888</v>
      </c>
      <c r="B704" s="152">
        <v>2026</v>
      </c>
      <c r="C704" s="183" t="s">
        <v>22</v>
      </c>
      <c r="D704" s="183" t="s">
        <v>2889</v>
      </c>
      <c r="E704" s="184" t="s">
        <v>2890</v>
      </c>
      <c r="F704" s="185" t="s">
        <v>69</v>
      </c>
      <c r="G704" s="186" t="s">
        <v>79</v>
      </c>
      <c r="H704" s="191" t="s">
        <v>2891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2892</v>
      </c>
    </row>
    <row r="705" spans="1:21" ht="15" hidden="1" x14ac:dyDescent="0.25">
      <c r="A705" s="191" t="s">
        <v>2893</v>
      </c>
      <c r="B705" s="152">
        <v>2026</v>
      </c>
      <c r="C705" s="183" t="s">
        <v>2697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hidden="1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2697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2718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2718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2718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2718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2718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2718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2718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2718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2718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2718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2718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2718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2718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2718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2718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2718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2718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2718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3185</v>
      </c>
      <c r="B737" s="183">
        <v>2026</v>
      </c>
      <c r="C737" s="183" t="s">
        <v>2697</v>
      </c>
      <c r="D737" s="183" t="s">
        <v>3186</v>
      </c>
      <c r="E737" s="180" t="s">
        <v>3187</v>
      </c>
      <c r="F737" s="185"/>
      <c r="G737" s="186" t="s">
        <v>79</v>
      </c>
      <c r="H737" s="191" t="s">
        <v>3188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2892</v>
      </c>
    </row>
    <row r="738" spans="1:20" ht="15" hidden="1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hidden="1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hidden="1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2990</v>
      </c>
      <c r="H1" s="213" t="s">
        <v>2991</v>
      </c>
    </row>
    <row r="2" spans="1:8" x14ac:dyDescent="0.25">
      <c r="H2" s="212" t="s">
        <v>2992</v>
      </c>
    </row>
    <row r="3" spans="1:8" x14ac:dyDescent="0.25">
      <c r="A3" t="s">
        <v>0</v>
      </c>
      <c r="B3" t="s">
        <v>19</v>
      </c>
      <c r="C3" t="s">
        <v>2993</v>
      </c>
      <c r="D3" t="s">
        <v>2994</v>
      </c>
      <c r="E3" t="s">
        <v>2995</v>
      </c>
      <c r="H3" s="212" t="s">
        <v>2996</v>
      </c>
    </row>
    <row r="4" spans="1:8" x14ac:dyDescent="0.25">
      <c r="A4">
        <v>1</v>
      </c>
      <c r="B4" t="s">
        <v>2997</v>
      </c>
      <c r="D4" t="s">
        <v>2998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2999</v>
      </c>
    </row>
    <row r="5" spans="1:8" x14ac:dyDescent="0.25">
      <c r="A5">
        <v>2</v>
      </c>
      <c r="B5" t="s">
        <v>2507</v>
      </c>
      <c r="D5" t="s">
        <v>2998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3000</v>
      </c>
    </row>
    <row r="6" spans="1:8" x14ac:dyDescent="0.25">
      <c r="A6">
        <v>3</v>
      </c>
      <c r="B6" t="s">
        <v>1030</v>
      </c>
      <c r="D6" t="s">
        <v>2998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3001</v>
      </c>
      <c r="D7" t="s">
        <v>2998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3002</v>
      </c>
    </row>
    <row r="8" spans="1:8" x14ac:dyDescent="0.25">
      <c r="A8">
        <v>5</v>
      </c>
      <c r="B8" t="s">
        <v>3003</v>
      </c>
      <c r="D8" t="s">
        <v>2998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2998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2998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2998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2998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2998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2998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2998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2998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2998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2998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2998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2998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2998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2998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3004</v>
      </c>
      <c r="D23" t="s">
        <v>2998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2998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3005</v>
      </c>
      <c r="D25" t="s">
        <v>2998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3006</v>
      </c>
      <c r="D26" t="s">
        <v>2998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2998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2998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3007</v>
      </c>
      <c r="D29" t="s">
        <v>2998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2998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2998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2998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3008</v>
      </c>
      <c r="D33" t="s">
        <v>2998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3009</v>
      </c>
      <c r="D34" t="s">
        <v>2998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2998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2998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2998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3010</v>
      </c>
      <c r="D38" t="s">
        <v>2998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2998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3011</v>
      </c>
      <c r="D40" t="s">
        <v>2998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2998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3012</v>
      </c>
      <c r="D42" t="s">
        <v>2998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2998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2998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3013</v>
      </c>
      <c r="D45" t="s">
        <v>2998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2998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2998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2998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2998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3014</v>
      </c>
      <c r="D50" t="s">
        <v>2998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2720</v>
      </c>
      <c r="D51" t="s">
        <v>2998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3015</v>
      </c>
      <c r="D52" t="s">
        <v>2998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2998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2998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3016</v>
      </c>
      <c r="D55" t="s">
        <v>2998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2998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2998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2998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3017</v>
      </c>
      <c r="D59" t="s">
        <v>2998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2998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2998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2998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3018</v>
      </c>
      <c r="D63" t="s">
        <v>2998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3019</v>
      </c>
      <c r="D64" t="s">
        <v>2998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3020</v>
      </c>
      <c r="D65" t="s">
        <v>2998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3021</v>
      </c>
      <c r="D66" t="s">
        <v>2998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2795</v>
      </c>
      <c r="D67" t="s">
        <v>2998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2998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3022</v>
      </c>
      <c r="D69" t="s">
        <v>2998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3023</v>
      </c>
      <c r="D70" t="s">
        <v>2998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2998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3024</v>
      </c>
      <c r="D72" t="s">
        <v>2998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2998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2998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2998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3025</v>
      </c>
      <c r="D76" t="s">
        <v>2998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2998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2998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2998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2998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3026</v>
      </c>
      <c r="D81" t="s">
        <v>2998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3027</v>
      </c>
      <c r="D82" t="s">
        <v>2998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3028</v>
      </c>
      <c r="D83" t="s">
        <v>2998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3029</v>
      </c>
      <c r="D84" t="s">
        <v>2998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2998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3030</v>
      </c>
      <c r="D86" t="s">
        <v>2998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2998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3031</v>
      </c>
      <c r="D88" t="s">
        <v>2998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3032</v>
      </c>
      <c r="D89" t="s">
        <v>2998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3033</v>
      </c>
      <c r="D90" t="s">
        <v>2998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3034</v>
      </c>
      <c r="D91" t="s">
        <v>2998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3035</v>
      </c>
      <c r="D92" t="s">
        <v>2998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3036</v>
      </c>
      <c r="D93" t="s">
        <v>2998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3037</v>
      </c>
      <c r="D94" t="s">
        <v>2998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3038</v>
      </c>
      <c r="D95" t="s">
        <v>2998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3039</v>
      </c>
      <c r="D96" t="s">
        <v>2998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2998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3040</v>
      </c>
      <c r="D98" t="s">
        <v>2998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2998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3041</v>
      </c>
      <c r="D100" t="s">
        <v>2998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3042</v>
      </c>
      <c r="D101" t="s">
        <v>2998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3043</v>
      </c>
      <c r="D102" t="s">
        <v>2998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3044</v>
      </c>
      <c r="D103" t="s">
        <v>2998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2892</v>
      </c>
      <c r="D104" t="s">
        <v>2998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3045</v>
      </c>
      <c r="D105" t="s">
        <v>2998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3046</v>
      </c>
      <c r="D106" t="s">
        <v>2998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3047</v>
      </c>
      <c r="D107" t="s">
        <v>2998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2866</v>
      </c>
      <c r="D108" t="s">
        <v>2998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2871</v>
      </c>
      <c r="D109" t="s">
        <v>2998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3048</v>
      </c>
      <c r="C1" s="19" t="s">
        <v>3049</v>
      </c>
      <c r="D1" s="19" t="s">
        <v>4</v>
      </c>
      <c r="E1" s="19" t="s">
        <v>3050</v>
      </c>
      <c r="F1" s="19" t="s">
        <v>19</v>
      </c>
      <c r="G1" s="19" t="s">
        <v>3051</v>
      </c>
      <c r="H1" s="19" t="s">
        <v>3052</v>
      </c>
      <c r="I1" s="19" t="s">
        <v>3053</v>
      </c>
      <c r="J1" s="19" t="s">
        <v>3054</v>
      </c>
      <c r="L1" s="112" t="s">
        <v>3055</v>
      </c>
      <c r="M1" s="23">
        <v>2026</v>
      </c>
      <c r="U1" s="80" t="s">
        <v>3056</v>
      </c>
      <c r="V1" s="79"/>
      <c r="X1" s="78" t="s">
        <v>3057</v>
      </c>
      <c r="Y1" s="27"/>
      <c r="Z1" s="27"/>
      <c r="AA1" s="27"/>
      <c r="AC1" s="100" t="s">
        <v>3058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3059</v>
      </c>
      <c r="M2" s="107" t="s">
        <v>2929</v>
      </c>
      <c r="X2" s="114" t="s">
        <v>3048</v>
      </c>
      <c r="Y2" s="114" t="s">
        <v>19</v>
      </c>
      <c r="Z2" s="114" t="s">
        <v>3060</v>
      </c>
      <c r="AA2" s="114" t="s">
        <v>3061</v>
      </c>
      <c r="AC2" s="115" t="s">
        <v>1</v>
      </c>
      <c r="AD2" s="115" t="s">
        <v>3062</v>
      </c>
      <c r="AE2" s="115" t="s">
        <v>3063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3064</v>
      </c>
      <c r="M3" s="113" t="s">
        <v>3065</v>
      </c>
      <c r="N3" s="113" t="s">
        <v>3066</v>
      </c>
      <c r="O3" s="113" t="s">
        <v>3067</v>
      </c>
      <c r="P3" s="113" t="s">
        <v>3068</v>
      </c>
      <c r="Q3" s="113" t="s">
        <v>3069</v>
      </c>
      <c r="R3" s="113" t="s">
        <v>3070</v>
      </c>
      <c r="S3" s="113" t="s">
        <v>3071</v>
      </c>
      <c r="T3" s="113" t="s">
        <v>3072</v>
      </c>
      <c r="X3" t="s">
        <v>2836</v>
      </c>
      <c r="Y3" t="s">
        <v>3011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2832</v>
      </c>
      <c r="Z5">
        <v>1</v>
      </c>
      <c r="AA5">
        <v>0.6</v>
      </c>
      <c r="AC5" s="97">
        <v>2026</v>
      </c>
      <c r="AD5" s="18" t="s">
        <v>3073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3011</v>
      </c>
      <c r="Z6">
        <v>1</v>
      </c>
      <c r="AA6">
        <v>0</v>
      </c>
      <c r="AC6" s="97">
        <v>2026</v>
      </c>
      <c r="AD6" s="18" t="s">
        <v>3074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9.4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2811</v>
      </c>
      <c r="Y7" t="s">
        <v>2795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3005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3023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3005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9.4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18.8</v>
      </c>
      <c r="J17" s="22">
        <f ca="1"/>
        <v>18.8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3023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Em andamento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3005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3023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2833</v>
      </c>
      <c r="Y23" s="18" t="s">
        <v>2832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2833</v>
      </c>
      <c r="Y24" s="18" t="s">
        <v>3011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8" t="s">
        <v>2832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8" t="s">
        <v>3011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2796</v>
      </c>
      <c r="Y27" s="18" t="s">
        <v>2795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2721</v>
      </c>
      <c r="Y28" s="18" t="s">
        <v>3046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2721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2721</v>
      </c>
      <c r="Y30" s="18" t="s">
        <v>3042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2840</v>
      </c>
      <c r="Y31" s="18" t="s">
        <v>2832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2754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2754</v>
      </c>
      <c r="Y33" t="s">
        <v>3024</v>
      </c>
      <c r="Z33">
        <v>4</v>
      </c>
      <c r="AA33">
        <v>0.6</v>
      </c>
      <c r="AC33" s="99"/>
      <c r="AD33" s="116" t="s">
        <v>3075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2754</v>
      </c>
      <c r="Y34" t="s">
        <v>3025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2754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2754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3016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3033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3032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Em andamento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3044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Em andamento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3041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3043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3040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3076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3047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3045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2784</v>
      </c>
      <c r="Y55" t="s">
        <v>3032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2749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2749</v>
      </c>
      <c r="Y58" s="110" t="s">
        <v>3039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2749</v>
      </c>
      <c r="Y59" t="s">
        <v>3038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2749</v>
      </c>
      <c r="Y60" t="s">
        <v>3037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3029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2892</v>
      </c>
      <c r="Z65">
        <v>0</v>
      </c>
      <c r="AA65">
        <v>18.8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3027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2823</v>
      </c>
      <c r="Y70" s="18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A realizar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8" t="s">
        <v>3011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3016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A realizar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3030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3034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A realizar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3031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3035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3077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3078</v>
      </c>
      <c r="B4" s="230"/>
      <c r="D4" s="231" t="s">
        <v>3079</v>
      </c>
      <c r="E4" s="232"/>
      <c r="G4" s="45" t="s">
        <v>3080</v>
      </c>
    </row>
    <row r="5" spans="1:7" ht="54.95" customHeight="1" thickBot="1" x14ac:dyDescent="0.75">
      <c r="A5" s="35">
        <f>COUNTIF('Ações InCompany'!B:B,2026)</f>
        <v>81</v>
      </c>
      <c r="B5" s="36" t="s">
        <v>3081</v>
      </c>
      <c r="D5" s="43">
        <f>COUNTIFS('Ações InCompany'!B:B,2026,'Ações InCompany'!C:C,"Realizado")</f>
        <v>46</v>
      </c>
      <c r="E5" s="44" t="s">
        <v>3081</v>
      </c>
      <c r="G5" s="46">
        <f>COUNTIFS('Ações InCompany'!B:B,2026,'Ações InCompany'!C:C,"A realizar")</f>
        <v>31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3082</v>
      </c>
      <c r="B8" s="226"/>
      <c r="D8" s="226" t="s">
        <v>3083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3084</v>
      </c>
      <c r="D10" s="28" t="s">
        <v>3085</v>
      </c>
      <c r="E10" s="28" t="s">
        <v>3086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3087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19</v>
      </c>
      <c r="D12" s="31" t="s">
        <v>3088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3089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3090</v>
      </c>
      <c r="B14" s="34">
        <f>SUM(B11:B13)</f>
        <v>44</v>
      </c>
      <c r="D14" s="33" t="s">
        <v>3091</v>
      </c>
      <c r="E14" s="34">
        <f>SUM(E11:E13)</f>
        <v>1848</v>
      </c>
    </row>
    <row r="30" spans="1:5" ht="17.25" x14ac:dyDescent="0.3">
      <c r="A30" s="226" t="s">
        <v>3092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3093</v>
      </c>
      <c r="C32" s="28" t="s">
        <v>3094</v>
      </c>
      <c r="D32" s="28" t="s">
        <v>3095</v>
      </c>
      <c r="E32" s="28" t="s">
        <v>3096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13</v>
      </c>
      <c r="C33" s="47">
        <f>COUNTIFS('Ações InCompany'!B:B,2026,'Ações InCompany'!C:C,"A realizar",'Ações InCompany'!G:G,A33)</f>
        <v>8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2793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2718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3097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3098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3090</v>
      </c>
      <c r="B45" s="41">
        <f>SUM(B33:B44)</f>
        <v>46</v>
      </c>
      <c r="C45" s="41">
        <f>SUM(C33:C44)</f>
        <v>31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3104</v>
      </c>
      <c r="B2" s="12" t="s">
        <v>3105</v>
      </c>
      <c r="C2" s="12" t="s">
        <v>1736</v>
      </c>
      <c r="D2" s="12" t="s">
        <v>3106</v>
      </c>
      <c r="E2" s="12" t="s">
        <v>3107</v>
      </c>
    </row>
    <row r="3" spans="1:5" ht="18" customHeight="1" x14ac:dyDescent="0.25">
      <c r="A3" s="12" t="s">
        <v>3104</v>
      </c>
      <c r="B3" s="12" t="s">
        <v>3105</v>
      </c>
      <c r="C3" s="14" t="s">
        <v>25</v>
      </c>
      <c r="D3" s="12" t="s">
        <v>3108</v>
      </c>
      <c r="E3" s="12" t="s">
        <v>3109</v>
      </c>
    </row>
    <row r="4" spans="1:5" ht="18" customHeight="1" x14ac:dyDescent="0.25">
      <c r="A4" s="12" t="s">
        <v>3104</v>
      </c>
      <c r="B4" s="12" t="s">
        <v>3105</v>
      </c>
      <c r="C4" s="12" t="s">
        <v>75</v>
      </c>
      <c r="D4" s="12" t="s">
        <v>3106</v>
      </c>
      <c r="E4" s="12" t="s">
        <v>3110</v>
      </c>
    </row>
    <row r="5" spans="1:5" ht="18" customHeight="1" x14ac:dyDescent="0.25">
      <c r="A5" s="12" t="s">
        <v>3104</v>
      </c>
      <c r="B5" s="12" t="s">
        <v>3105</v>
      </c>
      <c r="C5" s="12" t="s">
        <v>79</v>
      </c>
      <c r="D5" s="12" t="s">
        <v>3111</v>
      </c>
      <c r="E5" s="12" t="s">
        <v>3112</v>
      </c>
    </row>
    <row r="6" spans="1:5" ht="18" customHeight="1" x14ac:dyDescent="0.25">
      <c r="A6" s="12" t="s">
        <v>3104</v>
      </c>
      <c r="B6" s="12" t="s">
        <v>3105</v>
      </c>
      <c r="C6" s="12" t="s">
        <v>2718</v>
      </c>
      <c r="D6" s="12" t="s">
        <v>3113</v>
      </c>
      <c r="E6" s="12" t="s">
        <v>3114</v>
      </c>
    </row>
    <row r="7" spans="1:5" ht="18" customHeight="1" x14ac:dyDescent="0.25">
      <c r="A7" s="12" t="s">
        <v>3104</v>
      </c>
      <c r="B7" s="12" t="s">
        <v>3115</v>
      </c>
      <c r="C7" s="12" t="s">
        <v>36</v>
      </c>
      <c r="D7" s="12" t="s">
        <v>3116</v>
      </c>
      <c r="E7" s="12" t="s">
        <v>3117</v>
      </c>
    </row>
    <row r="8" spans="1:5" ht="18" customHeight="1" x14ac:dyDescent="0.25">
      <c r="A8" s="12" t="s">
        <v>3104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3104</v>
      </c>
      <c r="B9" s="12" t="s">
        <v>3120</v>
      </c>
      <c r="C9" s="12" t="s">
        <v>464</v>
      </c>
      <c r="D9" s="12" t="s">
        <v>3121</v>
      </c>
      <c r="E9" s="12" t="s">
        <v>3122</v>
      </c>
    </row>
    <row r="10" spans="1:5" ht="18" customHeight="1" x14ac:dyDescent="0.25">
      <c r="A10" s="12" t="s">
        <v>3104</v>
      </c>
      <c r="B10" s="12" t="s">
        <v>3120</v>
      </c>
      <c r="C10" s="12" t="s">
        <v>206</v>
      </c>
      <c r="D10" s="12" t="s">
        <v>24</v>
      </c>
      <c r="E10" s="12" t="s">
        <v>3123</v>
      </c>
    </row>
    <row r="11" spans="1:5" ht="18" customHeight="1" x14ac:dyDescent="0.25">
      <c r="A11" s="12" t="s">
        <v>3104</v>
      </c>
      <c r="B11" s="12" t="s">
        <v>3120</v>
      </c>
      <c r="C11" s="12" t="s">
        <v>371</v>
      </c>
      <c r="D11" s="12" t="s">
        <v>24</v>
      </c>
      <c r="E11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3125</v>
      </c>
      <c r="B1" s="5" t="s">
        <v>10</v>
      </c>
      <c r="C1" s="15" t="s">
        <v>3126</v>
      </c>
      <c r="D1" s="15" t="s">
        <v>3049</v>
      </c>
    </row>
    <row r="2" spans="1:4" ht="21" customHeight="1" x14ac:dyDescent="0.25">
      <c r="A2" s="103" t="s">
        <v>24</v>
      </c>
      <c r="B2" s="103" t="s">
        <v>38</v>
      </c>
      <c r="C2" s="12" t="s">
        <v>3127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2790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3129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3130</v>
      </c>
      <c r="B2" s="12" t="s">
        <v>3105</v>
      </c>
      <c r="C2" s="14" t="s">
        <v>25</v>
      </c>
      <c r="D2" s="12" t="s">
        <v>3106</v>
      </c>
      <c r="E2" s="17" t="s">
        <v>3131</v>
      </c>
    </row>
    <row r="3" spans="1:5" ht="18" customHeight="1" x14ac:dyDescent="0.25">
      <c r="A3" s="12" t="s">
        <v>3130</v>
      </c>
      <c r="B3" s="12" t="s">
        <v>3105</v>
      </c>
      <c r="C3" s="12" t="s">
        <v>75</v>
      </c>
      <c r="D3" s="12" t="s">
        <v>3108</v>
      </c>
      <c r="E3" s="12" t="s">
        <v>3132</v>
      </c>
    </row>
    <row r="4" spans="1:5" ht="18" customHeight="1" x14ac:dyDescent="0.25">
      <c r="A4" s="12" t="s">
        <v>3130</v>
      </c>
      <c r="B4" s="12" t="s">
        <v>3105</v>
      </c>
      <c r="C4" s="12" t="s">
        <v>79</v>
      </c>
      <c r="D4" s="12" t="s">
        <v>3111</v>
      </c>
      <c r="E4" s="12" t="s">
        <v>3133</v>
      </c>
    </row>
    <row r="5" spans="1:5" ht="27.75" customHeight="1" x14ac:dyDescent="0.25">
      <c r="A5" s="12" t="s">
        <v>3130</v>
      </c>
      <c r="B5" s="12" t="s">
        <v>3105</v>
      </c>
      <c r="C5" s="12" t="s">
        <v>2694</v>
      </c>
      <c r="D5" s="17" t="s">
        <v>3134</v>
      </c>
      <c r="E5" s="12" t="s">
        <v>3135</v>
      </c>
    </row>
    <row r="6" spans="1:5" ht="18" customHeight="1" x14ac:dyDescent="0.25">
      <c r="A6" s="12" t="s">
        <v>3130</v>
      </c>
      <c r="B6" s="12" t="s">
        <v>3105</v>
      </c>
      <c r="C6" s="12" t="s">
        <v>2718</v>
      </c>
      <c r="D6" s="12" t="s">
        <v>3113</v>
      </c>
      <c r="E6" s="12" t="s">
        <v>3114</v>
      </c>
    </row>
    <row r="7" spans="1:5" ht="18" customHeight="1" x14ac:dyDescent="0.25">
      <c r="A7" s="12" t="s">
        <v>3130</v>
      </c>
      <c r="B7" s="12" t="s">
        <v>3115</v>
      </c>
      <c r="C7" s="12" t="s">
        <v>2700</v>
      </c>
      <c r="D7" s="12" t="s">
        <v>3136</v>
      </c>
      <c r="E7" s="12" t="s">
        <v>3137</v>
      </c>
    </row>
    <row r="8" spans="1:5" ht="18" customHeight="1" x14ac:dyDescent="0.25">
      <c r="A8" s="12" t="s">
        <v>3130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3130</v>
      </c>
      <c r="B9" s="12" t="s">
        <v>3115</v>
      </c>
      <c r="C9" s="12" t="s">
        <v>2793</v>
      </c>
      <c r="D9" s="12" t="s">
        <v>3138</v>
      </c>
      <c r="E9" s="17" t="s">
        <v>3139</v>
      </c>
    </row>
    <row r="10" spans="1:5" ht="18" customHeight="1" x14ac:dyDescent="0.25">
      <c r="A10" s="12" t="s">
        <v>3130</v>
      </c>
      <c r="B10" s="12" t="s">
        <v>3140</v>
      </c>
      <c r="C10" s="12" t="s">
        <v>3097</v>
      </c>
      <c r="D10" s="12" t="s">
        <v>3141</v>
      </c>
      <c r="E10" s="17" t="s">
        <v>3142</v>
      </c>
    </row>
    <row r="11" spans="1:5" ht="18" customHeight="1" x14ac:dyDescent="0.25">
      <c r="A11" s="12" t="s">
        <v>3130</v>
      </c>
      <c r="B11" s="12" t="s">
        <v>3140</v>
      </c>
      <c r="C11" s="12" t="s">
        <v>206</v>
      </c>
      <c r="D11" s="12" t="s">
        <v>24</v>
      </c>
      <c r="E11" s="12" t="s">
        <v>3123</v>
      </c>
    </row>
    <row r="12" spans="1:5" ht="18" customHeight="1" x14ac:dyDescent="0.25">
      <c r="A12" s="12" t="s">
        <v>3130</v>
      </c>
      <c r="B12" s="12" t="s">
        <v>3140</v>
      </c>
      <c r="C12" s="12" t="s">
        <v>371</v>
      </c>
      <c r="D12" s="12" t="s">
        <v>24</v>
      </c>
      <c r="E12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3143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3144</v>
      </c>
    </row>
    <row r="4" spans="1:8" ht="21.95" customHeight="1" x14ac:dyDescent="0.25">
      <c r="A4" s="234" t="s">
        <v>3145</v>
      </c>
      <c r="B4" s="235"/>
      <c r="D4" s="234" t="s">
        <v>3146</v>
      </c>
      <c r="E4" s="235"/>
      <c r="G4" s="234" t="s">
        <v>3147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3148</v>
      </c>
      <c r="B7" s="62" t="s">
        <v>3149</v>
      </c>
      <c r="C7" s="62" t="s">
        <v>1</v>
      </c>
      <c r="D7" s="62" t="s">
        <v>3150</v>
      </c>
      <c r="E7" s="62" t="s">
        <v>3151</v>
      </c>
      <c r="F7" s="62" t="s">
        <v>3049</v>
      </c>
      <c r="G7" s="62" t="s">
        <v>5</v>
      </c>
      <c r="H7" s="62" t="s">
        <v>3152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3153</v>
      </c>
      <c r="B1" s="239"/>
      <c r="C1" s="239"/>
      <c r="D1" s="239"/>
      <c r="E1" s="239"/>
      <c r="F1" s="239"/>
    </row>
    <row r="2" spans="1:7" x14ac:dyDescent="0.25">
      <c r="A2" s="240" t="s">
        <v>3154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3052</v>
      </c>
      <c r="C4" s="25" t="s">
        <v>3053</v>
      </c>
      <c r="D4" s="25" t="s">
        <v>3155</v>
      </c>
      <c r="E4" s="25" t="s">
        <v>3054</v>
      </c>
      <c r="F4" s="25" t="s">
        <v>3156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23.599999999999998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39.6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3091</v>
      </c>
      <c r="B105" s="95">
        <f ca="1">SUM(B5:B100)</f>
        <v>705</v>
      </c>
      <c r="C105" s="95">
        <f ca="1">SUM(C5:C100)</f>
        <v>331.34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3157</v>
      </c>
      <c r="B1" s="123" t="s">
        <v>3158</v>
      </c>
      <c r="C1" s="123" t="s">
        <v>3159</v>
      </c>
      <c r="D1" s="123" t="s">
        <v>3160</v>
      </c>
      <c r="E1" s="123" t="s">
        <v>3161</v>
      </c>
      <c r="F1" s="123" t="s">
        <v>3162</v>
      </c>
      <c r="G1" s="123" t="s">
        <v>10</v>
      </c>
      <c r="H1" s="123" t="s">
        <v>3163</v>
      </c>
      <c r="I1" s="123" t="s">
        <v>3164</v>
      </c>
      <c r="J1" s="123" t="s">
        <v>3165</v>
      </c>
      <c r="K1" s="123" t="s">
        <v>3166</v>
      </c>
      <c r="L1" s="123" t="s">
        <v>3167</v>
      </c>
      <c r="N1" s="124" t="s">
        <v>3168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3169</v>
      </c>
      <c r="L2" t="str">
        <f>IF(K2="","",IFERROR(INDEX(Tabela2[Curso],MATCH(K2,Tabela2[ID],0)),""))</f>
        <v/>
      </c>
      <c r="N2" s="123" t="s">
        <v>3048</v>
      </c>
      <c r="O2" s="123" t="s">
        <v>4</v>
      </c>
      <c r="P2" s="123" t="s">
        <v>3170</v>
      </c>
      <c r="Q2" s="123" t="s">
        <v>3171</v>
      </c>
      <c r="R2" s="123" t="s">
        <v>3172</v>
      </c>
      <c r="S2" s="123" t="s">
        <v>3173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3169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3169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3169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3169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3169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3169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3169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3169</v>
      </c>
      <c r="L10" t="str">
        <f>IF(K10="","",IFERROR(INDEX(Tabela2[Curso],MATCH(K10,Tabela2[ID],0)),""))</f>
        <v/>
      </c>
      <c r="N10" s="122" t="s">
        <v>3174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3169</v>
      </c>
      <c r="L11" t="str">
        <f>IF(K11="","",IFERROR(INDEX(Tabela2[Curso],MATCH(K11,Tabela2[ID],0)),""))</f>
        <v/>
      </c>
      <c r="N11" s="125" t="s">
        <v>3175</v>
      </c>
      <c r="O11" s="125" t="s">
        <v>3176</v>
      </c>
      <c r="P11" s="125" t="s">
        <v>3177</v>
      </c>
      <c r="Q11" s="125" t="s">
        <v>3160</v>
      </c>
      <c r="R11" s="125" t="s">
        <v>3161</v>
      </c>
      <c r="S11" s="125" t="s">
        <v>3178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3169</v>
      </c>
      <c r="L12" t="str">
        <f>IF(K12="","",IFERROR(INDEX(Tabela2[Curso],MATCH(K12,Tabela2[ID],0)),""))</f>
        <v/>
      </c>
      <c r="N12" t="s">
        <v>3179</v>
      </c>
      <c r="O12" t="s">
        <v>2754</v>
      </c>
      <c r="P12" t="s">
        <v>3180</v>
      </c>
      <c r="Q12">
        <v>0</v>
      </c>
      <c r="R12">
        <v>0</v>
      </c>
      <c r="S12" t="s">
        <v>3181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3169</v>
      </c>
      <c r="L13" t="str">
        <f>IF(K13="","",IFERROR(INDEX(Tabela2[Curso],MATCH(K13,Tabela2[ID],0)),""))</f>
        <v/>
      </c>
      <c r="N13" t="s">
        <v>3182</v>
      </c>
      <c r="O13" t="s">
        <v>2686</v>
      </c>
      <c r="P13" t="s">
        <v>3183</v>
      </c>
      <c r="Q13">
        <v>0</v>
      </c>
      <c r="R13">
        <v>0</v>
      </c>
      <c r="S13" t="s">
        <v>3184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3169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3169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3169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3169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3169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3169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3169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3169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3169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3169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3169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3169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3169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3169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3169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3169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3169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3169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3169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3169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3169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3169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3169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3169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3169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3169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3169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3169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3169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3169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3169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3169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3169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3169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3169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3169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3169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3169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3169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3169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3169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3169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3169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3169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3169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3169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3169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3169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3169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3169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18.8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3169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3169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openxmlformats.org/package/2006/metadata/core-properties"/>
    <ds:schemaRef ds:uri="http://schemas.microsoft.com/office/2006/documentManagement/types"/>
    <ds:schemaRef ds:uri="http://purl.org/dc/terms/"/>
    <ds:schemaRef ds:uri="91ce1707-6d34-452b-b217-9734c03e6729"/>
    <ds:schemaRef ds:uri="http://schemas.microsoft.com/office/2006/metadata/properties"/>
    <ds:schemaRef ds:uri="http://purl.org/dc/dcmitype/"/>
    <ds:schemaRef ds:uri="http://purl.org/dc/elements/1.1/"/>
    <ds:schemaRef ds:uri="fe686eaa-0658-4f15-b230-9e46c4d089fd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2026-08-13T22:04:32Z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