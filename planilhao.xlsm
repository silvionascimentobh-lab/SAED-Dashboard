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3" documentId="13_ncr:1_{6A2CC3E2-FAFB-4D8F-B284-5E8FB5045DFE}" xr6:coauthVersionLast="47" xr6:coauthVersionMax="47" xr10:uidLastSave="{2865A03A-E3E3-43DE-925A-8A430C2FAEEF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4" i="29"/>
  <c r="S3" i="29"/>
  <c r="S8" i="29"/>
  <c r="S7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57" i="23" l="1"/>
  <c r="E57" i="23"/>
  <c r="F57" i="23"/>
  <c r="C57" i="23"/>
  <c r="B57" i="23"/>
  <c r="D56" i="23"/>
  <c r="F56" i="23"/>
  <c r="C56" i="23"/>
  <c r="E56" i="23"/>
  <c r="B56" i="23"/>
  <c r="B8" i="27" l="1"/>
  <c r="A8" i="27"/>
  <c r="L4" i="20"/>
  <c r="R4" i="20" s="1" a="1"/>
  <c r="R4" i="20" s="1"/>
  <c r="S4" i="20" s="1" a="1"/>
  <c r="S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T4" i="20" l="1" a="1"/>
  <c r="T4" i="20" s="1"/>
  <c r="A2" i="20" l="1" a="1"/>
  <c r="A5" i="23" s="1" a="1"/>
  <c r="A2" i="20" l="1"/>
  <c r="E105" i="23"/>
  <c r="F6" i="23"/>
  <c r="F50" i="23"/>
  <c r="F39" i="23"/>
  <c r="E22" i="23"/>
  <c r="B36" i="23"/>
  <c r="C26" i="23"/>
  <c r="C25" i="23"/>
  <c r="D52" i="23"/>
  <c r="C35" i="23"/>
  <c r="E41" i="23"/>
  <c r="F10" i="23"/>
  <c r="E15" i="23"/>
  <c r="D44" i="23"/>
  <c r="E29" i="23"/>
  <c r="E38" i="23"/>
  <c r="C8" i="23"/>
  <c r="D29" i="23"/>
  <c r="B20" i="23"/>
  <c r="E10" i="23"/>
  <c r="E32" i="23"/>
  <c r="D31" i="23"/>
  <c r="E26" i="23"/>
  <c r="D26" i="23"/>
  <c r="D8" i="23"/>
  <c r="B26" i="23"/>
  <c r="E49" i="23"/>
  <c r="C50" i="23"/>
  <c r="D28" i="23"/>
  <c r="B10" i="23"/>
  <c r="B44" i="23"/>
  <c r="D12" i="23"/>
  <c r="E52" i="23"/>
  <c r="B8" i="23"/>
  <c r="B42" i="23"/>
  <c r="D23" i="23"/>
  <c r="D34" i="23"/>
  <c r="D18" i="23"/>
  <c r="B6" i="23"/>
  <c r="D20" i="23"/>
  <c r="B35" i="23"/>
  <c r="C6" i="23"/>
  <c r="F35" i="23"/>
  <c r="E43" i="23"/>
  <c r="D19" i="23"/>
  <c r="B21" i="23"/>
  <c r="D48" i="23"/>
  <c r="B41" i="23"/>
  <c r="C29" i="23"/>
  <c r="E35" i="23"/>
  <c r="D6" i="23"/>
  <c r="F28" i="23"/>
  <c r="C20" i="23"/>
  <c r="D35" i="23"/>
  <c r="C17" i="23"/>
  <c r="E19" i="23"/>
  <c r="E51" i="23"/>
  <c r="F32" i="23"/>
  <c r="E46" i="23"/>
  <c r="C44" i="23"/>
  <c r="B9" i="23"/>
  <c r="C52" i="23"/>
  <c r="E55" i="23"/>
  <c r="D21" i="23"/>
  <c r="C34" i="23"/>
  <c r="B38" i="23"/>
  <c r="C15" i="23"/>
  <c r="E7" i="23"/>
  <c r="C27" i="23"/>
  <c r="C36" i="23"/>
  <c r="C18" i="23"/>
  <c r="C7" i="23"/>
  <c r="F25" i="23"/>
  <c r="D33" i="23"/>
  <c r="F14" i="23"/>
  <c r="B28" i="23"/>
  <c r="E6" i="23"/>
  <c r="F24" i="23"/>
  <c r="F44" i="23"/>
  <c r="E11" i="23"/>
  <c r="B16" i="23"/>
  <c r="D14" i="23"/>
  <c r="F8" i="23"/>
  <c r="F17" i="23"/>
  <c r="B24" i="23"/>
  <c r="C33" i="23"/>
  <c r="E30" i="23"/>
  <c r="E21" i="23"/>
  <c r="C47" i="23"/>
  <c r="B15" i="23"/>
  <c r="B54" i="23"/>
  <c r="D36" i="23"/>
  <c r="B43" i="23"/>
  <c r="F9" i="23"/>
  <c r="D7" i="23"/>
  <c r="C37" i="23"/>
  <c r="B12" i="23"/>
  <c r="D40" i="23"/>
  <c r="B37" i="23"/>
  <c r="D41" i="23"/>
  <c r="B47" i="23"/>
  <c r="E50" i="23"/>
  <c r="B13" i="23"/>
  <c r="D37" i="23"/>
  <c r="F26" i="23"/>
  <c r="D46" i="23"/>
  <c r="C16" i="23"/>
  <c r="D13" i="23"/>
  <c r="D43" i="23"/>
  <c r="C38" i="23"/>
  <c r="F47" i="23"/>
  <c r="F18" i="23"/>
  <c r="F27" i="23"/>
  <c r="C12" i="23"/>
  <c r="E28" i="23"/>
  <c r="D11" i="23"/>
  <c r="E37" i="23"/>
  <c r="C14" i="23"/>
  <c r="C45" i="23"/>
  <c r="C41" i="23"/>
  <c r="C46" i="23"/>
  <c r="C51" i="23"/>
  <c r="D10" i="23"/>
  <c r="C9" i="23"/>
  <c r="D50" i="23"/>
  <c r="C53" i="23"/>
  <c r="B32" i="23"/>
  <c r="C48" i="23"/>
  <c r="F45" i="23"/>
  <c r="B14" i="23"/>
  <c r="F34" i="23"/>
  <c r="D51" i="23"/>
  <c r="B25" i="23"/>
  <c r="D39" i="23"/>
  <c r="B46" i="23"/>
  <c r="F33" i="23"/>
  <c r="D30" i="23"/>
  <c r="B50" i="23"/>
  <c r="C13" i="23"/>
  <c r="D17" i="23"/>
  <c r="B52" i="23"/>
  <c r="E20" i="23"/>
  <c r="C10" i="23"/>
  <c r="E44" i="23"/>
  <c r="F16" i="23"/>
  <c r="B22" i="23"/>
  <c r="F22" i="23"/>
  <c r="E9" i="23"/>
  <c r="B39" i="23"/>
  <c r="E40" i="23"/>
  <c r="F36" i="23"/>
  <c r="B30" i="23"/>
  <c r="E12" i="23"/>
  <c r="B34" i="23"/>
  <c r="B33" i="23"/>
  <c r="E13" i="23"/>
  <c r="B11" i="23"/>
  <c r="E24" i="23"/>
  <c r="E54" i="23"/>
  <c r="B31" i="23"/>
  <c r="F38" i="23"/>
  <c r="C21" i="23"/>
  <c r="F13" i="23"/>
  <c r="E14" i="23"/>
  <c r="C11" i="23"/>
  <c r="E34" i="23"/>
  <c r="E33" i="23"/>
  <c r="D42" i="23"/>
  <c r="B18" i="23"/>
  <c r="C22" i="23"/>
  <c r="F23" i="23"/>
  <c r="D25" i="23"/>
  <c r="F40" i="23"/>
  <c r="E36" i="23"/>
  <c r="C32" i="23"/>
  <c r="E48" i="23"/>
  <c r="B53" i="23"/>
  <c r="C54" i="23"/>
  <c r="E45" i="23"/>
  <c r="E39" i="23"/>
  <c r="F42" i="23"/>
  <c r="E23" i="23"/>
  <c r="D22" i="23"/>
  <c r="C28" i="23"/>
  <c r="B51" i="23"/>
  <c r="F49" i="23"/>
  <c r="D49" i="23"/>
  <c r="C23" i="23"/>
  <c r="D55" i="23"/>
  <c r="B48" i="23"/>
  <c r="D32" i="23"/>
  <c r="E31" i="23"/>
  <c r="B40" i="23"/>
  <c r="F29" i="23"/>
  <c r="B27" i="23"/>
  <c r="F12" i="23"/>
  <c r="E25" i="23"/>
  <c r="D54" i="23"/>
  <c r="D9" i="23"/>
  <c r="F51" i="23"/>
  <c r="F55" i="23"/>
  <c r="F46" i="23"/>
  <c r="F37" i="23"/>
  <c r="F54" i="23"/>
  <c r="F21" i="23"/>
  <c r="D45" i="23"/>
  <c r="F15" i="23"/>
  <c r="B19" i="23"/>
  <c r="F31" i="23"/>
  <c r="E53" i="23"/>
  <c r="D24" i="23"/>
  <c r="D53" i="23"/>
  <c r="E16" i="23"/>
  <c r="F41" i="23"/>
  <c r="B17" i="23"/>
  <c r="C24" i="23"/>
  <c r="E42" i="23"/>
  <c r="E47" i="23"/>
  <c r="B49" i="23"/>
  <c r="F53" i="23"/>
  <c r="D38" i="23"/>
  <c r="B7" i="23"/>
  <c r="C55" i="23"/>
  <c r="E8" i="23"/>
  <c r="E27" i="23"/>
  <c r="D47" i="23"/>
  <c r="E17" i="23"/>
  <c r="C30" i="23"/>
  <c r="C42" i="23"/>
  <c r="F20" i="23"/>
  <c r="F19" i="23"/>
  <c r="C31" i="23"/>
  <c r="F11" i="23"/>
  <c r="D27" i="23"/>
  <c r="F30" i="23"/>
  <c r="C19" i="23"/>
  <c r="B29" i="23"/>
  <c r="B55" i="23"/>
  <c r="C39" i="23"/>
  <c r="B45" i="23"/>
  <c r="F7" i="23"/>
  <c r="C43" i="23"/>
  <c r="C40" i="23"/>
  <c r="D15" i="23"/>
  <c r="D16" i="23"/>
  <c r="C49" i="23"/>
  <c r="F48" i="23"/>
  <c r="F43" i="23"/>
  <c r="B23" i="23"/>
  <c r="F52" i="23"/>
  <c r="E18" i="23"/>
  <c r="A5" i="23"/>
  <c r="C5" i="23" l="1"/>
  <c r="C105" i="23" s="1"/>
  <c r="B5" i="23"/>
  <c r="B105" i="23" s="1"/>
  <c r="F5" i="23"/>
  <c r="F105" i="23" s="1"/>
  <c r="E5" i="23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<sst xmlns="http://schemas.openxmlformats.org/spreadsheetml/2006/main" count="7191" uniqueCount="3164">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</sst>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0" dataDxfId="49" totalsRowDxfId="48" totalsRowBorderDxfId="47">
  <autoFilter ref="A1:T2001" xr:uid="{D1BD5F14-CD6F-4B62-85D2-128A9D3B5FF1}"/>
  <sortState xmlns:xlrd2="http://schemas.microsoft.com/office/spreadsheetml/2017/richdata2" ref="A2001:T2001">
    <sortCondition ref="H1:H2001"/>
  </sortState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3"/>
  <sheetViews>
    <sheetView tabSelected="1" topLeftCell="B1" zoomScale="120" zoomScaleNormal="120" workbookViewId="0">
      <pane ySplit="1" topLeftCell="A701" activePane="bottomLeft" state="frozen"/>
      <selection pane="bottomLeft" activeCell="E713" sqref="E713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37" t="s">
        <v>2686</v>
      </c>
      <c r="B657" s="127">
        <v>2026</v>
      </c>
      <c r="C657" s="127" t="s">
        <v>22</v>
      </c>
      <c r="D657" s="127" t="s">
        <v>2687</v>
      </c>
      <c r="E657" s="128" t="s">
        <v>2138</v>
      </c>
      <c r="F657" s="129" t="s">
        <v>69</v>
      </c>
      <c r="G657" s="130" t="s">
        <v>79</v>
      </c>
      <c r="H657" s="131" t="s">
        <v>2688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15" x14ac:dyDescent="0.25">
      <c r="A658" s="137" t="s">
        <v>2689</v>
      </c>
      <c r="B658" s="127">
        <v>2026</v>
      </c>
      <c r="C658" s="127" t="s">
        <v>22</v>
      </c>
      <c r="D658" s="127" t="s">
        <v>2690</v>
      </c>
      <c r="E658" s="128" t="s">
        <v>2691</v>
      </c>
      <c r="F658" s="129" t="s">
        <v>24</v>
      </c>
      <c r="G658" s="130" t="s">
        <v>206</v>
      </c>
      <c r="H658" s="131" t="s">
        <v>2692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2693</v>
      </c>
    </row>
    <row r="659" spans="1:20" ht="15" x14ac:dyDescent="0.25">
      <c r="A659" s="137" t="s">
        <v>2694</v>
      </c>
      <c r="B659" s="127">
        <v>2026</v>
      </c>
      <c r="C659" s="127" t="s">
        <v>22</v>
      </c>
      <c r="D659" s="127" t="s">
        <v>2695</v>
      </c>
      <c r="E659" s="128" t="s">
        <v>2696</v>
      </c>
      <c r="F659" s="129" t="s">
        <v>24</v>
      </c>
      <c r="G659" s="130" t="s">
        <v>42</v>
      </c>
      <c r="H659" s="165" t="s">
        <v>2697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2698</v>
      </c>
    </row>
    <row r="660" spans="1:20" ht="15" x14ac:dyDescent="0.25">
      <c r="A660" s="137" t="s">
        <v>2699</v>
      </c>
      <c r="B660" s="127">
        <v>2026</v>
      </c>
      <c r="C660" s="127" t="s">
        <v>22</v>
      </c>
      <c r="D660" s="127" t="s">
        <v>2700</v>
      </c>
      <c r="E660" s="128" t="s">
        <v>2701</v>
      </c>
      <c r="F660" s="129" t="s">
        <v>69</v>
      </c>
      <c r="G660" s="130" t="s">
        <v>2702</v>
      </c>
      <c r="H660" s="131" t="s">
        <v>2703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2704</v>
      </c>
    </row>
    <row r="661" spans="1:20" ht="15" x14ac:dyDescent="0.25">
      <c r="A661" s="137" t="s">
        <v>2705</v>
      </c>
      <c r="B661" s="127">
        <v>2026</v>
      </c>
      <c r="C661" s="127" t="s">
        <v>22</v>
      </c>
      <c r="D661" s="131" t="s">
        <v>2706</v>
      </c>
      <c r="E661" s="128" t="s">
        <v>2707</v>
      </c>
      <c r="F661" s="129" t="s">
        <v>24</v>
      </c>
      <c r="G661" s="144" t="s">
        <v>2708</v>
      </c>
      <c r="H661" s="131" t="s">
        <v>2709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2710</v>
      </c>
    </row>
    <row r="662" spans="1:20" ht="15" x14ac:dyDescent="0.25">
      <c r="A662" s="137" t="s">
        <v>2711</v>
      </c>
      <c r="B662" s="127">
        <v>2026</v>
      </c>
      <c r="C662" s="127" t="s">
        <v>22</v>
      </c>
      <c r="D662" s="127" t="s">
        <v>2712</v>
      </c>
      <c r="E662" s="128" t="s">
        <v>2713</v>
      </c>
      <c r="F662" s="129" t="s">
        <v>69</v>
      </c>
      <c r="G662" s="130" t="s">
        <v>2702</v>
      </c>
      <c r="H662" s="172" t="s">
        <v>2714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 t="shared" ref="R662:R668" si="12">SUM(O662:Q662)</f>
        <v>20</v>
      </c>
      <c r="S662" s="127">
        <v>12</v>
      </c>
      <c r="T662" s="144" t="s">
        <v>2715</v>
      </c>
    </row>
    <row r="663" spans="1:20" ht="15" x14ac:dyDescent="0.25">
      <c r="A663" s="137" t="s">
        <v>2716</v>
      </c>
      <c r="B663" s="127">
        <v>2026</v>
      </c>
      <c r="C663" s="127" t="s">
        <v>22</v>
      </c>
      <c r="D663" s="131" t="s">
        <v>2717</v>
      </c>
      <c r="E663" s="128" t="s">
        <v>2718</v>
      </c>
      <c r="F663" s="129" t="s">
        <v>69</v>
      </c>
      <c r="G663" s="130" t="s">
        <v>79</v>
      </c>
      <c r="H663" s="131" t="s">
        <v>2719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 t="shared" si="12"/>
        <v>19</v>
      </c>
      <c r="S663" s="127">
        <v>20</v>
      </c>
      <c r="T663" s="130" t="s">
        <v>81</v>
      </c>
    </row>
    <row r="664" spans="1:20" ht="15" x14ac:dyDescent="0.25">
      <c r="A664" s="137" t="s">
        <v>2720</v>
      </c>
      <c r="B664" s="127">
        <v>2026</v>
      </c>
      <c r="C664" s="127" t="s">
        <v>22</v>
      </c>
      <c r="D664" s="127" t="s">
        <v>2721</v>
      </c>
      <c r="E664" s="128" t="s">
        <v>2722</v>
      </c>
      <c r="F664" s="129" t="s">
        <v>24</v>
      </c>
      <c r="G664" s="144" t="s">
        <v>371</v>
      </c>
      <c r="H664" s="131" t="s">
        <v>2723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 t="shared" si="12"/>
        <v>33</v>
      </c>
      <c r="S664" s="127">
        <v>20</v>
      </c>
      <c r="T664" s="144" t="s">
        <v>2724</v>
      </c>
    </row>
    <row r="665" spans="1:20" ht="15" x14ac:dyDescent="0.25">
      <c r="A665" s="137" t="s">
        <v>2725</v>
      </c>
      <c r="B665" s="127">
        <v>2026</v>
      </c>
      <c r="C665" s="127" t="s">
        <v>22</v>
      </c>
      <c r="D665" s="127" t="s">
        <v>2726</v>
      </c>
      <c r="E665" s="128" t="s">
        <v>2727</v>
      </c>
      <c r="F665" s="129" t="s">
        <v>24</v>
      </c>
      <c r="G665" s="144" t="s">
        <v>2728</v>
      </c>
      <c r="H665" s="131" t="s">
        <v>2729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 t="shared" si="12"/>
        <v>20</v>
      </c>
      <c r="S665" s="127">
        <v>8</v>
      </c>
      <c r="T665" s="130" t="s">
        <v>2730</v>
      </c>
    </row>
    <row r="666" spans="1:20" ht="15" x14ac:dyDescent="0.25">
      <c r="A666" s="137" t="s">
        <v>2731</v>
      </c>
      <c r="B666" s="127">
        <v>2026</v>
      </c>
      <c r="C666" s="127" t="s">
        <v>22</v>
      </c>
      <c r="D666" s="131" t="s">
        <v>2717</v>
      </c>
      <c r="E666" s="128" t="s">
        <v>2732</v>
      </c>
      <c r="F666" s="129" t="s">
        <v>69</v>
      </c>
      <c r="G666" s="130" t="s">
        <v>79</v>
      </c>
      <c r="H666" s="131" t="s">
        <v>2733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 t="shared" si="12"/>
        <v>20</v>
      </c>
      <c r="S666" s="127">
        <v>20</v>
      </c>
      <c r="T666" s="130" t="s">
        <v>81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27" t="s">
        <v>2735</v>
      </c>
      <c r="E667" s="128" t="s">
        <v>2736</v>
      </c>
      <c r="F667" s="129" t="s">
        <v>69</v>
      </c>
      <c r="G667" s="130" t="s">
        <v>79</v>
      </c>
      <c r="H667" s="127" t="s">
        <v>2737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 t="shared" si="12"/>
        <v>127</v>
      </c>
      <c r="S667" s="127">
        <v>4</v>
      </c>
      <c r="T667" s="130" t="s">
        <v>479</v>
      </c>
    </row>
    <row r="668" spans="1:20" ht="15" x14ac:dyDescent="0.25">
      <c r="A668" s="137" t="s">
        <v>2738</v>
      </c>
      <c r="B668" s="127">
        <v>2026</v>
      </c>
      <c r="C668" s="151" t="s">
        <v>22</v>
      </c>
      <c r="D668" s="127" t="s">
        <v>2739</v>
      </c>
      <c r="E668" s="128" t="s">
        <v>2740</v>
      </c>
      <c r="F668" s="129" t="s">
        <v>69</v>
      </c>
      <c r="G668" s="130" t="s">
        <v>79</v>
      </c>
      <c r="H668" s="131" t="s">
        <v>2741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 t="shared" si="12"/>
        <v>192</v>
      </c>
      <c r="S668" s="127">
        <v>14</v>
      </c>
      <c r="T668" s="130" t="s">
        <v>479</v>
      </c>
    </row>
    <row r="669" spans="1:20" ht="15" x14ac:dyDescent="0.25">
      <c r="A669" s="137" t="s">
        <v>2742</v>
      </c>
      <c r="B669" s="127">
        <v>2026</v>
      </c>
      <c r="C669" s="127" t="s">
        <v>22</v>
      </c>
      <c r="D669" s="173" t="s">
        <v>2743</v>
      </c>
      <c r="E669" s="128" t="s">
        <v>2744</v>
      </c>
      <c r="F669" s="129" t="s">
        <v>69</v>
      </c>
      <c r="G669" s="174" t="s">
        <v>2702</v>
      </c>
      <c r="H669" s="175" t="s">
        <v>2745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2715</v>
      </c>
    </row>
    <row r="670" spans="1:20" ht="15" x14ac:dyDescent="0.25">
      <c r="A670" s="137" t="s">
        <v>2746</v>
      </c>
      <c r="B670" s="127">
        <v>2026</v>
      </c>
      <c r="C670" s="127" t="s">
        <v>22</v>
      </c>
      <c r="D670" s="173" t="s">
        <v>2747</v>
      </c>
      <c r="E670" s="180" t="s">
        <v>2748</v>
      </c>
      <c r="F670" s="129" t="s">
        <v>88</v>
      </c>
      <c r="G670" s="130" t="s">
        <v>2749</v>
      </c>
      <c r="H670" s="175" t="s">
        <v>2750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2122</v>
      </c>
    </row>
    <row r="671" spans="1:20" ht="15" x14ac:dyDescent="0.25">
      <c r="A671" s="137" t="s">
        <v>2751</v>
      </c>
      <c r="B671" s="127">
        <v>2026</v>
      </c>
      <c r="C671" s="127" t="s">
        <v>22</v>
      </c>
      <c r="D671" s="127" t="s">
        <v>2726</v>
      </c>
      <c r="E671" s="128" t="s">
        <v>2752</v>
      </c>
      <c r="F671" s="129" t="s">
        <v>24</v>
      </c>
      <c r="G671" s="144" t="s">
        <v>2728</v>
      </c>
      <c r="H671" s="131" t="s">
        <v>2753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2754</v>
      </c>
    </row>
    <row r="672" spans="1:20" ht="15" x14ac:dyDescent="0.25">
      <c r="A672" s="137" t="s">
        <v>2755</v>
      </c>
      <c r="B672" s="127">
        <v>2026</v>
      </c>
      <c r="C672" s="127" t="s">
        <v>22</v>
      </c>
      <c r="D672" s="173" t="s">
        <v>2756</v>
      </c>
      <c r="E672" s="180" t="s">
        <v>2757</v>
      </c>
      <c r="F672" s="129" t="s">
        <v>24</v>
      </c>
      <c r="G672" s="144" t="s">
        <v>2728</v>
      </c>
      <c r="H672" s="175" t="s">
        <v>2758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2754</v>
      </c>
    </row>
    <row r="673" spans="1:20" ht="15" x14ac:dyDescent="0.25">
      <c r="A673" s="137" t="s">
        <v>2759</v>
      </c>
      <c r="B673" s="127">
        <v>2026</v>
      </c>
      <c r="C673" s="127" t="s">
        <v>22</v>
      </c>
      <c r="D673" s="127" t="s">
        <v>2760</v>
      </c>
      <c r="E673" s="128" t="s">
        <v>2761</v>
      </c>
      <c r="F673" s="129" t="s">
        <v>24</v>
      </c>
      <c r="G673" s="130" t="s">
        <v>206</v>
      </c>
      <c r="H673" s="155" t="s">
        <v>2762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2763</v>
      </c>
    </row>
    <row r="674" spans="1:20" ht="15" x14ac:dyDescent="0.25">
      <c r="A674" s="137" t="s">
        <v>2764</v>
      </c>
      <c r="B674" s="127">
        <v>2026</v>
      </c>
      <c r="C674" s="127" t="s">
        <v>22</v>
      </c>
      <c r="D674" s="127" t="s">
        <v>2765</v>
      </c>
      <c r="E674" s="128" t="s">
        <v>2766</v>
      </c>
      <c r="F674" s="129" t="s">
        <v>88</v>
      </c>
      <c r="G674" s="164" t="s">
        <v>2749</v>
      </c>
      <c r="H674" s="131" t="s">
        <v>2767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2768</v>
      </c>
    </row>
    <row r="675" spans="1:20" ht="15" x14ac:dyDescent="0.25">
      <c r="A675" s="137" t="s">
        <v>2769</v>
      </c>
      <c r="B675" s="127">
        <v>2026</v>
      </c>
      <c r="C675" s="183" t="s">
        <v>22</v>
      </c>
      <c r="D675" s="183" t="s">
        <v>2770</v>
      </c>
      <c r="E675" s="184" t="s">
        <v>2771</v>
      </c>
      <c r="F675" s="185" t="s">
        <v>24</v>
      </c>
      <c r="G675" s="186" t="s">
        <v>371</v>
      </c>
      <c r="H675" s="187" t="s">
        <v>2772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15" x14ac:dyDescent="0.25">
      <c r="A676" s="137" t="s">
        <v>2773</v>
      </c>
      <c r="B676" s="127">
        <v>2026</v>
      </c>
      <c r="C676" s="183" t="s">
        <v>2774</v>
      </c>
      <c r="D676" s="183" t="s">
        <v>2775</v>
      </c>
      <c r="E676" s="184" t="s">
        <v>2776</v>
      </c>
      <c r="F676" s="185" t="s">
        <v>24</v>
      </c>
      <c r="G676" s="186" t="s">
        <v>2728</v>
      </c>
      <c r="H676" s="193" t="s">
        <v>2777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15" x14ac:dyDescent="0.25">
      <c r="A677" s="137" t="s">
        <v>2778</v>
      </c>
      <c r="B677" s="127">
        <v>2026</v>
      </c>
      <c r="C677" s="195" t="s">
        <v>22</v>
      </c>
      <c r="D677" s="195" t="s">
        <v>2779</v>
      </c>
      <c r="E677" s="184" t="s">
        <v>2780</v>
      </c>
      <c r="F677" s="185" t="s">
        <v>24</v>
      </c>
      <c r="G677" s="196" t="s">
        <v>25</v>
      </c>
      <c r="H677" s="197" t="s">
        <v>2781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2782</v>
      </c>
    </row>
    <row r="678" spans="1:20" ht="15" x14ac:dyDescent="0.25">
      <c r="A678" s="137" t="s">
        <v>2783</v>
      </c>
      <c r="B678" s="127">
        <v>2026</v>
      </c>
      <c r="C678" s="195" t="s">
        <v>22</v>
      </c>
      <c r="D678" s="195" t="s">
        <v>2784</v>
      </c>
      <c r="E678" s="184" t="s">
        <v>2785</v>
      </c>
      <c r="F678" s="185" t="s">
        <v>88</v>
      </c>
      <c r="G678" s="196" t="s">
        <v>2749</v>
      </c>
      <c r="H678" s="197" t="s">
        <v>2786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1921</v>
      </c>
    </row>
    <row r="679" spans="1:20" ht="15" x14ac:dyDescent="0.25">
      <c r="A679" s="137" t="s">
        <v>2787</v>
      </c>
      <c r="B679" s="127">
        <v>2026</v>
      </c>
      <c r="C679" s="152" t="s">
        <v>22</v>
      </c>
      <c r="D679" s="152" t="s">
        <v>2765</v>
      </c>
      <c r="E679" s="153" t="s">
        <v>2788</v>
      </c>
      <c r="F679" s="129" t="s">
        <v>88</v>
      </c>
      <c r="G679" s="164" t="s">
        <v>2749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2768</v>
      </c>
    </row>
    <row r="680" spans="1:20" ht="15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2728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2754</v>
      </c>
    </row>
    <row r="681" spans="1:20" ht="15" x14ac:dyDescent="0.25">
      <c r="A681" s="137" t="s">
        <v>2794</v>
      </c>
      <c r="B681" s="127">
        <v>2026</v>
      </c>
      <c r="C681" s="195" t="s">
        <v>2774</v>
      </c>
      <c r="D681" s="195" t="s">
        <v>2795</v>
      </c>
      <c r="E681" s="205" t="s">
        <v>2796</v>
      </c>
      <c r="F681" s="185" t="s">
        <v>69</v>
      </c>
      <c r="G681" s="196" t="s">
        <v>2702</v>
      </c>
      <c r="H681" s="197" t="s">
        <v>2777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2704</v>
      </c>
    </row>
    <row r="682" spans="1:20" ht="15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2708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2710</v>
      </c>
    </row>
    <row r="683" spans="1:20" ht="15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2676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15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15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2749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15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15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15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2702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2704</v>
      </c>
    </row>
    <row r="689" spans="1:20" ht="30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2702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2704</v>
      </c>
    </row>
    <row r="690" spans="1:20" ht="15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15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2702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15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2754</v>
      </c>
    </row>
    <row r="693" spans="1:20" ht="15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2754</v>
      </c>
    </row>
    <row r="694" spans="1:20" ht="15" x14ac:dyDescent="0.25">
      <c r="A694" s="193" t="s">
        <v>2846</v>
      </c>
      <c r="B694" s="152">
        <v>2026</v>
      </c>
      <c r="C694" s="183" t="s">
        <v>2774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2777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15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2749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2452</v>
      </c>
    </row>
    <row r="696" spans="1:20" ht="15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2708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2710</v>
      </c>
    </row>
    <row r="697" spans="1:20" ht="15" x14ac:dyDescent="0.25">
      <c r="A697" s="193" t="s">
        <v>2856</v>
      </c>
      <c r="B697" s="152">
        <v>2026</v>
      </c>
      <c r="C697" s="183" t="s">
        <v>22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>
        <v>4.7699999999999996</v>
      </c>
      <c r="N697" s="191">
        <v>20</v>
      </c>
      <c r="O697" s="192">
        <v>15</v>
      </c>
      <c r="P697" s="192">
        <v>0</v>
      </c>
      <c r="Q697" s="192">
        <v>0</v>
      </c>
      <c r="R697" s="192">
        <f t="shared" ref="R697:R713" si="13">IF(B697="","",SUM(O697:Q697))</f>
        <v>15</v>
      </c>
      <c r="S697" s="183">
        <v>24</v>
      </c>
      <c r="T697" s="186" t="s">
        <v>2822</v>
      </c>
    </row>
    <row r="698" spans="1:20" ht="15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2749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 t="shared" si="13"/>
        <v>48</v>
      </c>
      <c r="S698" s="183">
        <v>20</v>
      </c>
      <c r="T698" s="186" t="s">
        <v>425</v>
      </c>
    </row>
    <row r="699" spans="1:20" ht="15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 t="shared" si="13"/>
        <v>220</v>
      </c>
      <c r="S699" s="183">
        <v>4</v>
      </c>
      <c r="T699" s="186" t="s">
        <v>479</v>
      </c>
    </row>
    <row r="700" spans="1:20" ht="15" x14ac:dyDescent="0.25">
      <c r="A700" s="193" t="s">
        <v>2868</v>
      </c>
      <c r="B700" s="152">
        <v>2026</v>
      </c>
      <c r="C700" s="183" t="s">
        <v>2774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 t="shared" si="13"/>
        <v>0</v>
      </c>
      <c r="S700" s="183">
        <v>8</v>
      </c>
      <c r="T700" s="186" t="s">
        <v>2872</v>
      </c>
    </row>
    <row r="701" spans="1:20" ht="15" x14ac:dyDescent="0.25">
      <c r="A701" s="193" t="s">
        <v>2873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2708</v>
      </c>
      <c r="H701" s="193" t="s">
        <v>2874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 t="shared" si="13"/>
        <v>0</v>
      </c>
      <c r="S701" s="183">
        <v>15</v>
      </c>
      <c r="T701" s="186" t="s">
        <v>2710</v>
      </c>
    </row>
    <row r="702" spans="1:20" ht="15" x14ac:dyDescent="0.25">
      <c r="A702" s="193" t="s">
        <v>2875</v>
      </c>
      <c r="B702" s="152">
        <v>2026</v>
      </c>
      <c r="C702" s="183" t="s">
        <v>2774</v>
      </c>
      <c r="D702" s="183" t="s">
        <v>2876</v>
      </c>
      <c r="E702" s="184" t="s">
        <v>2877</v>
      </c>
      <c r="F702" s="185" t="s">
        <v>69</v>
      </c>
      <c r="G702" s="186" t="s">
        <v>79</v>
      </c>
      <c r="H702" s="193" t="s">
        <v>2878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 t="shared" si="13"/>
        <v>0</v>
      </c>
      <c r="S702" s="183">
        <v>8</v>
      </c>
      <c r="T702" s="207" t="s">
        <v>2879</v>
      </c>
    </row>
    <row r="703" spans="1:20" ht="15" x14ac:dyDescent="0.25">
      <c r="A703" s="193" t="s">
        <v>2880</v>
      </c>
      <c r="B703" s="152">
        <v>2026</v>
      </c>
      <c r="C703" s="183" t="s">
        <v>2774</v>
      </c>
      <c r="D703" s="183" t="s">
        <v>2881</v>
      </c>
      <c r="E703" s="184" t="s">
        <v>2882</v>
      </c>
      <c r="F703" s="185" t="s">
        <v>69</v>
      </c>
      <c r="G703" s="186" t="s">
        <v>79</v>
      </c>
      <c r="H703" s="193" t="s">
        <v>2883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 t="shared" si="13"/>
        <v>0</v>
      </c>
      <c r="S703" s="183">
        <v>4</v>
      </c>
      <c r="T703" s="186" t="s">
        <v>2452</v>
      </c>
    </row>
    <row r="704" spans="1:20" ht="15" x14ac:dyDescent="0.25">
      <c r="A704" s="193" t="s">
        <v>2884</v>
      </c>
      <c r="B704" s="152">
        <v>2026</v>
      </c>
      <c r="C704" s="183" t="s">
        <v>2774</v>
      </c>
      <c r="D704" s="183" t="s">
        <v>2885</v>
      </c>
      <c r="E704" s="184" t="s">
        <v>2886</v>
      </c>
      <c r="F704" s="185" t="s">
        <v>69</v>
      </c>
      <c r="G704" s="186" t="s">
        <v>79</v>
      </c>
      <c r="H704" s="193" t="s">
        <v>2883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 t="shared" si="13"/>
        <v>0</v>
      </c>
      <c r="S704" s="183">
        <v>4</v>
      </c>
      <c r="T704" s="186" t="s">
        <v>2887</v>
      </c>
    </row>
    <row r="705" spans="1:21" ht="15" x14ac:dyDescent="0.25">
      <c r="A705" s="193" t="s">
        <v>2888</v>
      </c>
      <c r="B705" s="152">
        <v>2026</v>
      </c>
      <c r="C705" s="183" t="s">
        <v>2774</v>
      </c>
      <c r="D705" s="183" t="s">
        <v>2889</v>
      </c>
      <c r="E705" s="184" t="s">
        <v>2890</v>
      </c>
      <c r="F705" s="185" t="s">
        <v>69</v>
      </c>
      <c r="G705" s="186" t="s">
        <v>79</v>
      </c>
      <c r="H705" s="193" t="s">
        <v>2891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 t="shared" si="13"/>
        <v>0</v>
      </c>
      <c r="S705" s="183">
        <v>4</v>
      </c>
      <c r="T705" s="186" t="s">
        <v>2462</v>
      </c>
    </row>
    <row r="706" spans="1:21" ht="15" x14ac:dyDescent="0.25">
      <c r="A706" s="193" t="s">
        <v>2892</v>
      </c>
      <c r="B706" s="152">
        <v>2026</v>
      </c>
      <c r="C706" s="183" t="s">
        <v>2774</v>
      </c>
      <c r="D706" s="183" t="s">
        <v>2893</v>
      </c>
      <c r="E706" s="184" t="s">
        <v>2894</v>
      </c>
      <c r="F706" s="185" t="s">
        <v>69</v>
      </c>
      <c r="G706" s="186" t="s">
        <v>79</v>
      </c>
      <c r="H706" s="193" t="s">
        <v>2895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 t="shared" si="13"/>
        <v>0</v>
      </c>
      <c r="S706" s="183">
        <v>4</v>
      </c>
      <c r="T706" s="186" t="s">
        <v>1958</v>
      </c>
    </row>
    <row r="707" spans="1:21" ht="15" x14ac:dyDescent="0.25">
      <c r="A707" s="193" t="s">
        <v>2896</v>
      </c>
      <c r="B707" s="152">
        <v>2026</v>
      </c>
      <c r="C707" s="183" t="s">
        <v>2774</v>
      </c>
      <c r="D707" s="183" t="s">
        <v>2897</v>
      </c>
      <c r="E707" s="184" t="s">
        <v>2898</v>
      </c>
      <c r="F707" s="185" t="s">
        <v>69</v>
      </c>
      <c r="G707" s="186" t="s">
        <v>79</v>
      </c>
      <c r="H707" s="193" t="s">
        <v>2895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 t="shared" si="13"/>
        <v>0</v>
      </c>
      <c r="S707" s="183">
        <v>4</v>
      </c>
      <c r="T707" s="186" t="s">
        <v>2899</v>
      </c>
    </row>
    <row r="708" spans="1:21" ht="15" x14ac:dyDescent="0.25">
      <c r="A708" s="193" t="s">
        <v>2900</v>
      </c>
      <c r="B708" s="152">
        <v>2026</v>
      </c>
      <c r="C708" s="183" t="s">
        <v>2774</v>
      </c>
      <c r="D708" s="183" t="s">
        <v>2901</v>
      </c>
      <c r="E708" s="184" t="s">
        <v>2902</v>
      </c>
      <c r="F708" s="185" t="s">
        <v>69</v>
      </c>
      <c r="G708" s="186" t="s">
        <v>79</v>
      </c>
      <c r="H708" s="193" t="s">
        <v>2903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 t="shared" si="13"/>
        <v>0</v>
      </c>
      <c r="S708" s="183">
        <v>4</v>
      </c>
      <c r="T708" s="186" t="s">
        <v>2904</v>
      </c>
    </row>
    <row r="709" spans="1:21" ht="15" x14ac:dyDescent="0.25">
      <c r="A709" s="193" t="s">
        <v>2905</v>
      </c>
      <c r="B709" s="152">
        <v>2026</v>
      </c>
      <c r="C709" s="183" t="s">
        <v>2774</v>
      </c>
      <c r="D709" s="183" t="s">
        <v>2906</v>
      </c>
      <c r="E709" s="184" t="s">
        <v>2907</v>
      </c>
      <c r="F709" s="185" t="s">
        <v>69</v>
      </c>
      <c r="G709" s="186" t="s">
        <v>79</v>
      </c>
      <c r="H709" s="193" t="s">
        <v>2903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 t="shared" si="13"/>
        <v>0</v>
      </c>
      <c r="S709" s="183">
        <v>4</v>
      </c>
      <c r="T709" s="186" t="s">
        <v>2908</v>
      </c>
      <c r="U709" s="106"/>
    </row>
    <row r="710" spans="1:21" ht="15" x14ac:dyDescent="0.25">
      <c r="A710" s="193" t="s">
        <v>2909</v>
      </c>
      <c r="B710" s="152">
        <v>2026</v>
      </c>
      <c r="C710" s="183" t="s">
        <v>2774</v>
      </c>
      <c r="D710" s="183" t="s">
        <v>2910</v>
      </c>
      <c r="E710" s="184" t="s">
        <v>2911</v>
      </c>
      <c r="F710" s="185" t="s">
        <v>24</v>
      </c>
      <c r="G710" s="186" t="s">
        <v>206</v>
      </c>
      <c r="H710" s="193" t="s">
        <v>2912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 t="shared" si="13"/>
        <v>0</v>
      </c>
      <c r="S710" s="183">
        <v>2</v>
      </c>
      <c r="T710" s="207" t="s">
        <v>2913</v>
      </c>
    </row>
    <row r="711" spans="1:21" ht="15" x14ac:dyDescent="0.25">
      <c r="A711" s="193" t="s">
        <v>2914</v>
      </c>
      <c r="B711" s="152">
        <v>2026</v>
      </c>
      <c r="C711" s="183" t="s">
        <v>2774</v>
      </c>
      <c r="D711" s="183" t="s">
        <v>2765</v>
      </c>
      <c r="E711" s="184" t="s">
        <v>2915</v>
      </c>
      <c r="F711" s="185" t="s">
        <v>88</v>
      </c>
      <c r="G711" s="186" t="s">
        <v>2749</v>
      </c>
      <c r="H711" s="193" t="s">
        <v>2916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 t="shared" si="13"/>
        <v>0</v>
      </c>
      <c r="S711" s="183">
        <v>4</v>
      </c>
      <c r="T711" s="207"/>
    </row>
    <row r="712" spans="1:21" ht="15" x14ac:dyDescent="0.25">
      <c r="A712" s="193" t="s">
        <v>2917</v>
      </c>
      <c r="B712" s="152">
        <v>2026</v>
      </c>
      <c r="C712" s="183" t="s">
        <v>2774</v>
      </c>
      <c r="D712" s="183" t="s">
        <v>2765</v>
      </c>
      <c r="E712" s="184" t="s">
        <v>2915</v>
      </c>
      <c r="F712" s="185" t="s">
        <v>88</v>
      </c>
      <c r="G712" s="186" t="s">
        <v>2749</v>
      </c>
      <c r="H712" s="193" t="s">
        <v>2918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 t="shared" si="13"/>
        <v>0</v>
      </c>
      <c r="S712" s="183">
        <v>4</v>
      </c>
      <c r="T712" s="207"/>
    </row>
    <row r="713" spans="1:21" ht="15" x14ac:dyDescent="0.25">
      <c r="A713" s="193" t="s">
        <v>2919</v>
      </c>
      <c r="B713" s="152">
        <v>2026</v>
      </c>
      <c r="C713" s="183" t="s">
        <v>2774</v>
      </c>
      <c r="D713" s="183" t="s">
        <v>2920</v>
      </c>
      <c r="E713" s="184" t="s">
        <v>2921</v>
      </c>
      <c r="F713" s="185" t="s">
        <v>69</v>
      </c>
      <c r="G713" s="186" t="s">
        <v>79</v>
      </c>
      <c r="H713" s="220" t="s">
        <v>2922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 t="shared" si="13"/>
        <v>0</v>
      </c>
      <c r="S713" s="183">
        <v>20</v>
      </c>
      <c r="T713" s="186" t="s">
        <v>2923</v>
      </c>
    </row>
    <row r="714" spans="1:21" ht="30" x14ac:dyDescent="0.25">
      <c r="A714" s="193" t="s">
        <v>2924</v>
      </c>
      <c r="B714" s="152">
        <v>2026</v>
      </c>
      <c r="C714" s="164" t="s">
        <v>2774</v>
      </c>
      <c r="D714" s="127" t="s">
        <v>2925</v>
      </c>
      <c r="E714" s="162" t="s">
        <v>2926</v>
      </c>
      <c r="F714" s="129" t="s">
        <v>88</v>
      </c>
      <c r="G714" s="130" t="s">
        <v>2749</v>
      </c>
      <c r="H714" s="131" t="s">
        <v>2927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2928</v>
      </c>
    </row>
    <row r="715" spans="1:21" ht="15" x14ac:dyDescent="0.25">
      <c r="A715" s="193" t="s">
        <v>2929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3" t="s">
        <v>2930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15" x14ac:dyDescent="0.25">
      <c r="A716" s="193" t="s">
        <v>2931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3" t="s">
        <v>2932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15" x14ac:dyDescent="0.25">
      <c r="A717" s="193" t="s">
        <v>2933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3" t="s">
        <v>2934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15" x14ac:dyDescent="0.25">
      <c r="A718" s="193" t="s">
        <v>2935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3" t="s">
        <v>2936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15" x14ac:dyDescent="0.25">
      <c r="A719" s="193" t="s">
        <v>2937</v>
      </c>
      <c r="B719" s="152">
        <v>2026</v>
      </c>
      <c r="C719" s="183" t="s">
        <v>2774</v>
      </c>
      <c r="D719" s="183" t="s">
        <v>2938</v>
      </c>
      <c r="E719" s="184" t="s">
        <v>2939</v>
      </c>
      <c r="F719" s="185" t="s">
        <v>69</v>
      </c>
      <c r="G719" s="186" t="s">
        <v>79</v>
      </c>
      <c r="H719" s="193" t="s">
        <v>2940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15" x14ac:dyDescent="0.25">
      <c r="A720" s="193" t="s">
        <v>2941</v>
      </c>
      <c r="B720" s="152">
        <v>2026</v>
      </c>
      <c r="C720" s="127" t="s">
        <v>2774</v>
      </c>
      <c r="D720" s="173" t="s">
        <v>2942</v>
      </c>
      <c r="E720" s="180" t="s">
        <v>2943</v>
      </c>
      <c r="F720" s="129" t="s">
        <v>69</v>
      </c>
      <c r="G720" s="130" t="s">
        <v>79</v>
      </c>
      <c r="H720" s="175" t="s">
        <v>2944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15" x14ac:dyDescent="0.25">
      <c r="A721" s="193" t="s">
        <v>2945</v>
      </c>
      <c r="B721" s="152">
        <v>2026</v>
      </c>
      <c r="C721" s="195" t="s">
        <v>2774</v>
      </c>
      <c r="D721" s="195" t="s">
        <v>2946</v>
      </c>
      <c r="E721" s="205" t="s">
        <v>2947</v>
      </c>
      <c r="F721" s="222" t="s">
        <v>24</v>
      </c>
      <c r="G721" s="196" t="s">
        <v>75</v>
      </c>
      <c r="H721" s="197" t="s">
        <v>2948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 t="shared" ref="R721:R749" si="14">IF(B721="","",SUM(O721:Q721))</f>
        <v>0</v>
      </c>
      <c r="S721" s="195">
        <v>10</v>
      </c>
      <c r="T721" s="196" t="s">
        <v>2949</v>
      </c>
    </row>
    <row r="722" spans="1:20" ht="15" x14ac:dyDescent="0.25">
      <c r="A722" s="193" t="s">
        <v>2950</v>
      </c>
      <c r="B722" s="127">
        <v>2026</v>
      </c>
      <c r="C722" s="183" t="s">
        <v>2774</v>
      </c>
      <c r="D722" s="183" t="s">
        <v>2951</v>
      </c>
      <c r="E722" s="184" t="s">
        <v>2952</v>
      </c>
      <c r="F722" s="185" t="s">
        <v>69</v>
      </c>
      <c r="G722" s="186" t="s">
        <v>79</v>
      </c>
      <c r="H722" s="193" t="s">
        <v>2777</v>
      </c>
      <c r="I722" s="194" t="s">
        <v>2953</v>
      </c>
      <c r="J722" s="194" t="s">
        <v>2954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 t="shared" si="14"/>
        <v>0</v>
      </c>
      <c r="S722" s="183">
        <v>17.45</v>
      </c>
      <c r="T722" s="186" t="s">
        <v>2955</v>
      </c>
    </row>
    <row r="723" spans="1:20" ht="15" x14ac:dyDescent="0.25">
      <c r="A723" s="193" t="s">
        <v>2956</v>
      </c>
      <c r="B723" s="152">
        <v>2026</v>
      </c>
      <c r="C723" s="183" t="s">
        <v>2774</v>
      </c>
      <c r="D723" s="183" t="s">
        <v>2957</v>
      </c>
      <c r="E723" s="184" t="s">
        <v>2958</v>
      </c>
      <c r="F723" s="185" t="s">
        <v>24</v>
      </c>
      <c r="G723" s="186" t="s">
        <v>206</v>
      </c>
      <c r="H723" s="193" t="s">
        <v>2883</v>
      </c>
      <c r="I723" s="193" t="s">
        <v>2883</v>
      </c>
      <c r="J723" s="193" t="s">
        <v>2883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 t="shared" si="14"/>
        <v>0</v>
      </c>
      <c r="S723" s="183">
        <v>1</v>
      </c>
      <c r="T723" s="186" t="s">
        <v>2959</v>
      </c>
    </row>
    <row r="724" spans="1:20" ht="15" x14ac:dyDescent="0.25">
      <c r="A724" s="193" t="s">
        <v>2960</v>
      </c>
      <c r="B724" s="151">
        <v>2026</v>
      </c>
      <c r="C724" s="183" t="s">
        <v>2774</v>
      </c>
      <c r="D724" s="183" t="s">
        <v>2961</v>
      </c>
      <c r="E724" s="184" t="s">
        <v>2962</v>
      </c>
      <c r="F724" s="185" t="s">
        <v>69</v>
      </c>
      <c r="G724" s="186" t="s">
        <v>79</v>
      </c>
      <c r="H724" s="193" t="s">
        <v>2912</v>
      </c>
      <c r="I724" s="194" t="s">
        <v>2912</v>
      </c>
      <c r="J724" s="194" t="s">
        <v>2912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 t="shared" si="14"/>
        <v>0</v>
      </c>
      <c r="S724" s="183">
        <v>4</v>
      </c>
      <c r="T724" s="186" t="s">
        <v>2963</v>
      </c>
    </row>
    <row r="725" spans="1:20" ht="15" x14ac:dyDescent="0.25">
      <c r="A725" s="193" t="s">
        <v>2964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/>
      <c r="S725" s="183"/>
      <c r="T725" s="186"/>
    </row>
    <row r="726" spans="1:20" ht="15" x14ac:dyDescent="0.25">
      <c r="A726" s="193" t="s">
        <v>2965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 t="shared" si="14"/>
        <v>0</v>
      </c>
      <c r="S726" s="183"/>
      <c r="T726" s="186"/>
    </row>
    <row r="727" spans="1:20" ht="15" x14ac:dyDescent="0.25">
      <c r="A727" s="193" t="s">
        <v>2966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 t="shared" si="14"/>
        <v>0</v>
      </c>
      <c r="S727" s="183"/>
      <c r="T727" s="186"/>
    </row>
    <row r="728" spans="1:20" ht="15" x14ac:dyDescent="0.25">
      <c r="A728" s="193" t="s">
        <v>2967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 t="shared" si="14"/>
        <v>0</v>
      </c>
      <c r="S728" s="183"/>
      <c r="T728" s="186"/>
    </row>
    <row r="729" spans="1:20" ht="15" x14ac:dyDescent="0.25">
      <c r="A729" s="193" t="s">
        <v>2968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 t="shared" si="14"/>
        <v>0</v>
      </c>
      <c r="S729" s="183"/>
      <c r="T729" s="186"/>
    </row>
    <row r="730" spans="1:20" ht="15" x14ac:dyDescent="0.25">
      <c r="A730" s="193"/>
      <c r="B730" s="183"/>
      <c r="C730" s="183"/>
      <c r="D730" s="183"/>
      <c r="E730" s="184"/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si="14"/>
        <v/>
      </c>
      <c r="S730" s="183"/>
      <c r="T730" s="186"/>
    </row>
    <row r="731" spans="1:20" ht="15" x14ac:dyDescent="0.25">
      <c r="A731" s="193"/>
      <c r="B731" s="183"/>
      <c r="C731" s="183"/>
      <c r="D731" s="183"/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4"/>
        <v/>
      </c>
      <c r="S731" s="183"/>
      <c r="T731" s="186"/>
    </row>
    <row r="732" spans="1:20" ht="15" x14ac:dyDescent="0.25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4"/>
        <v/>
      </c>
      <c r="S732" s="183"/>
      <c r="T732" s="186"/>
    </row>
    <row r="733" spans="1:20" ht="15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4"/>
        <v/>
      </c>
      <c r="S733" s="183"/>
      <c r="T733" s="186"/>
    </row>
    <row r="734" spans="1:20" ht="15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4"/>
        <v/>
      </c>
      <c r="S734" s="183"/>
      <c r="T734" s="186"/>
    </row>
    <row r="735" spans="1:20" ht="15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4"/>
        <v/>
      </c>
      <c r="S735" s="183"/>
      <c r="T735" s="186"/>
    </row>
    <row r="736" spans="1:20" ht="15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4"/>
        <v/>
      </c>
      <c r="S736" s="183"/>
      <c r="T736" s="186"/>
    </row>
    <row r="737" spans="1:20" ht="15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4"/>
        <v/>
      </c>
      <c r="S737" s="183"/>
      <c r="T737" s="186"/>
    </row>
    <row r="738" spans="1:20" ht="15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4"/>
        <v/>
      </c>
      <c r="S738" s="183"/>
      <c r="T738" s="186"/>
    </row>
    <row r="739" spans="1:20" ht="15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4"/>
        <v/>
      </c>
      <c r="S739" s="183"/>
      <c r="T739" s="186"/>
    </row>
    <row r="740" spans="1:20" ht="15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4"/>
        <v/>
      </c>
      <c r="S740" s="183"/>
      <c r="T740" s="186"/>
    </row>
    <row r="741" spans="1:20" ht="15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4"/>
        <v/>
      </c>
      <c r="S741" s="183"/>
      <c r="T741" s="186"/>
    </row>
    <row r="742" spans="1:20" ht="15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4"/>
        <v/>
      </c>
      <c r="S742" s="183"/>
      <c r="T742" s="186"/>
    </row>
    <row r="743" spans="1:20" ht="15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4"/>
        <v/>
      </c>
      <c r="S743" s="183"/>
      <c r="T743" s="186"/>
    </row>
    <row r="744" spans="1:20" ht="15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4"/>
        <v/>
      </c>
      <c r="S744" s="183"/>
      <c r="T744" s="186"/>
    </row>
    <row r="745" spans="1:20" ht="15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4"/>
        <v/>
      </c>
      <c r="S745" s="183"/>
      <c r="T745" s="186"/>
    </row>
    <row r="746" spans="1:20" ht="15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4"/>
        <v/>
      </c>
      <c r="S746" s="183"/>
      <c r="T746" s="186"/>
    </row>
    <row r="747" spans="1:20" ht="15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4"/>
        <v/>
      </c>
      <c r="S747" s="183"/>
      <c r="T747" s="186"/>
    </row>
    <row r="748" spans="1:20" ht="15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4"/>
        <v/>
      </c>
      <c r="S748" s="183"/>
      <c r="T748" s="186"/>
    </row>
    <row r="749" spans="1:20" ht="15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4"/>
        <v/>
      </c>
      <c r="S749" s="183"/>
      <c r="T749" s="186"/>
    </row>
    <row r="750" spans="1:20" ht="15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15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15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15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15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15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15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15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15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15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15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15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15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15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15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15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15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15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15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15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15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15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15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15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15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15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15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15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15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15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15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15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15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15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15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15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15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15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15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15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15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15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15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15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15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15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15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15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15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15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15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15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15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15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15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15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15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15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15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15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15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15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15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15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15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15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15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15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15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15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15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15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15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15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15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15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15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15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15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15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15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15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15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15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15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15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15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15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15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15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15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15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15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15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15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15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15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15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15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15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15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15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15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15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15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15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15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15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15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15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15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15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15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15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15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15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15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15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15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15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15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15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15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15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15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15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15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15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15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15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15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15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15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15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15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15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15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15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15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15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15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15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15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15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15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15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15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15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15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15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15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15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15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15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15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15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15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15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15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15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15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15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15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15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15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15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15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15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15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15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15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15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15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15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15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15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15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15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15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15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15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15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15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15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15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15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15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15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15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15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15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15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15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15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15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15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15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15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15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15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15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15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15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15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15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15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15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15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15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15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15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15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15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15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15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15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15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15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15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15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15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15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15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15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15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15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15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15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15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15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15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15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15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15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15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15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15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15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15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15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15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15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15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15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15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15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15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15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15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15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15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15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15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15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15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15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15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15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15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15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15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15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15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15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15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15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15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15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15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15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15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15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15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15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15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15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15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15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15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15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15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15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15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15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15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15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15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15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15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15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15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15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15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15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15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15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15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15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15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15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15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15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15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15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15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15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15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15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15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15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15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15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15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15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15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15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15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15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15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15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15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15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15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15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15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15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15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15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15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15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15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15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15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15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15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15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15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15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15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15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15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15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15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15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15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15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15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15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15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15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15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15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15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15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15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15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15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15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15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15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15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15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15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15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15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15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15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15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15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15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15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15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15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15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15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15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15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15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15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15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15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15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15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15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15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15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15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15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15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15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15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15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15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15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15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15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15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15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15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15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15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15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15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15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15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15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15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15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15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15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15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15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15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15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15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15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15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15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15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15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15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15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15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15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15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15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15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15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15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15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15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15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15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15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15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15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15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15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15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15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15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15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15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15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15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15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15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15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15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15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15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15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15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15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15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15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15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15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15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15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15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15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15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15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15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15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15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15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15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15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15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15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15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15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15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15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15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15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15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15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15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15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15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15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15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15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15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15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15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15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15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15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15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15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15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15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15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15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15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15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15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15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15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15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15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15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15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15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15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15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15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15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15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15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15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15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15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15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15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15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15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15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15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15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15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15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15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15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15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15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15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15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15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15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15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15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15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15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15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15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15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15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15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15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15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15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15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15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15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15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15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15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15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15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15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15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15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15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15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15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15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15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15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15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15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15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15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15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15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15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15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15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15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15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15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15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15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15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15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15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15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15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15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15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15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15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15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15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15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15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15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15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15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15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15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15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15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15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15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15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15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15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15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15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15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15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15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15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15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15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15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15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15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15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15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15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15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15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15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15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15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15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15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15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15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15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15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15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15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15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15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15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15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15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15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15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15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15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15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15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15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15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15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15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15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15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15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15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15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15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15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15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15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15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15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15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15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15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15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15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15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15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15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15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15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15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15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15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15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15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15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15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15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15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15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15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15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15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15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15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15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15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15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15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15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15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15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15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15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15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15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15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15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15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15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15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15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15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15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15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15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15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15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15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15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15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15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15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15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15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15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15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15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15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15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15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15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15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15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15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15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15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15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15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15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15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15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15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15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15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15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15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15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15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15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15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15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15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15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15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15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15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15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15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15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15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15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15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15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15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15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15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15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15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15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15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15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15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15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15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15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15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15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15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15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15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15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15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15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15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15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15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15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15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15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15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15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15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15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15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15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15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15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15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15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15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15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15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15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15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15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15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15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15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15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15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15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15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15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15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15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15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15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15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15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15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15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15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15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15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15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15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15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15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15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15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15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15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15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15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15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15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15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15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15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15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15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15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15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15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15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15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15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15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15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15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15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15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15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15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15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15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15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15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15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15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15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15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15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15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15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15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15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15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15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15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15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15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15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15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15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15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15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15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15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15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15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15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15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15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15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15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15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15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15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15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15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15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15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15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15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15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15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15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15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15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15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15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15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15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15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15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15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15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15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15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15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15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15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15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15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15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15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15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15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15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15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15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15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15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15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15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15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15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15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15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15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15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15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15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15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15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15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15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15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15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15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15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15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15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15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15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15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15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15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15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15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15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15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15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15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15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15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15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15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15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15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15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15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15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15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15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15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15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15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15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15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15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15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15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15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15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15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15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15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15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15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15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15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15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15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15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15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15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15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15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15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15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15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15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15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15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15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15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15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15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15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15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15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15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15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15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15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15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15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15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15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15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15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15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15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15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15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15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15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15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15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15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15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15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15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15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15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15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15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15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15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15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15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15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15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15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15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15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15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15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15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15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15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15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15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15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15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15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15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15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15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15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15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15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15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15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15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15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15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15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15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15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15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15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15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15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15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15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15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15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15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15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15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15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15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15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15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15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15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15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15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15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15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15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15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15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15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15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15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15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15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15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15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15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15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15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15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15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15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15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15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15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15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15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15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15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15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15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15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15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15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15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15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15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15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15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15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15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15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15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15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15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15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15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15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15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15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15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15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15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15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15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15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15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15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15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15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15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15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15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15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15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15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15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15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15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15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15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15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15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15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15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15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15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15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15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15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15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15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15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15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15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15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15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15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15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15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15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15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15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15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15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15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15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15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15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15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15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15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15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15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15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15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15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15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15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15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15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15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15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15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15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15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15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15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15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15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15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15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15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15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15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15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15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15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15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15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15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15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15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15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15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15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15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15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15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15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15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15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15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15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15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15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15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15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15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15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15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15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15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15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15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15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15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15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15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15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15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15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15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15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15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15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15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15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15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15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15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15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15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15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15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15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15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15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15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15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15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15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15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15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15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15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15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15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15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  <row r="2002" spans="1:20" ht="15" x14ac:dyDescent="0.25"/>
    <row r="2003" spans="1:20" ht="15" x14ac:dyDescent="0.25"/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8" priority="1">
      <formula>TRIM(C2)="Realizado"</formula>
    </cfRule>
  </conditionalFormatting>
  <conditionalFormatting sqref="C2:C2001">
    <cfRule type="expression" dxfId="57" priority="2">
      <formula>TRIM(C2)="Cancelado"</formula>
    </cfRule>
  </conditionalFormatting>
  <conditionalFormatting sqref="C2:C2001">
    <cfRule type="expression" dxfId="56" priority="3">
      <formula>TRIM(C2)="Em andamento"</formula>
    </cfRule>
  </conditionalFormatting>
  <conditionalFormatting sqref="C2:C2001">
    <cfRule type="expression" dxfId="55" priority="4">
      <formula>TRIM(C2)="Adiado"</formula>
    </cfRule>
  </conditionalFormatting>
  <conditionalFormatting sqref="A2:A2001">
    <cfRule type="expression" dxfId="54" priority="5">
      <formula>AND($B2&lt;&gt;"",$A2="")</formula>
    </cfRule>
  </conditionalFormatting>
  <conditionalFormatting sqref="L2:M2001">
    <cfRule type="expression" dxfId="53" priority="6">
      <formula>L2=""</formula>
    </cfRule>
  </conditionalFormatting>
  <conditionalFormatting sqref="A2:T726 A727:C727 E727:T727 A728:T2001">
    <cfRule type="expression" dxfId="52" priority="7">
      <formula>MOD(ROW(),2)=0</formula>
    </cfRule>
  </conditionalFormatting>
  <conditionalFormatting sqref="A2:T726 A727:C727 E727:T727 A728:T2001">
    <cfRule type="expression" dxfId="51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25" t="s">
        <v>2970</v>
      </c>
    </row>
    <row r="2" spans="1:8" x14ac:dyDescent="0.25">
      <c r="H2" s="224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24" t="s">
        <v>2975</v>
      </c>
    </row>
    <row r="4" spans="1:8" x14ac:dyDescent="0.25">
      <c r="A4">
        <v>1</v>
      </c>
      <c r="B4" t="s">
        <v>2976</v>
      </c>
      <c r="D4" t="s">
        <v>2977</v>
      </c>
      <c r="E4" s="22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24" t="s">
        <v>2978</v>
      </c>
    </row>
    <row r="5" spans="1:8" x14ac:dyDescent="0.25">
      <c r="A5">
        <v>2</v>
      </c>
      <c r="B5" t="s">
        <v>2507</v>
      </c>
      <c r="D5" t="s">
        <v>2977</v>
      </c>
      <c r="E5" s="22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24" t="s">
        <v>2979</v>
      </c>
    </row>
    <row r="6" spans="1:8" x14ac:dyDescent="0.25">
      <c r="A6">
        <v>3</v>
      </c>
      <c r="B6" t="s">
        <v>1030</v>
      </c>
      <c r="D6" t="s">
        <v>2977</v>
      </c>
      <c r="E6" s="22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24"/>
    </row>
    <row r="7" spans="1:8" x14ac:dyDescent="0.25">
      <c r="A7">
        <v>4</v>
      </c>
      <c r="B7" t="s">
        <v>2980</v>
      </c>
      <c r="D7" t="s">
        <v>2977</v>
      </c>
      <c r="E7" s="22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25" t="s">
        <v>2981</v>
      </c>
    </row>
    <row r="8" spans="1:8" x14ac:dyDescent="0.25">
      <c r="A8">
        <v>5</v>
      </c>
      <c r="B8" t="s">
        <v>2982</v>
      </c>
      <c r="D8" t="s">
        <v>2977</v>
      </c>
      <c r="E8" s="22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2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2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2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2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2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2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2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2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2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2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2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2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2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2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2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2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2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2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2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2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2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2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2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2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2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2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2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2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2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2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2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2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2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2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2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2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2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2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2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2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2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2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2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2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2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2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2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2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2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2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2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2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2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2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2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2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2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2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2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2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2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2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2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2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2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2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2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2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2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2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2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2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2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2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2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2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2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2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2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2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2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2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2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2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2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2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2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2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2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2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2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2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2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2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2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2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2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2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2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2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2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2026-027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46</v>
      </c>
      <c r="T24">
        <v>45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2026-029</v>
      </c>
      <c r="N25" t="str">
        <v>Realizado</v>
      </c>
      <c r="O25" t="str">
        <v>UniTCDF: TCDF e a Fiscalização de Obras</v>
      </c>
      <c r="P25">
        <v>4</v>
      </c>
      <c r="Q25" t="str">
        <v>Adriana Cuoco Portugal</v>
      </c>
      <c r="R25">
        <v>1</v>
      </c>
      <c r="S25">
        <v>47</v>
      </c>
      <c r="T25">
        <v>46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2026-031</v>
      </c>
      <c r="N26" t="str">
        <v>Realizado</v>
      </c>
      <c r="O26" t="str">
        <v>Fiscalizações Baseadas em Risco</v>
      </c>
      <c r="P26">
        <v>20</v>
      </c>
      <c r="Q26" t="str">
        <v>Reinaldo Alencar; Rogério Ribeiro</v>
      </c>
      <c r="R26">
        <v>2</v>
      </c>
      <c r="S26">
        <v>49</v>
      </c>
      <c r="T26">
        <v>47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2026-032</v>
      </c>
      <c r="N27" t="str">
        <v>Realizado</v>
      </c>
      <c r="O27" t="str">
        <v>Curso de formação para gestores e fiscais de Contrato em equipamentos nas unidades hospitalares - T2</v>
      </c>
      <c r="P27">
        <v>12</v>
      </c>
      <c r="Q27" t="str">
        <v>Tarsila Firmino Ely; Luciana Alvim</v>
      </c>
      <c r="R27">
        <v>2</v>
      </c>
      <c r="S27">
        <v>51</v>
      </c>
      <c r="T27">
        <v>49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2026-033</v>
      </c>
      <c r="N28" t="str">
        <v>Realizado</v>
      </c>
      <c r="O28" t="str">
        <v>Curso de formação para gestores e fiscais de Contrato em equipamentos nas unidades hospitalares - T3</v>
      </c>
      <c r="P28">
        <v>12</v>
      </c>
      <c r="Q28" t="str">
        <v>Tarsila Firmino Ely; Luciana Alvim</v>
      </c>
      <c r="R28">
        <v>2</v>
      </c>
      <c r="S28">
        <v>53</v>
      </c>
      <c r="T28">
        <v>51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2026-034</v>
      </c>
      <c r="N29" t="str">
        <v>Realizado</v>
      </c>
      <c r="O29" t="str">
        <v>Curso “Sisaudit na Prática”</v>
      </c>
      <c r="P29">
        <v>12</v>
      </c>
      <c r="Q29" t="str">
        <v>Davi Assunção Salvador Nery de Castro; David da Silva de Araújo; Hamilton de Jesus Lopes Neto</v>
      </c>
      <c r="R29">
        <v>3</v>
      </c>
      <c r="S29">
        <v>56</v>
      </c>
      <c r="T29">
        <v>53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58</v>
      </c>
      <c r="T30">
        <v>56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2026-037</v>
      </c>
      <c r="N31" t="str">
        <v>Realizado</v>
      </c>
      <c r="O31" t="str">
        <v>Introdução à Engenharia de Prompt - SEE</v>
      </c>
      <c r="P31">
        <v>8</v>
      </c>
      <c r="Q31" t="str">
        <v>Arthur Wú; Gustavo Takahashi</v>
      </c>
      <c r="R31">
        <v>2</v>
      </c>
      <c r="S31">
        <v>60</v>
      </c>
      <c r="T31">
        <v>58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2026-038</v>
      </c>
      <c r="N32" t="str">
        <v>A realizar</v>
      </c>
      <c r="O32" t="str">
        <v>Introdução ao processo de controle externo - EAD</v>
      </c>
      <c r="P32">
        <v>16</v>
      </c>
      <c r="Q32" t="str">
        <v>Gabriel Heller</v>
      </c>
      <c r="R32">
        <v>1</v>
      </c>
      <c r="S32">
        <v>61</v>
      </c>
      <c r="T32">
        <v>60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2026-039</v>
      </c>
      <c r="N33" t="str">
        <v>Realizado</v>
      </c>
      <c r="O33" t="str">
        <v>MROSC para os gestores das Organizações da Sociedade Civil – OSCs</v>
      </c>
      <c r="P33">
        <v>12</v>
      </c>
      <c r="Q33" t="str">
        <v>Indio Artiaga do Brasil Rabelo; Leonardo de Melo</v>
      </c>
      <c r="R33">
        <v>2</v>
      </c>
      <c r="S33">
        <v>63</v>
      </c>
      <c r="T33">
        <v>61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2026-040</v>
      </c>
      <c r="N34" t="str">
        <v>Realizado</v>
      </c>
      <c r="O34" t="str">
        <v>Escola de Instrutores - Design Instrucional</v>
      </c>
      <c r="P34">
        <v>12</v>
      </c>
      <c r="Q34" t="str">
        <v>Paulo José Góes Daltro</v>
      </c>
      <c r="R34">
        <v>1</v>
      </c>
      <c r="S34">
        <v>64</v>
      </c>
      <c r="T34">
        <v>63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2026-041</v>
      </c>
      <c r="N35" t="str">
        <v>Realizado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66</v>
      </c>
      <c r="T35">
        <v>64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2026-042</v>
      </c>
      <c r="N36" t="str">
        <v>Realizado</v>
      </c>
      <c r="O36" t="str">
        <v>Curso de Formação para Conselheiros de Saúde do DF</v>
      </c>
      <c r="P36">
        <v>20</v>
      </c>
      <c r="Q36" t="str">
        <v>Tarsila Firmino Ely</v>
      </c>
      <c r="R36">
        <v>1</v>
      </c>
      <c r="S36">
        <v>67</v>
      </c>
      <c r="T36">
        <v>66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2026-043</v>
      </c>
      <c r="N37" t="str">
        <v>Realizado</v>
      </c>
      <c r="O37" t="str">
        <v>Painel MROSC</v>
      </c>
      <c r="P37">
        <v>4</v>
      </c>
      <c r="Q37" t="str">
        <v>Diversos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2026-044</v>
      </c>
      <c r="N38" t="str">
        <v>A realizar</v>
      </c>
      <c r="O38" t="str">
        <v>31º SEMAT</v>
      </c>
      <c r="P38">
        <v>8</v>
      </c>
      <c r="Q38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8">
        <v>10</v>
      </c>
      <c r="S38">
        <v>78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2026-046</v>
      </c>
      <c r="N39" t="str">
        <v>A realizar</v>
      </c>
      <c r="O39" t="str">
        <v>Oficina Temática – SEMAT: Falhas recorrentes em contratações de TI</v>
      </c>
      <c r="P39">
        <v>8</v>
      </c>
      <c r="Q39" t="str">
        <v>Felipe da Costa Malaquias</v>
      </c>
      <c r="R39">
        <v>1</v>
      </c>
      <c r="S39">
        <v>79</v>
      </c>
      <c r="T39">
        <v>78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81</v>
      </c>
      <c r="T40">
        <v>79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2026-048</v>
      </c>
      <c r="N41" t="str">
        <v>A realizar</v>
      </c>
      <c r="O41" t="str">
        <v>Oficina Temática - SEMAT: Reajuste de preços em contratos de obras e serviços de engenharia</v>
      </c>
      <c r="P41">
        <v>4</v>
      </c>
      <c r="Q41" t="str">
        <v>Thiago Magalhães de Oliveira; Silvia Lima Damasceno Carvalho</v>
      </c>
      <c r="R41">
        <v>2</v>
      </c>
      <c r="S41">
        <v>83</v>
      </c>
      <c r="T41">
        <v>81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2026-049</v>
      </c>
      <c r="N42" t="str">
        <v>A realizar</v>
      </c>
      <c r="O42" t="str">
        <v>Oficina Temática - SEMAT: Pesquisa de Preços em contratos de obras e serviços de engenharia</v>
      </c>
      <c r="P42">
        <v>4</v>
      </c>
      <c r="Q42" t="str">
        <v>Silvia Lima Damasceno Carvalho; Wibys Pereira</v>
      </c>
      <c r="R42">
        <v>2</v>
      </c>
      <c r="S42">
        <v>85</v>
      </c>
      <c r="T42">
        <v>83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2026-050</v>
      </c>
      <c r="N43" t="str">
        <v>A realizar</v>
      </c>
      <c r="O43" t="str">
        <v>Encontro Técnico - SEMAT: Concursos públicos e registro de admissões</v>
      </c>
      <c r="P43">
        <v>4</v>
      </c>
      <c r="Q43" t="str">
        <v>Carlos Antônio</v>
      </c>
      <c r="R43">
        <v>1</v>
      </c>
      <c r="S43">
        <v>86</v>
      </c>
      <c r="T43">
        <v>85</v>
      </c>
      <c r="X43" t="s">
        <v>2884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2026-051</v>
      </c>
      <c r="N44" t="str">
        <v>A realizar</v>
      </c>
      <c r="O44" t="str">
        <v>Oficina Temática – SEMAT: Controle Tecnológico de obras e serviços de engenharia</v>
      </c>
      <c r="P44">
        <v>4</v>
      </c>
      <c r="Q44" t="str">
        <v>Silvia Lima Damasceno Carvalho; Marcelo Silva Santana</v>
      </c>
      <c r="R44">
        <v>2</v>
      </c>
      <c r="S44">
        <v>88</v>
      </c>
      <c r="T44">
        <v>86</v>
      </c>
      <c r="X44" t="s">
        <v>2884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2026-052</v>
      </c>
      <c r="N45" t="str">
        <v>A realizar</v>
      </c>
      <c r="O45" t="str">
        <v>Encontro Técnico– SEMAT: Concessões e Fiscalização de Pessoal</v>
      </c>
      <c r="P45">
        <v>4</v>
      </c>
      <c r="Q45" t="str">
        <v>Jamile Medeiros Fon; José Roberto Alcuri Júnior</v>
      </c>
      <c r="R45">
        <v>2</v>
      </c>
      <c r="S45">
        <v>90</v>
      </c>
      <c r="T45">
        <v>88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2026-053</v>
      </c>
      <c r="N46" t="str">
        <v>A realizar</v>
      </c>
      <c r="O46" t="str">
        <v>Oficina Temática - SEMAT: Aditivos na Contratação Integrada de obras e serviços de engenharia</v>
      </c>
      <c r="P46">
        <v>4</v>
      </c>
      <c r="Q46" t="str">
        <v>Douglas Vieira Silva Filho; Silvia Lima Damasceno Carvalho</v>
      </c>
      <c r="R46">
        <v>2</v>
      </c>
      <c r="S46">
        <v>92</v>
      </c>
      <c r="T46">
        <v>90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v>2026</v>
      </c>
      <c r="B47" t="str">
        <v>2026-027</v>
      </c>
      <c r="C47" t="str">
        <v>Realizado</v>
      </c>
      <c r="D47" t="str">
        <v>Curso básico de e-TCDF</v>
      </c>
      <c r="E47">
        <v>16</v>
      </c>
      <c r="F47" t="str">
        <v>Cássio Murilo Alves Costa Filho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2026-054</v>
      </c>
      <c r="N47" t="str">
        <v>A realizar</v>
      </c>
      <c r="O47" t="str">
        <v>Café e Tertúlia: Encerramento da Semana da Saúde</v>
      </c>
      <c r="P47">
        <v>2</v>
      </c>
      <c r="Q47" t="str">
        <v>Cinthia Thais de Carvalho Luz Thomazi; Gabriel Heller; Isac Mendes Caixeta de Pamplona Araújo; Valéria Feitoza</v>
      </c>
      <c r="R47">
        <v>4</v>
      </c>
      <c r="S47">
        <v>96</v>
      </c>
      <c r="T47">
        <v>92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v>2026</v>
      </c>
      <c r="B48" t="str">
        <v>2026-029</v>
      </c>
      <c r="C48" t="str">
        <v>Realizado</v>
      </c>
      <c r="D48" t="str">
        <v>UniTCDF: TCDF e a Fiscalização de Obras</v>
      </c>
      <c r="E48">
        <v>4</v>
      </c>
      <c r="F48" t="str">
        <v>Adriana Cuoco Portugal</v>
      </c>
      <c r="G48">
        <v>1</v>
      </c>
      <c r="H48">
        <v>4</v>
      </c>
      <c r="I48">
        <v>1.2</v>
      </c>
      <c r="J48">
        <v>5.2</v>
      </c>
      <c r="L48">
        <v>2026</v>
      </c>
      <c r="M48" t="str">
        <v>2026-055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97</v>
      </c>
      <c r="T48">
        <v>96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v>2026</v>
      </c>
      <c r="B49" t="str">
        <v>2026-031</v>
      </c>
      <c r="C49" t="str">
        <v>Realizado</v>
      </c>
      <c r="D49" t="str">
        <v>Fiscalizações Baseadas em Risco</v>
      </c>
      <c r="E49">
        <v>20</v>
      </c>
      <c r="F49" t="str">
        <v>Reinaldo Alencar</v>
      </c>
      <c r="G49">
        <v>2</v>
      </c>
      <c r="H49">
        <v>20</v>
      </c>
      <c r="I49">
        <v>3</v>
      </c>
      <c r="J49">
        <v>23</v>
      </c>
      <c r="L49">
        <v>2026</v>
      </c>
      <c r="M49" t="str">
        <v>2026-056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98</v>
      </c>
      <c r="T49">
        <v>97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Rogério Ribeiro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102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2026-032</v>
      </c>
      <c r="C51" t="str">
        <v>Realizado</v>
      </c>
      <c r="D51" t="str">
        <v>Curso de formação para gestores e fiscais de Contrato em equipamentos nas unidades hospitalares - T2</v>
      </c>
      <c r="E51">
        <v>12</v>
      </c>
      <c r="F51" t="str">
        <v>Tarsila Firmino Ely</v>
      </c>
      <c r="G51">
        <v>2</v>
      </c>
      <c r="H51">
        <v>12</v>
      </c>
      <c r="I51">
        <v>1.7999999999999998</v>
      </c>
      <c r="J51">
        <v>13.8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103</v>
      </c>
      <c r="T51">
        <v>102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Luciana Alvim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>
        <v>0</v>
      </c>
      <c r="R52">
        <v>1</v>
      </c>
      <c r="S52">
        <v>104</v>
      </c>
      <c r="T52">
        <v>103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2026-033</v>
      </c>
      <c r="C53" t="str">
        <v>Realizado</v>
      </c>
      <c r="D53" t="str">
        <v>Curso de formação para gestores e fiscais de Contrato em equipamentos nas unidades hospitalares - T3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2026-062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v>2026</v>
      </c>
      <c r="B55" t="str">
        <v>2026-034</v>
      </c>
      <c r="C55" t="str">
        <v>Realizado</v>
      </c>
      <c r="D55" t="str">
        <v>Curso “Sisaudit na Prática”</v>
      </c>
      <c r="E55">
        <v>12</v>
      </c>
      <c r="F55" t="str">
        <v>Davi Assunção Salvador Nery de Castro</v>
      </c>
      <c r="G55">
        <v>3</v>
      </c>
      <c r="H55">
        <v>12</v>
      </c>
      <c r="I55">
        <v>1.2</v>
      </c>
      <c r="J55">
        <v>13.2</v>
      </c>
      <c r="L55">
        <v>2026</v>
      </c>
      <c r="M55" t="str">
        <v>2026-066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108</v>
      </c>
      <c r="T55">
        <v>106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David da Silva de Araújo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2026-068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110</v>
      </c>
      <c r="T56">
        <v>108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Hamilton de Jesus Lopes Neto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2026-036</v>
      </c>
      <c r="C58" t="str">
        <v>Realizado</v>
      </c>
      <c r="D58" t="str">
        <v>Introdução à Engenharia de Prompt - T4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2026-037</v>
      </c>
      <c r="C60" t="str">
        <v>Realizado</v>
      </c>
      <c r="D60" t="str">
        <v>Introdução à Engenharia de Prompt - SEE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2026-038</v>
      </c>
      <c r="C62" t="str">
        <v>A realizar</v>
      </c>
      <c r="D62" t="str">
        <v>Introdução ao processo de controle externo - EAD</v>
      </c>
      <c r="E62">
        <v>16</v>
      </c>
      <c r="F62" t="str">
        <v>Gabriel Heller</v>
      </c>
      <c r="G62">
        <v>1</v>
      </c>
      <c r="H62">
        <v>0</v>
      </c>
      <c r="I62">
        <v>32</v>
      </c>
      <c r="J62">
        <v>32</v>
      </c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2026-039</v>
      </c>
      <c r="C63" t="str">
        <v>Realizado</v>
      </c>
      <c r="D63" t="str">
        <v>MROSC para os gestores das Organizações da Sociedade Civil – OSCs</v>
      </c>
      <c r="E63">
        <v>12</v>
      </c>
      <c r="F63" t="str">
        <v>Indio Artiaga do Brasil Rabelo</v>
      </c>
      <c r="G63">
        <v>2</v>
      </c>
      <c r="H63">
        <v>12</v>
      </c>
      <c r="I63">
        <v>3.6</v>
      </c>
      <c r="J63">
        <v>15.6</v>
      </c>
      <c r="R63" t="str">
        <v/>
      </c>
      <c r="S63" t="str"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Leonardo de Melo</v>
      </c>
      <c r="G64">
        <v>2</v>
      </c>
      <c r="H64">
        <v>0</v>
      </c>
      <c r="I64">
        <v>0</v>
      </c>
      <c r="J64">
        <v>0</v>
      </c>
      <c r="R64" t="str">
        <v/>
      </c>
      <c r="S64" t="str"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2026-040</v>
      </c>
      <c r="C65" t="str">
        <v>Realizado</v>
      </c>
      <c r="D65" t="str">
        <v>Escola de Instrutores - Design Instrucional</v>
      </c>
      <c r="E65">
        <v>12</v>
      </c>
      <c r="F65" t="str">
        <v>Paulo José Góes Daltro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v>2026</v>
      </c>
      <c r="B66" t="str">
        <v>2026-041</v>
      </c>
      <c r="C66" t="str">
        <v>Realizado</v>
      </c>
      <c r="D66" t="str">
        <v>O novo olhar sobre as políticas públicas para o Controle Externo</v>
      </c>
      <c r="E66">
        <v>24</v>
      </c>
      <c r="F66" t="str">
        <v>Reinaldo Alencar</v>
      </c>
      <c r="G66">
        <v>2</v>
      </c>
      <c r="H66">
        <v>24</v>
      </c>
      <c r="I66">
        <v>3.5999999999999996</v>
      </c>
      <c r="J66">
        <v>27.6</v>
      </c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Realizado</v>
      </c>
      <c r="D67" t="str">
        <v>O novo olhar sobre as políticas públicas para o Controle Externo</v>
      </c>
      <c r="E67">
        <v>24</v>
      </c>
      <c r="F67" t="str">
        <v>Rogério Ribeiro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2026-042</v>
      </c>
      <c r="C68" t="str">
        <v>Realizado</v>
      </c>
      <c r="D68" t="str">
        <v>Curso de Formação para Conselheiros de Saúde do DF</v>
      </c>
      <c r="E68">
        <v>20</v>
      </c>
      <c r="F68" t="str">
        <v>Tarsila Firmino Ely</v>
      </c>
      <c r="G68">
        <v>1</v>
      </c>
      <c r="H68">
        <v>20</v>
      </c>
      <c r="I68">
        <v>6</v>
      </c>
      <c r="J68">
        <v>26</v>
      </c>
      <c r="R68" t="str">
        <v/>
      </c>
      <c r="S68" t="str"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v>2026</v>
      </c>
      <c r="B69" t="str">
        <v>2026-043</v>
      </c>
      <c r="C69" t="str">
        <v>Realizado</v>
      </c>
      <c r="D69" t="str">
        <v>Painel MROSC</v>
      </c>
      <c r="E69">
        <v>4</v>
      </c>
      <c r="F69" t="str">
        <v>Diversos</v>
      </c>
      <c r="G69">
        <v>1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2026-044</v>
      </c>
      <c r="C70" t="str">
        <v>A realizar</v>
      </c>
      <c r="D70" t="str">
        <v>31º SEMAT</v>
      </c>
      <c r="E70">
        <v>8</v>
      </c>
      <c r="F70" t="str">
        <v>José Roberto Alcuri Júnior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Felipe Ramos Barbosa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Carolina Pereira de Oliveira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Eustáquio Rabelo de Souza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Alinne Patrícia de Andrade Carvalho</v>
      </c>
      <c r="G74">
        <v>10</v>
      </c>
      <c r="H74">
        <v>0</v>
      </c>
      <c r="I74">
        <v>0</v>
      </c>
      <c r="J74">
        <v>0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Silvia Lima Damasceno Carvalho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Marcelo Silva Santana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Cinthia Thais de Carvalho Luz Thomazi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2888</v>
      </c>
      <c r="Y77" t="s">
        <v>3009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Igor Queiroz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Guilherme Bride Fernandes</v>
      </c>
      <c r="G79">
        <v>10</v>
      </c>
      <c r="H79">
        <v>0</v>
      </c>
      <c r="I79">
        <v>0</v>
      </c>
      <c r="J79">
        <v>0</v>
      </c>
      <c r="R79" t="str">
        <v/>
      </c>
      <c r="S79" t="str">
        <v/>
      </c>
      <c r="X79" t="s">
        <v>2896</v>
      </c>
      <c r="Y79" t="s">
        <v>3013</v>
      </c>
      <c r="AA79">
        <v>1.2</v>
      </c>
    </row>
    <row r="80" spans="1:27" x14ac:dyDescent="0.25">
      <c r="A80">
        <v>2026</v>
      </c>
      <c r="B80" t="str">
        <v>2026-046</v>
      </c>
      <c r="C80" t="str">
        <v>A realizar</v>
      </c>
      <c r="D80" t="str">
        <v>Oficina Temática – SEMAT: Falhas recorrentes em contratações de TI</v>
      </c>
      <c r="E80">
        <v>8</v>
      </c>
      <c r="F80" t="str">
        <v>Felipe da Costa Malaquias</v>
      </c>
      <c r="G80">
        <v>1</v>
      </c>
      <c r="H80">
        <v>8</v>
      </c>
      <c r="I80">
        <v>2.4</v>
      </c>
      <c r="J80">
        <v>10.4</v>
      </c>
      <c r="R80" t="str">
        <v/>
      </c>
      <c r="S80" t="str">
        <v/>
      </c>
      <c r="X80" t="s">
        <v>2900</v>
      </c>
      <c r="Y80" t="s">
        <v>3010</v>
      </c>
      <c r="AA80">
        <v>1.2</v>
      </c>
    </row>
    <row r="81" spans="1:27" x14ac:dyDescent="0.25">
      <c r="A81">
        <v>2026</v>
      </c>
      <c r="B81" t="str">
        <v>2026-047</v>
      </c>
      <c r="C81" t="str">
        <v>A realizar</v>
      </c>
      <c r="D81" t="str">
        <v>Oficina Temática - SEMAT: MROSC para servidores do GDF</v>
      </c>
      <c r="E81">
        <v>4</v>
      </c>
      <c r="F81" t="str">
        <v>Indio Artiaga do Brasil Rabelo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:27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Leonardo de Melo</v>
      </c>
      <c r="G82">
        <v>2</v>
      </c>
      <c r="H82">
        <v>0</v>
      </c>
      <c r="I82">
        <v>0</v>
      </c>
      <c r="J82">
        <v>0</v>
      </c>
      <c r="R82" t="str">
        <v/>
      </c>
      <c r="S82" t="str">
        <v/>
      </c>
      <c r="X82" t="s">
        <v>2905</v>
      </c>
      <c r="Y82" t="s">
        <v>3014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2026-049</v>
      </c>
      <c r="C85" t="str">
        <v>A realizar</v>
      </c>
      <c r="D85" t="str">
        <v>Oficina Temática - SEMAT: Pesquisa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Wibys Pereira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2026-050</v>
      </c>
      <c r="C87" t="str">
        <v>A realizar</v>
      </c>
      <c r="D87" t="str">
        <v>Encontro Técnico - SEMAT: Concursos públicos e registro de admissões</v>
      </c>
      <c r="E87">
        <v>4</v>
      </c>
      <c r="F87" t="str">
        <v>Carlos Antônio</v>
      </c>
      <c r="G87">
        <v>1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2026-051</v>
      </c>
      <c r="C88" t="str">
        <v>A realizar</v>
      </c>
      <c r="D88" t="str">
        <v>Oficina Temática – SEMAT: Controle Tecnológico de obras e serviços de engenharia</v>
      </c>
      <c r="E88">
        <v>4</v>
      </c>
      <c r="F88" t="str">
        <v>Silvia Lima Damasceno Carvalho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Marcelo Silva Santana</v>
      </c>
      <c r="G89">
        <v>2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2026-052</v>
      </c>
      <c r="C90" t="str">
        <v>A realizar</v>
      </c>
      <c r="D90" t="str">
        <v>Encontro Técnico– SEMAT: Concessões e Fiscalização de Pessoal</v>
      </c>
      <c r="E90">
        <v>4</v>
      </c>
      <c r="F90" t="str">
        <v>Jamile Medeiros Fon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José Roberto Alcuri Júnior</v>
      </c>
      <c r="G91">
        <v>2</v>
      </c>
      <c r="H91">
        <v>0</v>
      </c>
      <c r="I91">
        <v>0</v>
      </c>
      <c r="J91">
        <v>0</v>
      </c>
      <c r="R91" t="str">
        <v/>
      </c>
      <c r="S91" t="str">
        <v/>
      </c>
    </row>
    <row r="92" spans="1:27" x14ac:dyDescent="0.25">
      <c r="A92">
        <v>2026</v>
      </c>
      <c r="B92" t="str">
        <v>2026-053</v>
      </c>
      <c r="C92" t="str">
        <v>A realizar</v>
      </c>
      <c r="D92" t="str">
        <v>Oficina Temática - SEMAT: Aditivos na Contratação Integrada de obras e serviços de engenharia</v>
      </c>
      <c r="E92">
        <v>4</v>
      </c>
      <c r="F92" t="str">
        <v>Douglas Vieira Silva Filho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Silvia Lima Damasceno Carvalho</v>
      </c>
      <c r="G93">
        <v>2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2026-054</v>
      </c>
      <c r="C94" t="str">
        <v>A realizar</v>
      </c>
      <c r="D94" t="str">
        <v>Café e Tertúlia: Encerramento da Semana da Saúde</v>
      </c>
      <c r="E94">
        <v>2</v>
      </c>
      <c r="F94" t="str">
        <v>Cinthia Thais de Carvalho Luz Thomazi</v>
      </c>
      <c r="G94">
        <v>4</v>
      </c>
      <c r="H94">
        <v>0</v>
      </c>
      <c r="I94">
        <v>0</v>
      </c>
      <c r="J94">
        <v>0</v>
      </c>
      <c r="R94" t="str">
        <v/>
      </c>
      <c r="S94" t="str">
        <v/>
      </c>
    </row>
    <row r="95" spans="1:27" x14ac:dyDescent="0.25">
      <c r="A95">
        <v>2026</v>
      </c>
      <c r="B95" t="str">
        <v>2026-054</v>
      </c>
      <c r="C95" t="str">
        <v>A realizar</v>
      </c>
      <c r="D95" t="str">
        <v>Café e Tertúlia: Encerramento da Semana da Saúde</v>
      </c>
      <c r="E95">
        <v>2</v>
      </c>
      <c r="F95" t="str">
        <v>Gabriel Heller</v>
      </c>
      <c r="G95">
        <v>4</v>
      </c>
      <c r="H95">
        <v>0</v>
      </c>
      <c r="I95">
        <v>0</v>
      </c>
      <c r="J95">
        <v>0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Isac Mendes Caixeta de Pamplona Araújo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Valéria Feitoza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2026-055</v>
      </c>
      <c r="C98" t="str">
        <v>A realizar</v>
      </c>
      <c r="D98" t="str">
        <v>TCendo o Futuro</v>
      </c>
      <c r="E98">
        <v>4</v>
      </c>
      <c r="F98" t="str">
        <v>0</v>
      </c>
      <c r="G98">
        <v>1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2026-056</v>
      </c>
      <c r="C99" t="str">
        <v>A realizar</v>
      </c>
      <c r="D99" t="str">
        <v>TCendo o Futuro</v>
      </c>
      <c r="E99">
        <v>4</v>
      </c>
      <c r="F99" t="str">
        <v>0</v>
      </c>
      <c r="G99">
        <v>1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2026-057</v>
      </c>
      <c r="C100" t="str">
        <v>A realizar</v>
      </c>
      <c r="D100" t="str">
        <v>Curso de formação sobre "Programa de Descentralização Progressiva das Ações de Saúde - PDPAS</v>
      </c>
      <c r="E100">
        <v>20</v>
      </c>
      <c r="F100" t="str">
        <v>Tarsila Firmino Ely</v>
      </c>
      <c r="G100">
        <v>4</v>
      </c>
      <c r="H100">
        <v>20</v>
      </c>
      <c r="I100">
        <v>3.6</v>
      </c>
      <c r="J100">
        <v>23.6</v>
      </c>
      <c r="R100" t="str">
        <v/>
      </c>
      <c r="S100" t="str">
        <v/>
      </c>
    </row>
    <row r="101" spans="1:19" x14ac:dyDescent="0.25">
      <c r="A101">
        <v>2026</v>
      </c>
      <c r="B101" t="str">
        <v>2026-057</v>
      </c>
      <c r="C101" t="str">
        <v>A realizar</v>
      </c>
      <c r="D101" t="str">
        <v>Curso de formação sobre "Programa de Descentralização Progressiva das Ações de Saúde - PDPAS</v>
      </c>
      <c r="E101">
        <v>20</v>
      </c>
      <c r="F101" t="str">
        <v>Sara Cristina Lins Ramos</v>
      </c>
      <c r="G101">
        <v>4</v>
      </c>
      <c r="H101">
        <v>8</v>
      </c>
      <c r="I101">
        <v>2.4</v>
      </c>
      <c r="J101">
        <v>10.4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Carina de Souza Mariuba Herthel</v>
      </c>
      <c r="G102">
        <v>4</v>
      </c>
      <c r="H102">
        <v>8</v>
      </c>
      <c r="I102">
        <v>2.4</v>
      </c>
      <c r="J102">
        <v>10.4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Elvis Aaron Teixeira dos Santos Lima</v>
      </c>
      <c r="G103">
        <v>4</v>
      </c>
      <c r="H103">
        <v>0</v>
      </c>
      <c r="I103">
        <v>0</v>
      </c>
      <c r="J103">
        <v>0</v>
      </c>
      <c r="R103" t="str">
        <v/>
      </c>
      <c r="S103" t="str">
        <v/>
      </c>
    </row>
    <row r="104" spans="1:19" x14ac:dyDescent="0.25">
      <c r="A104">
        <v>2026</v>
      </c>
      <c r="B104" t="str">
        <v>2026-059</v>
      </c>
      <c r="C104" t="str">
        <v>A realizar</v>
      </c>
      <c r="D104" t="str">
        <v>TCendo o Futuro</v>
      </c>
      <c r="E104">
        <v>4</v>
      </c>
      <c r="F104" t="str">
        <v>0</v>
      </c>
      <c r="G104">
        <v>1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2026-060</v>
      </c>
      <c r="C105" t="str">
        <v>A realizar</v>
      </c>
      <c r="D105" t="str">
        <v>TCendo o Futuro</v>
      </c>
      <c r="E105">
        <v>4</v>
      </c>
      <c r="F105" t="str">
        <v>0</v>
      </c>
      <c r="G105">
        <v>1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2026-061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2026-062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2026-066</v>
      </c>
      <c r="C108" t="str">
        <v>A realizar</v>
      </c>
      <c r="D108" t="str">
        <v>Contratações de TIC com base na jurisprudência do TCDF - EAD</v>
      </c>
      <c r="E108">
        <v>17.45</v>
      </c>
      <c r="F108" t="str">
        <v>Flávio José Fonseca de Souza</v>
      </c>
      <c r="G108">
        <v>2</v>
      </c>
      <c r="H108">
        <v>0</v>
      </c>
      <c r="I108">
        <v>34.9</v>
      </c>
      <c r="J108">
        <v>34.9</v>
      </c>
      <c r="R108" t="str">
        <v/>
      </c>
      <c r="S108" t="str">
        <v/>
      </c>
    </row>
    <row r="109" spans="1:19" x14ac:dyDescent="0.25">
      <c r="A109">
        <v>2026</v>
      </c>
      <c r="B109" t="str">
        <v>2026-066</v>
      </c>
      <c r="C109" t="str">
        <v>A realizar</v>
      </c>
      <c r="D109" t="str">
        <v>Contratações de TIC com base na jurisprudência do TCDF - EAD</v>
      </c>
      <c r="E109">
        <v>17.45</v>
      </c>
      <c r="F109" t="str">
        <v>Felipe da Costa Malaquias</v>
      </c>
      <c r="G109">
        <v>2</v>
      </c>
      <c r="H109">
        <v>0</v>
      </c>
      <c r="I109">
        <v>34.9</v>
      </c>
      <c r="J109">
        <v>34.9</v>
      </c>
      <c r="R109" t="str">
        <v/>
      </c>
      <c r="S109" t="str">
        <v/>
      </c>
    </row>
    <row r="110" spans="1:19" x14ac:dyDescent="0.25">
      <c r="A110">
        <v>2026</v>
      </c>
      <c r="B110" t="str">
        <v>2026-068</v>
      </c>
      <c r="C110" t="str">
        <v>A realizar</v>
      </c>
      <c r="D110" t="str">
        <v>Oficina Temática - SEMAT: Matriz de Riscos em contratos de obras e serviços de engenharia</v>
      </c>
      <c r="E110">
        <v>4</v>
      </c>
      <c r="F110" t="str">
        <v>Silvia Lima Damasceno Carvalho</v>
      </c>
      <c r="G110">
        <v>2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2026-068</v>
      </c>
      <c r="C111" t="str">
        <v>A realizar</v>
      </c>
      <c r="D111" t="str">
        <v>Oficina Temática - SEMAT: Matriz de Riscos em contratos de obras e serviços de engenharia</v>
      </c>
      <c r="E111">
        <v>4</v>
      </c>
      <c r="F111" t="str">
        <v>Renan Dias da Silva</v>
      </c>
      <c r="G111">
        <v>2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3056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3057</v>
      </c>
      <c r="B4" s="231"/>
      <c r="D4" s="232" t="s">
        <v>3058</v>
      </c>
      <c r="E4" s="233"/>
      <c r="G4" s="45" t="s">
        <v>3059</v>
      </c>
    </row>
    <row r="5" spans="1:7" ht="54.95" customHeight="1" thickBot="1" x14ac:dyDescent="0.75">
      <c r="A5" s="35">
        <f>COUNTIF('Ações InCompany'!B:B,2026)</f>
        <v>73</v>
      </c>
      <c r="B5" s="36" t="s">
        <v>3060</v>
      </c>
      <c r="D5" s="43">
        <f>COUNTIFS('Ações InCompany'!B:B,2026,'Ações InCompany'!C:C,"Realizado")</f>
        <v>38</v>
      </c>
      <c r="E5" s="44" t="s">
        <v>3060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3061</v>
      </c>
      <c r="B8" s="227"/>
      <c r="D8" s="227" t="s">
        <v>3062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1839</v>
      </c>
    </row>
    <row r="30" spans="1:5" ht="17.25" x14ac:dyDescent="0.3">
      <c r="A30" s="227" t="s">
        <v>3071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0.32307692307692309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4.6153846153846156E-2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9.2307692307692313E-2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3.0769230769230771E-2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6.1538461538461542E-2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0.2153846153846154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6.1538461538461542E-2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3.0769230769230771E-2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0.1076923076923077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3.0769230769230771E-2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38</v>
      </c>
      <c r="C45" s="41">
        <f>SUM(C33:C44)</f>
        <v>27</v>
      </c>
      <c r="D45" s="41">
        <f>SUM(D33:D44)</f>
        <v>65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3122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3123</v>
      </c>
    </row>
    <row r="4" spans="1:8" ht="21.95" customHeight="1" x14ac:dyDescent="0.25">
      <c r="A4" s="235" t="s">
        <v>3124</v>
      </c>
      <c r="B4" s="236"/>
      <c r="D4" s="235" t="s">
        <v>3125</v>
      </c>
      <c r="E4" s="236"/>
      <c r="G4" s="235" t="s">
        <v>3126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3132</v>
      </c>
      <c r="B1" s="240"/>
      <c r="C1" s="240"/>
      <c r="D1" s="240"/>
      <c r="E1" s="240"/>
      <c r="F1" s="240"/>
    </row>
    <row r="2" spans="1:7" x14ac:dyDescent="0.25">
      <c r="A2" s="241" t="s">
        <v>3133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www.w3.org/XML/1998/namespace"/>
    <ds:schemaRef ds:uri="http://schemas.microsoft.com/office/infopath/2007/PartnerControls"/>
    <ds:schemaRef ds:uri="91ce1707-6d34-452b-b217-9734c03e6729"/>
    <ds:schemaRef ds:uri="fe686eaa-0658-4f15-b230-9e46c4d089fd"/>
    <ds:schemaRef ds:uri="http://schemas.openxmlformats.org/package/2006/metadata/core-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2026-08-04T19:15:11Z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