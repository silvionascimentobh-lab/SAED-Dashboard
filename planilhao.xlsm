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0" documentId="13_ncr:1_{6A2CC3E2-FAFB-4D8F-B284-5E8FB5045DFE}" xr6:coauthVersionLast="47" xr6:coauthVersionMax="47" xr10:uidLastSave="{DB3ABDCC-AA6D-40A0-8459-497830FB31E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<sst xmlns="http://schemas.openxmlformats.org/spreadsheetml/2006/main" count="7197" uniqueCount="3170">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</sst>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6"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75"/>
      <tableStyleElement type="firstRowStripe" dxfId="74"/>
      <tableStyleElement type="secondRowStripe" dxfId="73"/>
    </tableStyle>
    <tableStyle name="Ações InCompany-style" pivot="0" count="3" xr9:uid="{00000000-0011-0000-FFFF-FFFF01000000}">
      <tableStyleElement type="headerRow" dxfId="72"/>
      <tableStyleElement type="firstRowStripe" dxfId="71"/>
      <tableStyleElement type="secondRowStripe" dxfId="70"/>
    </tableStyle>
    <tableStyle name="Coffee Break-style" pivot="0" count="3" xr9:uid="{00000000-0011-0000-FFFF-FFFF02000000}">
      <tableStyleElement type="headerRow" dxfId="69"/>
      <tableStyleElement type="firstRowStripe" dxfId="68"/>
      <tableStyleElement type="secondRowStripe" dxfId="6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2" tableId="2">
      <sortRules>
        <sortRule colId="8" id="{62016C67-3729-4C41-B72D-09D6616B7474}">
          <sortCondition ref="I1:I2002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2" totalsRowShown="0" headerRowDxfId="66" dataDxfId="65" totalsRowDxfId="64" totalsRowBorderDxfId="63">
  <autoFilter ref="A1:T2002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62" totalsRowDxfId="61"/>
    <tableColumn id="2" xr3:uid="{19532738-24D5-4BD5-BE04-C19DCC5894A1}" name="Ano" dataDxfId="60" totalsRowDxfId="59"/>
    <tableColumn id="3" xr3:uid="{8DE0B36A-F0DC-47A1-A74E-F4BE63A4FB1D}" name="Status Evento" dataDxfId="58" totalsRowDxfId="57"/>
    <tableColumn id="4" xr3:uid="{C1159FBD-CCD0-4CA2-BB8C-598E3AB5DDD8}" name="Processo" dataDxfId="56" totalsRowDxfId="55"/>
    <tableColumn id="5" xr3:uid="{A32670A4-BE4F-480D-8DE9-8FF18024C829}" name="Curso" dataDxfId="54" totalsRowDxfId="53"/>
    <tableColumn id="8" xr3:uid="{905DEA0A-D099-47EA-972D-1012D71C7792}" name="Público-Alvo" dataDxfId="52" totalsRowDxfId="51"/>
    <tableColumn id="9" xr3:uid="{7DC0A0BE-8030-47CA-AF56-2C13C9FF7AE5}" name="Programa" dataDxfId="50" totalsRowDxfId="49"/>
    <tableColumn id="11" xr3:uid="{2B799ACD-69E4-46A5-9A4F-F7E3D7A47CE9}" name="Data TXT" dataDxfId="48" totalsRowDxfId="47"/>
    <tableColumn id="12" xr3:uid="{62016C67-3729-4C41-B72D-09D6616B7474}" name="Início" dataDxfId="46" totalsRowDxfId="45"/>
    <tableColumn id="13" xr3:uid="{E4F20518-0042-40C0-B590-B7616F2843A5}" name="Término" dataDxfId="44" totalsRowDxfId="43"/>
    <tableColumn id="14" xr3:uid="{4D6C4412-CFEE-4506-830E-F79FD008371B}" name="Modalidade" dataDxfId="42" totalsRowDxfId="41"/>
    <tableColumn id="15" xr3:uid="{12EC931A-E71B-4AEB-B20B-0F9EA63D0C71}" name="Valor instrutoria" dataDxfId="40" totalsRowDxfId="39" dataCellStyle="Moeda"/>
    <tableColumn id="17" xr3:uid="{8FCDFADA-4FA3-41E0-86FF-E623116BAFEB}" name="Nota Av. Reação" dataDxfId="38" totalsRowDxfId="37"/>
    <tableColumn id="19" xr3:uid="{316EB379-BB97-4F60-9566-576B25A26B0E}" name="Qtd Vagas" dataDxfId="36" totalsRowDxfId="35"/>
    <tableColumn id="20" xr3:uid="{59A9FB16-6726-411C-88B5-8165DD520DA3}" name="P. Servidores" dataDxfId="34" totalsRowDxfId="33"/>
    <tableColumn id="21" xr3:uid="{0246E091-ADCD-4F62-8F95-84B21E8A7BE1}" name="P. Jurisdicionados" dataDxfId="32" totalsRowDxfId="31"/>
    <tableColumn id="22" xr3:uid="{1B6DBD6D-C072-4600-81C1-69D6F4422D7D}" name="P. Sociedade" dataDxfId="30" totalsRowDxfId="29"/>
    <tableColumn id="23" xr3:uid="{109F7E4E-776C-4249-88BE-FEC3A375D7D9}" name="Total Part." dataDxfId="28" totalsRowDxfId="27"/>
    <tableColumn id="24" xr3:uid="{C67AA4C6-834C-4EBB-839B-EF0CDD50F649}" name="C.H." dataDxfId="26" totalsRowDxfId="25"/>
    <tableColumn id="26" xr3:uid="{973608F6-3E97-493C-AC61-980F73C13CD6}" name="Instrutor" dataDxfId="24" totalsRowDxfId="2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22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D1" zoomScale="120" zoomScaleNormal="120" workbookViewId="0">
      <pane ySplit="1" topLeftCell="A718" activePane="bottomLeft" state="frozen"/>
      <selection pane="bottomLeft" activeCell="E2002" sqref="E2002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237"/>
      <c r="B2002" s="238"/>
      <c r="C2002" s="239"/>
      <c r="D2002" s="239"/>
      <c r="E2002" s="240" t="s">
        <v>3169</v>
      </c>
      <c r="F2002" s="241"/>
      <c r="G2002" s="242"/>
      <c r="H2002" s="243"/>
      <c r="I2002" s="244"/>
      <c r="J2002" s="244"/>
      <c r="K2002" s="245"/>
      <c r="L2002" s="246"/>
      <c r="M2002" s="247"/>
      <c r="N2002" s="248"/>
      <c r="O2002" s="237"/>
      <c r="P2002" s="237"/>
      <c r="Q2002" s="237"/>
      <c r="R2002" s="237"/>
      <c r="S2002" s="239"/>
      <c r="T2002" s="242"/>
    </row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2">
    <cfRule type="expression" dxfId="21" priority="3">
      <formula>TRIM(C2)="Realizado"</formula>
    </cfRule>
  </conditionalFormatting>
  <conditionalFormatting sqref="C2:C2002">
    <cfRule type="expression" dxfId="20" priority="4">
      <formula>TRIM(C2)="Cancelado"</formula>
    </cfRule>
  </conditionalFormatting>
  <conditionalFormatting sqref="C2:C2002">
    <cfRule type="expression" dxfId="19" priority="5">
      <formula>TRIM(C2)="Em andamento"</formula>
    </cfRule>
  </conditionalFormatting>
  <conditionalFormatting sqref="C2:C2002">
    <cfRule type="expression" dxfId="18" priority="6">
      <formula>TRIM(C2)="Adiado"</formula>
    </cfRule>
  </conditionalFormatting>
  <conditionalFormatting sqref="A2:A2002">
    <cfRule type="expression" dxfId="17" priority="7">
      <formula>AND($B2&lt;&gt;"",$A2="")</formula>
    </cfRule>
  </conditionalFormatting>
  <conditionalFormatting sqref="L2:M2002">
    <cfRule type="expression" dxfId="16" priority="8">
      <formula>L2=""</formula>
    </cfRule>
  </conditionalFormatting>
  <conditionalFormatting sqref="A2:T726 A727:C727 E727:T727 A728:T2001">
    <cfRule type="expression" dxfId="15" priority="9">
      <formula>MOD(ROW(),2)=0</formula>
    </cfRule>
  </conditionalFormatting>
  <conditionalFormatting sqref="A2:T726 A727:C727 E727:T727 A728:T2001">
    <cfRule type="expression" dxfId="14" priority="10">
      <formula>MOD(ROW(),2)=1</formula>
    </cfRule>
  </conditionalFormatting>
  <conditionalFormatting sqref="E2002">
    <cfRule type="expression" dxfId="7" priority="1">
      <formula>MOD(ROW(),2)=0</formula>
    </cfRule>
  </conditionalFormatting>
  <conditionalFormatting sqref="E2002">
    <cfRule type="expression" dxfId="6" priority="2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2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2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E2003:E1048576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2026-08-04T20:56:32Z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