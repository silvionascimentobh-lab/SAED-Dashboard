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9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60" documentId="13_ncr:1_{6A2CC3E2-FAFB-4D8F-B284-5E8FB5045DFE}" xr6:coauthVersionLast="47" xr6:coauthVersionMax="47" xr10:uidLastSave="{C47A1F6A-59BE-4AB8-B679-EBD4F9CCE31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<sst xmlns="http://schemas.openxmlformats.org/spreadsheetml/2006/main" count="7457" uniqueCount="3278">
  <si>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</si>
  <si>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</si>
  <si>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</si>
  <si>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</si>
  <si>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</si>
  <si>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</si>
  <si>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</si>
  <si>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</si>
  <si>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</si>
  <si>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</si>
  <si>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</si>
  <si>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</si>
  <si>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</si>
  <si>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</si>
  <si>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</si>
  <si>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</si>
  <si>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</si>
  <si>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</si>
  <si>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</si>
  <si>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</si>
  <si>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</si>
  <si>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</si>
  <si>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</si>
  <si>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</si>
  <si>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</si>
  <si>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</si>
  <si>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</si>
  <si>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</si>
  <si>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</si>
  <si>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</si>
  <si>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</si>
  <si>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</si>
  <si>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</si>
  <si>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</si>
  <si>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</si>
  <si>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</si>
  <si>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</si>
  <si>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</si>
  <si>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</si>
  <si>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</si>
  <si>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</si>
  <si>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</si>
  <si>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</si>
  <si>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</si>
  <si>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</si>
  <si>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</si>
  <si>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</si>
  <si>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</si>
  <si>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</si>
  <si>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</si>
  <si>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</si>
  <si>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</si>
  <si>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</si>
  <si>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</si>
  <si>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</si>
  <si>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</si>
  <si>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</si>
  <si>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</si>
  <si>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</si>
  <si>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</si>
  <si>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</si>
  <si>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</si>
  <si>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</si>
  <si>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</si>
  <si>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</si>
  <si>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</si>
  <si>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</si>
  <si>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</si>
  <si>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</si>
  <si>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</si>
  <si>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</si>
  <si>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</si>
  <si>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</si>
  <si>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</si>
  <si>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</si>
  <si>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</si>
  <si>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</si>
  <si>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</si>
  <si>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</si>
  <si>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</si>
  <si>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</si>
  <si>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</si>
  <si>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</si>
  <si>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</si>
  <si>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</si>
  <si>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</si>
  <si>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</si>
  <si>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</si>
  <si>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</si>
  <si>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</si>
  <si>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</si>
  <si>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</si>
  <si>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</si>
  <si>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</si>
  <si>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</si>
  <si>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</si>
  <si>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</si>
  <si>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</si>
  <si>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</si>
  <si>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</si>
  <si>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</si>
  <si>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</si>
  <si>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</si>
  <si>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</si>
  <si>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</si>
  <si>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</si>
  <si>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</si>
  <si>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</si>
  <si>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</si>
  <si>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</si>
  <si>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</si>
  <si>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</si>
  <si>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</si>
  <si>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</si>
  <si>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</si>
  <si>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</si>
  <si>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</si>
  <si>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</si>
  <si>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</si>
  <si>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</si>
  <si>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</si>
  <si>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</si>
  <si>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</si>
  <si>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</si>
  <si>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</si>
  <si>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</si>
  <si>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</si>
  <si>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</si>
  <si>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</si>
  <si>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</si>
  <si>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</si>
  <si>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</si>
  <si>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</si>
  <si>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</si>
  <si>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</si>
  <si>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</si>
  <si>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</si>
  <si>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</si>
  <si>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</si>
  <si>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</si>
  <si>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</si>
  <si>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</si>
  <si>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</si>
  <si>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</si>
  <si>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</si>
  <si>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</si>
  <si>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</si>
  <si>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</si>
  <si>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</si>
  <si>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</si>
  <si>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</si>
  <si>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</si>
  <si>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</si>
  <si>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</si>
  <si>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</si>
  <si>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</si>
  <si>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</si>
  <si>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</si>
  <si>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</si>
  <si>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</si>
  <si>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</si>
  <si>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</si>
  <si>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</si>
  <si>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</si>
  <si>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</si>
  <si>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</si>
  <si>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</si>
  <si>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</si>
  <si>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</si>
  <si>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</si>
  <si>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</si>
  <si>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</si>
  <si>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</si>
  <si>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</si>
  <si>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</si>
  <si>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</si>
  <si>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</si>
  <si>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</si>
  <si>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</si>
  <si>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</si>
  <si>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</si>
  <si>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</si>
  <si>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</si>
  <si>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</si>
  <si>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</si>
  <si>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</si>
  <si>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</si>
  <si>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</si>
  <si>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</si>
  <si>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</si>
  <si>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</si>
  <si>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</si>
  <si>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</si>
  <si>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</si>
  <si>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</si>
  <si>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</si>
  <si>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</si>
  <si>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</si>
  <si>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</si>
  <si>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</si>
  <si>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</si>
  <si>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</si>
  <si>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</si>
  <si>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</si>
  <si>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</si>
  <si>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</si>
  <si>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</si>
  <si>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</si>
  <si>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</si>
  <si>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</si>
  <si>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</si>
  <si>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</si>
  <si>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</si>
  <si>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</si>
  <si>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</si>
  <si>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</si>
  <si>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</si>
  <si>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</si>
  <si>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</si>
  <si>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</si>
  <si>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</si>
  <si>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</si>
  <si>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</si>
  <si>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</si>
  <si>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</si>
  <si>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</si>
  <si>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</si>
  <si>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</si>
  <si>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</si>
  <si>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</si>
  <si>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</si>
  <si>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</si>
  <si>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</si>
  <si>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</si>
  <si>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</si>
  <si>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</si>
  <si>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</si>
  <si>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</si>
  <si>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</si>
  <si>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</si>
  <si>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</si>
  <si>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</si>
  <si>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</si>
  <si>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</si>
  <si>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</si>
  <si>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</si>
  <si>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</si>
  <si>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</si>
  <si>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</si>
  <si>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</si>
  <si>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</si>
  <si>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</si>
  <si>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</si>
  <si>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</si>
  <si>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</si>
  <si>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</si>
  <si>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</si>
  <si>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</si>
  <si>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</si>
  <si>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</si>
  <si>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</si>
  <si>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</si>
  <si>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</si>
  <si>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</si>
  <si>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</si>
  <si>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</si>
  <si>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</si>
  <si>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</si>
  <si>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</si>
  <si>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</si>
  <si>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</si>
  <si>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</si>
  <si>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</si>
  <si>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</si>
  <si>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</si>
  <si>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</si>
  <si>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</si>
  <si>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</si>
  <si>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</si>
  <si>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</si>
  <si>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</si>
  <si>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</si>
  <si>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</si>
  <si>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</si>
  <si>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</si>
  <si>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</si>
  <si>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</si>
  <si>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</si>
  <si>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</si>
  <si>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</si>
  <si>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</si>
  <si>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</si>
  <si>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</si>
  <si>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</si>
  <si>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</si>
  <si>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</si>
  <si>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</si>
  <si>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</si>
  <si>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</si>
  <si>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</si>
  <si>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</si>
  <si>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</si>
  <si>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</si>
  <si>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</si>
  <si>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</si>
  <si>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</si>
  <si>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</si>
  <si>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</si>
  <si>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</si>
  <si>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</si>
  <si>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</si>
  <si>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</si>
  <si>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</si>
  <si>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</si>
  <si>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</si>
  <si>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</si>
  <si>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</si>
  <si>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</si>
  <si>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</si>
  <si>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</si>
  <si>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</si>
  <si>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</si>
  <si>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</si>
  <si>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</si>
  <si>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</si>
  <si>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</si>
  <si>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</si>
  <si>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</si>
  <si>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</si>
  <si>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</si>
  <si>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</si>
  <si>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</si>
  <si>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</si>
  <si>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</si>
  <si>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</si>
  <si>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</si>
  <si>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</si>
  <si>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</si>
  <si>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</si>
  <si>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</si>
  <si>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</si>
  <si>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</si>
  <si>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</si>
  <si>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</si>
  <si>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</si>
  <si>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</si>
  <si>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</si>
  <si>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</si>
  <si>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</si>
  <si>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</si>
  <si>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</si>
  <si>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</si>
  <si>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</si>
  <si>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</si>
  <si>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</si>
  <si>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</si>
  <si>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</si>
  <si>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</si>
  <si>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</si>
  <si>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</si>
  <si>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</si>
  <si>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</si>
  <si>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</si>
  <si>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</si>
  <si>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</si>
  <si>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</si>
  <si>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</si>
  <si>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</si>
  <si>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</si>
  <si>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</si>
  <si>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</si>
  <si>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</si>
  <si>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</si>
  <si>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</si>
  <si>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</si>
  <si>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</si>
  <si>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</si>
  <si>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</si>
  <si>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</si>
  <si>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</si>
  <si>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</si>
  <si>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</si>
  <si>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</si>
  <si>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</si>
  <si>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</si>
  <si>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</si>
  <si>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</si>
  <si>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</si>
  <si>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</si>
  <si>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</si>
  <si>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</si>
  <si>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</si>
  <si>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</si>
  <si>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</si>
  <si>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</si>
  <si>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</si>
  <si>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</si>
  <si>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</si>
  <si>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</si>
  <si>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</si>
  <si>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</si>
  <si>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</si>
  <si>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</si>
  <si>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</si>
  <si>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</si>
  <si>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</si>
  <si>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</si>
  <si>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</si>
  <si>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</si>
  <si>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</si>
  <si>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</si>
  <si>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</si>
  <si>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</si>
  <si>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</si>
  <si>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</si>
  <si>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</si>
  <si>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</si>
  <si>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</si>
  <si>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</si>
  <si>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</si>
  <si>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</si>
  <si>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</si>
  <si>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</si>
  <si>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</si>
  <si>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</si>
  <si>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</si>
  <si>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</si>
  <si>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</si>
  <si>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</si>
  <si>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</si>
  <si>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</si>
  <si>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</si>
  <si>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</si>
  <si>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</si>
  <si>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</si>
  <si>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</si>
  <si>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</si>
  <si>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</si>
  <si>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</si>
  <si>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</si>
  <si>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</si>
  <si>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</si>
  <si>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</si>
  <si>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</si>
  <si>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</si>
  <si>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</si>
  <si>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</si>
  <si>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</si>
  <si>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</si>
  <si>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</si>
  <si>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</si>
  <si>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</si>
  <si>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</si>
  <si>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</si>
  <si>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</si>
  <si>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</si>
  <si>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</si>
  <si>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</si>
  <si>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</si>
  <si>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</si>
  <si>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</si>
  <si>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</si>
  <si>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</si>
  <si>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</si>
  <si>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</si>
  <si>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</si>
  <si>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</si>
  <si>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</si>
  <si>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</si>
  <si>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</si>
  <si>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</si>
  <si>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</si>
  <si>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</si>
  <si>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</si>
  <si>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</si>
  <si>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</si>
  <si>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</si>
  <si>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</si>
  <si>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</si>
  <si>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</si>
  <si>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</si>
  <si>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</si>
  <si>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</si>
  <si>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</si>
  <si>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</si>
  <si>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</si>
  <si>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</si>
  <si>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</si>
  <si>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</si>
  <si>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</si>
  <si>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</si>
  <si>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</si>
  <si>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</si>
  <si>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</si>
  <si>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</si>
  <si>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</si>
  <si>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</si>
  <si>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</si>
  <si>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</si>
  <si>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</si>
  <si>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</si>
  <si>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</si>
  <si>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</si>
  <si>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</si>
  <si>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</si>
  <si>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</si>
  <si>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</si>
  <si>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</si>
  <si>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</si>
  <si>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</si>
  <si>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</si>
  <si>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</si>
  <si>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</si>
  <si>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</si>
  <si>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</si>
  <si>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</si>
  <si>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</si>
  <si>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</si>
  <si>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</si>
  <si>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</si>
  <si>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</si>
  <si>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</si>
  <si>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</si>
  <si>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</si>
  <si>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</si>
  <si>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</si>
  <si>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</si>
  <si>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</si>
  <si>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</si>
  <si>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</si>
  <si>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</si>
  <si>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</si>
  <si>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</si>
  <si>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</si>
  <si>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</si>
  <si>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</si>
  <si>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</si>
  <si>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</si>
  <si>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</si>
  <si>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</si>
  <si>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</si>
  <si>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</si>
  <si>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</si>
  <si>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</si>
  <si>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</si>
  <si>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</si>
  <si>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</si>
  <si>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</si>
  <si>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</si>
  <si>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</si>
  <si>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</si>
  <si>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</si>
  <si>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</si>
  <si>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</si>
  <si>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</si>
  <si>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</si>
  <si>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</si>
  <si>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</si>
  <si>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</si>
  <si>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</si>
  <si>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</si>
  <si>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</si>
  <si>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</si>
  <si>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</si>
  <si>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</si>
  <si>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</si>
  <si>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</si>
  <si>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</si>
  <si>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</si>
  <si>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</si>
  <si>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</si>
  <si>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</si>
  <si>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</si>
  <si>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</si>
  <si>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</si>
  <si>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</si>
  <si>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</si>
  <si>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</si>
  <si>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</si>
  <si>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</si>
  <si>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</si>
  <si>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</si>
  <si>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</si>
  <si>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</si>
  <si>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</si>
  <si>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</si>
  <si>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</si>
  <si>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</si>
  <si>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</si>
  <si>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</si>
  <si>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</si>
  <si>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</si>
  <si>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</si>
  <si>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</si>
  <si>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</si>
  <si>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</si>
  <si>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</si>
  <si>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</si>
  <si>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</si>
  <si>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</si>
  <si>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</si>
  <si>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</si>
  <si>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</si>
  <si>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</si>
  <si>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</si>
  <si>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</si>
  <si>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</si>
  <si>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</si>
  <si>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</si>
  <si>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</si>
  <si>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</si>
  <si>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</si>
  <si>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</si>
  <si>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</si>
  <si>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</si>
  <si>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</si>
  <si>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</si>
  <si>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</si>
  <si>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</si>
  <si>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</si>
  <si>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</si>
  <si>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</si>
  <si>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</si>
  <si>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</si>
  <si>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</si>
  <si>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</si>
  <si>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</si>
  <si>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</si>
  <si>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</si>
  <si>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</si>
  <si>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</si>
  <si>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</si>
  <si>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</si>
  <si>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</si>
  <si>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</si>
  <si>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</si>
  <si>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</si>
  <si>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</si>
  <si>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</si>
  <si>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</si>
  <si>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</si>
  <si>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</si>
  <si>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</si>
  <si>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</si>
  <si>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</si>
  <si>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</si>
  <si>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</si>
  <si>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</si>
  <si>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</si>
  <si>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</si>
  <si>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</si>
  <si>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</si>
  <si>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</si>
  <si>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</si>
  <si>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</si>
  <si>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</si>
  <si>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</si>
  <si>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</si>
  <si>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</si>
  <si>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</si>
  <si>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</si>
  <si>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</si>
  <si>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</si>
  <si>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</si>
  <si>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</si>
  <si>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</si>
  <si>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</si>
  <si>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</si>
  <si>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</si>
  <si>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</si>
  <si>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</si>
  <si>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</si>
  <si>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</si>
  <si>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</si>
  <si>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</si>
  <si>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</si>
  <si>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</si>
  <si>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</si>
  <si>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</si>
  <si>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</si>
  <si>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</si>
  <si>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</si>
  <si>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</si>
  <si>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</si>
  <si>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</si>
  <si>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</si>
  <si>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</si>
  <si>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</si>
  <si>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</si>
  <si>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</si>
  <si>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</si>
  <si>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</si>
  <si>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</si>
  <si>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</si>
  <si>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</si>
  <si>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</si>
  <si>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</si>
  <si>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</si>
  <si>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</si>
  <si>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</si>
  <si>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</si>
  <si>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</si>
  <si>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</si>
  <si>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</si>
  <si>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</si>
  <si>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</si>
  <si>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</si>
  <si>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</si>
  <si>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</si>
  <si>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</si>
  <si>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</si>
  <si>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</si>
  <si>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</si>
  <si>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</si>
  <si>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</si>
  <si>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</si>
  <si>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</si>
  <si>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</si>
  <si>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</si>
  <si>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</si>
  <si>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</si>
  <si>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</si>
  <si>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</si>
  <si>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</si>
  <si>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</si>
  <si>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</si>
  <si>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</si>
  <si>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</si>
  <si>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</si>
  <si>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</si>
  <si>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</si>
  <si>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</si>
  <si>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</si>
  <si>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</si>
  <si>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</si>
  <si>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</si>
  <si>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</si>
  <si>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</si>
  <si>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</si>
  <si>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</si>
  <si>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</si>
  <si>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</si>
  <si>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</si>
  <si>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</si>
  <si>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</si>
  <si>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</si>
  <si>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</si>
  <si>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</si>
  <si>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</si>
  <si>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</si>
  <si>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</si>
  <si>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</si>
  <si>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</si>
  <si>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</si>
  <si>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</si>
  <si>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</si>
  <si>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</si>
  <si>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</si>
  <si>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</si>
  <si>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</si>
  <si>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</si>
  <si>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</si>
  <si>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</si>
  <si>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</si>
  <si>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</si>
  <si>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</si>
  <si>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</si>
  <si>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</si>
  <si>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</si>
  <si>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</si>
  <si>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</si>
  <si>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</si>
  <si>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</si>
  <si>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</si>
  <si>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</si>
  <si>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</si>
  <si>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</si>
  <si>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</si>
  <si>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</si>
  <si>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</si>
  <si>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</si>
  <si>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</si>
  <si>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</si>
  <si>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</si>
  <si>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</si>
  <si>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</si>
  <si>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</si>
  <si>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</si>
  <si>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</si>
  <si>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</si>
  <si>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</si>
  <si>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</si>
  <si>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</si>
  <si>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</si>
  <si>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</si>
  <si>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</si>
  <si>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</si>
  <si>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</si>
  <si>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</si>
  <si>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</si>
  <si>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</si>
  <si>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</si>
  <si>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</si>
  <si>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</si>
  <si>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</si>
  <si>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</si>
  <si>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</si>
  <si>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</si>
  <si>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</si>
  <si>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</si>
  <si>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</si>
  <si>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</si>
  <si>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</si>
  <si>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</si>
  <si>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</si>
  <si>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</si>
  <si>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</si>
  <si>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</si>
  <si>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</si>
  <si>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</si>
  <si>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</si>
  <si>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</si>
  <si>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</si>
  <si>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</si>
  <si>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</si>
  <si>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</si>
  <si>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</si>
  <si>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</si>
  <si>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</si>
  <si>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</si>
  <si>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</si>
  <si>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</si>
  <si>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</si>
  <si>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</si>
  <si>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</si>
  <si>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</si>
  <si>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</si>
  <si>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</si>
  <si>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</si>
  <si>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</si>
  <si>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</si>
  <si>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</si>
  <si>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</si>
  <si>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</si>
  <si>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</si>
  <si>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</si>
  <si>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</si>
  <si>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</si>
  <si>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</si>
  <si>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</si>
  <si>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</si>
  <si>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</si>
  <si>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</si>
  <si>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</si>
  <si>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</si>
  <si>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</si>
  <si>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</si>
  <si>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</si>
  <si>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</si>
  <si>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</si>
  <si>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</si>
  <si>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</si>
  <si>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</si>
  <si>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</si>
  <si>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</si>
  <si>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</si>
  <si>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</si>
  <si>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</si>
  <si>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</si>
  <si>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</si>
  <si>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</si>
  <si>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</si>
  <si>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</si>
  <si>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</si>
  <si>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</si>
  <si>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</si>
  <si>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</si>
  <si>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</si>
  <si>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</si>
  <si>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</si>
  <si>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</si>
  <si>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</si>
  <si>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</si>
  <si>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</si>
  <si>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</si>
  <si>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</si>
  <si>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</si>
  <si>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</si>
  <si>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</si>
  <si>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</si>
  <si>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</si>
  <si>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</si>
  <si>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</si>
  <si>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</si>
  <si>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</si>
  <si>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</si>
  <si>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</si>
  <si>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</si>
  <si>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</si>
  <si>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</si>
  <si>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</si>
  <si>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</si>
  <si>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</si>
  <si>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</si>
  <si>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</si>
  <si>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</si>
  <si>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</si>
  <si>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</si>
  <si>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</si>
  <si>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</si>
  <si>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</si>
  <si>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</si>
  <si>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</si>
  <si>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</si>
  <si>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</si>
  <si>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</si>
  <si>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</si>
  <si>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</si>
  <si>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</si>
  <si>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</si>
  <si>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</si>
  <si>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</si>
  <si>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</si>
  <si>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</si>
  <si>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</si>
  <si>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</si>
  <si>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</si>
  <si>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</si>
  <si>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</si>
  <si>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</si>
  <si>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</si>
  <si>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</si>
  <si>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</si>
  <si>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</si>
  <si>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</si>
  <si>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</si>
  <si>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</si>
  <si>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</si>
  <si>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</si>
  <si>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</si>
  <si>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</si>
  <si>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</si>
  <si>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</si>
  <si>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</si>
  <si>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</si>
  <si>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</si>
  <si>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</si>
  <si>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</si>
  <si>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</si>
  <si>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</si>
  <si>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</si>
  <si>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</si>
  <si>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</si>
  <si>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</si>
  <si>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</si>
  <si>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</si>
  <si>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</si>
  <si>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</si>
  <si>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</si>
  <si>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</si>
  <si>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</si>
  <si>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</si>
  <si>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</si>
  <si>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</si>
  <si>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</si>
  <si>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</si>
  <si>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</si>
  <si>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</si>
  <si>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</si>
  <si>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</si>
  <si>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</si>
  <si>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</si>
  <si>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</si>
  <si>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</si>
  <si>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</si>
  <si>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</si>
  <si>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</si>
  <si>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</si>
  <si>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</si>
  <si>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</si>
  <si>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</si>
  <si>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</si>
  <si>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</si>
  <si>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</si>
  <si>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</si>
  <si>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</si>
  <si>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</si>
  <si>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</si>
  <si>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</si>
  <si>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</si>
  <si>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</si>
  <si>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</si>
  <si>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</si>
  <si>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</si>
  <si>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</si>
  <si>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</si>
  <si>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</si>
  <si>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</si>
  <si>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</si>
  <si>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</si>
  <si>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</si>
  <si>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</si>
  <si>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</si>
  <si>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</si>
  <si>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</si>
  <si>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</si>
  <si>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</si>
  <si>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</si>
  <si>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</si>
  <si>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</si>
  <si>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</si>
  <si>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</si>
  <si>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</si>
  <si>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</si>
  <si>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</si>
  <si>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</si>
  <si>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</si>
  <si>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</si>
  <si>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</si>
  <si>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</si>
  <si>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</si>
  <si>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</si>
  <si>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</si>
  <si>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</si>
  <si>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</si>
  <si>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</si>
  <si>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</si>
  <si>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</si>
  <si>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</si>
  <si>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</si>
  <si>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</si>
  <si>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</si>
  <si>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</si>
  <si>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</si>
  <si>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</si>
  <si>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</si>
  <si>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</si>
  <si>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</si>
  <si>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</si>
  <si>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</si>
  <si>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</si>
  <si>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</si>
  <si>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</si>
  <si>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</si>
  <si>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</si>
  <si>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</si>
  <si>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</si>
  <si>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</si>
  <si>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</si>
  <si>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</si>
  <si>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</si>
  <si>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</si>
  <si>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</si>
  <si>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</si>
  <si>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</si>
  <si>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</si>
  <si>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</si>
  <si>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</si>
  <si>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</si>
  <si>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</si>
  <si>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</si>
  <si>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</si>
  <si>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</si>
  <si>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</si>
  <si>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</si>
  <si>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</si>
  <si>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</si>
  <si>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</si>
  <si>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</si>
  <si>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</si>
  <si>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</si>
  <si>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</si>
  <si>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</si>
  <si>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</si>
  <si>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</si>
  <si>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</si>
  <si>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</si>
  <si>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</si>
  <si>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</si>
  <si>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</si>
  <si>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</si>
  <si>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</si>
  <si>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</si>
  <si>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</si>
  <si>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</si>
  <si>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</si>
  <si>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</si>
  <si>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</si>
  <si>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</si>
  <si>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</si>
  <si>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</si>
  <si>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</si>
  <si>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</si>
  <si>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</si>
  <si>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</si>
  <si>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</si>
  <si>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</si>
  <si>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</si>
  <si>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</si>
  <si>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</si>
  <si>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</si>
  <si>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</si>
  <si>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</si>
  <si>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</si>
  <si>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</si>
  <si>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</si>
  <si>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</si>
  <si>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</si>
  <si>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</si>
  <si>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</si>
  <si>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</si>
  <si>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</si>
  <si>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</si>
  <si>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</si>
  <si>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</si>
  <si>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</si>
  <si>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</si>
  <si>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</si>
  <si>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</si>
  <si>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</si>
  <si>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</si>
  <si>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</si>
  <si>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</si>
  <si>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</si>
  <si>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</si>
  <si>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</si>
  <si>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</si>
  <si>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</si>
  <si>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</si>
  <si>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</si>
  <si>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</si>
  <si>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</si>
  <si>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</si>
  <si>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</si>
  <si>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</si>
  <si>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</si>
  <si>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</si>
  <si>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</si>
  <si>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</si>
  <si>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</si>
  <si>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</si>
  <si>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</si>
  <si>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</si>
  <si>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</si>
  <si>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</si>
  <si>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</si>
  <si>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</si>
  <si>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</si>
  <si>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</si>
  <si>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</si>
  <si>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</si>
  <si>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</si>
  <si>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</si>
  <si>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</si>
  <si>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</si>
  <si>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</si>
  <si>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</si>
  <si>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</si>
  <si>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</si>
  <si>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</si>
  <si>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</si>
  <si>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</si>
  <si>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</si>
  <si>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</si>
  <si>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</si>
  <si>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</si>
  <si>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</si>
  <si>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</si>
  <si>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</si>
  <si>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</si>
  <si>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</si>
  <si>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</si>
  <si>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</si>
  <si>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</si>
  <si>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</si>
  <si>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</si>
  <si>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</si>
  <si>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</si>
  <si>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</si>
  <si>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</si>
  <si>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</si>
  <si>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</si>
  <si>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</si>
  <si>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</si>
  <si>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</si>
  <si>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</si>
  <si>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</si>
  <si>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</si>
  <si>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</si>
  <si>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</si>
  <si>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</si>
  <si>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</si>
  <si>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</si>
  <si>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</si>
  <si>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</si>
  <si>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</si>
  <si>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</si>
  <si>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</si>
  <si>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</si>
  <si>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</si>
  <si>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</si>
  <si>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</si>
  <si>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</si>
  <si>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</si>
  <si>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</si>
  <si>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</si>
  <si>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</si>
  <si>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</si>
  <si>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</si>
  <si>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</si>
  <si>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</si>
  <si>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</si>
  <si>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</si>
  <si>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</si>
  <si>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</si>
  <si>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</si>
  <si>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</si>
  <si>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</si>
  <si>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</si>
  <si>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</si>
  <si>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</si>
  <si>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</si>
  <si>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</si>
  <si>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</si>
  <si>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</si>
  <si>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</si>
  <si>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</si>
  <si>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</si>
  <si>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</si>
  <si>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</si>
  <si>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</si>
  <si>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</si>
  <si>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</si>
  <si>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</si>
  <si>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</si>
  <si>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</si>
  <si>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</si>
  <si>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</si>
  <si>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</si>
  <si>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</si>
  <si>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</si>
  <si>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</si>
  <si>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</si>
  <si>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</si>
  <si>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</si>
  <si>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</si>
  <si>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</si>
  <si>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</si>
  <si>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</si>
  <si>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</si>
  <si>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</si>
  <si>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</si>
  <si>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</si>
  <si>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</si>
  <si>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</si>
  <si>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</si>
  <si>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</si>
  <si>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</si>
  <si>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</si>
  <si>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</si>
  <si>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</si>
  <si>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</si>
  <si>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</si>
  <si>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</si>
  <si>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</si>
  <si>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</si>
  <si>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</si>
  <si>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</si>
  <si>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</si>
  <si>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</si>
  <si>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</si>
  <si>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</si>
  <si>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</si>
  <si>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</si>
  <si>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</si>
  <si>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</si>
  <si>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</si>
  <si>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</si>
  <si>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</si>
  <si>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</si>
  <si>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</si>
  <si>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</si>
  <si>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</si>
  <si>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</si>
  <si>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</si>
  <si>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</si>
  <si>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</si>
  <si>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</si>
  <si>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</si>
  <si>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</si>
  <si>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</si>
  <si>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</si>
  <si>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</si>
  <si>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</si>
  <si>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</si>
  <si>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</si>
  <si>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</si>
  <si>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</si>
  <si>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</si>
  <si>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</si>
  <si>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</si>
  <si>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</si>
  <si>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</si>
  <si>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</si>
  <si>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</si>
  <si>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</si>
  <si>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</si>
  <si>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</si>
  <si>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</si>
  <si>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</si>
  <si>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</si>
  <si>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</si>
  <si>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</si>
  <si>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</si>
  <si>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</si>
  <si>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</si>
  <si>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</si>
  <si>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</si>
  <si>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</si>
  <si>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</si>
  <si>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</si>
  <si>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</si>
  <si>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</si>
  <si>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</si>
  <si>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</si>
  <si>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</si>
  <si>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</si>
  <si>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</si>
  <si>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</si>
  <si>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</si>
  <si>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</si>
  <si>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</si>
  <si>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</si>
  <si>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</si>
  <si>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</si>
  <si>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</si>
  <si>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</si>
  <si>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</si>
  <si>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</si>
  <si>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</si>
  <si>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</si>
  <si>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</si>
  <si>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</si>
  <si>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</si>
  <si>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</si>
  <si>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</si>
  <si>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</si>
  <si>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</si>
  <si>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</si>
  <si>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</si>
  <si>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</si>
  <si>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</si>
  <si>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</si>
  <si>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</si>
  <si>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</si>
  <si>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</si>
  <si>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</si>
  <si>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</si>
  <si>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</si>
  <si>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</si>
  <si>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</si>
  <si>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</si>
  <si>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</si>
  <si>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</si>
  <si>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</si>
  <si>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</si>
  <si>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</si>
  <si>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</si>
  <si>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</si>
  <si>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</si>
  <si>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</si>
  <si>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</si>
  <si>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</si>
  <si>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</si>
  <si>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</si>
  <si>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</si>
  <si>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</si>
  <si>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</si>
  <si>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</si>
  <si>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</si>
  <si>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</si>
  <si>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</si>
  <si>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</si>
  <si>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</si>
  <si>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</si>
  <si>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</si>
  <si>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</si>
  <si>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</si>
  <si>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</si>
  <si>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</si>
  <si>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</si>
  <si>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</si>
  <si>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</si>
  <si>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</si>
  <si>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</si>
  <si>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</si>
  <si>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</si>
  <si>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</si>
  <si>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</si>
  <si>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</si>
  <si>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</si>
  <si>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</si>
  <si>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</si>
  <si>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</si>
  <si>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</si>
  <si>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</si>
  <si>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</si>
  <si>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</si>
  <si>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</si>
  <si>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</si>
  <si>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</si>
  <si>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</si>
  <si>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</si>
  <si>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</si>
  <si>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</si>
  <si>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</si>
  <si>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</si>
  <si>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</si>
  <si>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</si>
  <si>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</si>
  <si>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</si>
  <si>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</si>
  <si>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</si>
  <si>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</si>
  <si>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</si>
  <si>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</si>
  <si>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</si>
  <si>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</si>
  <si>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</si>
  <si>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</si>
  <si>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</si>
  <si>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</si>
  <si>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</si>
  <si>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</si>
  <si>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</si>
  <si>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</si>
  <si>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</si>
  <si>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</si>
  <si>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</si>
  <si>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</si>
  <si>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</si>
  <si>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</si>
  <si>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</si>
  <si>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</si>
  <si>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</si>
  <si>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</si>
  <si>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</si>
  <si>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</si>
  <si>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</si>
  <si>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</si>
  <si>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</si>
  <si>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</si>
  <si>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</si>
  <si>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</si>
  <si>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</si>
  <si>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</si>
  <si>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</si>
  <si>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</si>
  <si>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</si>
  <si>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</si>
  <si>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</si>
  <si>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</si>
  <si>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</si>
  <si>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</si>
  <si>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</si>
  <si>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</si>
  <si>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</si>
  <si>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</si>
  <si>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</si>
  <si>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</si>
  <si>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</si>
  <si>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</si>
  <si>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</si>
  <si>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</si>
  <si>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</si>
  <si>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</si>
  <si>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</si>
  <si>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</si>
  <si>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</si>
  <si>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</si>
  <si>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</si>
  <si>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</si>
  <si>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</si>
  <si>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</si>
  <si>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</si>
  <si>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</si>
  <si>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</si>
  <si>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</si>
  <si>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</si>
  <si>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</si>
  <si>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</si>
  <si>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</si>
  <si>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</si>
  <si>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</si>
  <si>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</si>
  <si>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</si>
  <si>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</si>
  <si>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</si>
  <si>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</si>
  <si>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</si>
  <si>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</si>
  <si>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</si>
  <si>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</si>
  <si>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</si>
  <si>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</si>
  <si>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</si>
  <si>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</si>
  <si>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</si>
  <si>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</si>
  <si>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</si>
  <si>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</si>
  <si>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</si>
  <si>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</si>
  <si>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</si>
  <si>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</si>
  <si>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</si>
  <si>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</si>
  <si>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</si>
  <si>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</si>
  <si>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</si>
  <si>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</si>
  <si>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</si>
  <si>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</si>
  <si>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</si>
  <si>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</si>
  <si>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</si>
  <si>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</si>
  <si>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</si>
  <si>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</si>
  <si>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</si>
  <si>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</si>
  <si>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</si>
  <si>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</si>
  <si>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</si>
  <si>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</si>
  <si>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</si>
  <si>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</si>
  <si>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</si>
  <si>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</si>
  <si>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</si>
  <si>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</si>
  <si>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</si>
  <si>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</si>
  <si>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</si>
  <si>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</si>
  <si>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</si>
  <si>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</si>
  <si>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</si>
  <si>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</si>
  <si>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</si>
  <si>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</si>
  <si>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</si>
  <si>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</si>
  <si>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</si>
  <si>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</si>
  <si>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</si>
  <si>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</si>
  <si>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</si>
  <si>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</si>
  <si>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</si>
  <si>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</si>
  <si>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</si>
  <si>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</si>
  <si>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</si>
  <si>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</si>
  <si>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</si>
  <si>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</si>
  <si>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</si>
  <si>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</si>
  <si>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</si>
  <si>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</si>
  <si>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</si>
  <si>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</si>
  <si>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</si>
  <si>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</si>
  <si>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</si>
  <si>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</si>
  <si>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</si>
  <si>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</si>
  <si>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</si>
  <si>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</si>
  <si>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</si>
  <si>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</si>
  <si>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</si>
  <si>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</si>
  <si>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</si>
  <si>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</si>
  <si>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</si>
  <si>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</si>
  <si>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</si>
  <si>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</si>
  <si>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</si>
  <si>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</si>
  <si>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</si>
  <si>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</si>
  <si>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</si>
  <si>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</si>
  <si>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</si>
  <si>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</si>
  <si>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</si>
  <si>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</si>
  <si>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</si>
  <si>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</si>
  <si>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</si>
  <si>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</si>
  <si>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</si>
  <si>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</si>
  <si>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</si>
  <si>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</si>
  <si>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</si>
  <si>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</si>
  <si>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</si>
  <si>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</si>
  <si>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</si>
  <si>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</si>
  <si>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</si>
  <si>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</si>
  <si>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</si>
  <si>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</si>
  <si>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</si>
  <si>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</si>
  <si>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</si>
  <si>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</si>
  <si>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</si>
  <si>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</si>
  <si>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</si>
  <si>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</si>
  <si>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</si>
  <si>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</si>
  <si>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</si>
  <si>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</si>
  <si>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</si>
  <si>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</si>
  <si>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</si>
  <si>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</si>
  <si>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</si>
  <si>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</si>
  <si>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</si>
  <si>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</si>
  <si>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</si>
  <si>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</si>
  <si>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</si>
  <si>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</si>
  <si>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</si>
  <si>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</si>
  <si>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</si>
  <si>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</si>
  <si>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</si>
  <si>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</si>
  <si>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</si>
  <si>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</si>
  <si>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</si>
  <si>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</si>
  <si>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</si>
  <si>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</si>
  <si>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</si>
  <si>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</si>
  <si>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</si>
  <si>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</si>
  <si>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</si>
  <si>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</si>
  <si>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</si>
  <si>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</si>
  <si>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</si>
  <si>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</si>
  <si>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</si>
  <si>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</si>
  <si>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</si>
  <si>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</si>
  <si>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</si>
  <si>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</si>
  <si>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</si>
  <si>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</si>
  <si>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</si>
  <si>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</si>
  <si>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</si>
  <si>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</si>
  <si>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</si>
  <si>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</si>
  <si>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</si>
  <si>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</si>
  <si>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</si>
  <si>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</si>
  <si>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</si>
  <si>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</si>
  <si>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</si>
  <si>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</si>
  <si>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</si>
  <si>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</si>
  <si>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</si>
  <si>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</si>
  <si>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</si>
  <si>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</si>
  <si>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</si>
  <si>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</si>
  <si>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</si>
  <si>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</si>
  <si>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</si>
  <si>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</si>
  <si>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</si>
  <si>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</si>
  <si>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</si>
  <si>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</si>
  <si>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</si>
  <si>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</si>
  <si>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</si>
  <si>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</si>
  <si>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</si>
  <si>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</si>
  <si>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</si>
  <si>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</si>
  <si>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</si>
  <si>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</si>
  <si>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</si>
  <si>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</si>
  <si>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</si>
  <si>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</si>
  <si>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</si>
  <si>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</si>
  <si>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</si>
  <si>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</si>
  <si>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</si>
  <si>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</si>
  <si>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</si>
  <si>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</si>
  <si>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</si>
  <si>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</si>
  <si>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</si>
  <si>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</si>
  <si>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</si>
  <si>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</si>
  <si>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</si>
  <si>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</si>
  <si>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</si>
  <si>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</si>
  <si>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</si>
  <si>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</si>
  <si>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</si>
  <si>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</si>
  <si>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</si>
  <si>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</si>
  <si>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</si>
  <si>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</si>
  <si>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</si>
  <si>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</si>
  <si>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</si>
  <si>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</si>
  <si>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</si>
  <si>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</si>
  <si>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</si>
  <si>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</si>
  <si>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</si>
  <si>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</si>
  <si>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</si>
  <si>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</si>
  <si>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</si>
  <si>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</si>
  <si>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</si>
  <si>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</si>
  <si>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</si>
  <si>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</si>
  <si>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</si>
  <si>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</si>
  <si>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</si>
  <si>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</si>
  <si>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</si>
  <si>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</si>
  <si>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</si>
  <si>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</si>
  <si>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</si>
  <si>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</si>
  <si>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</si>
  <si>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</si>
  <si>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</si>
  <si>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</si>
  <si>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</si>
  <si>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</si>
  <si>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</si>
  <si>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</si>
  <si>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</si>
  <si>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</si>
  <si>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</si>
  <si>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</si>
  <si>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</si>
  <si>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</si>
  <si>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</si>
  <si>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</si>
  <si>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</si>
  <si>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</si>
  <si>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</si>
  <si>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</si>
  <si>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</si>
  <si>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</si>
  <si>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</si>
  <si>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</si>
  <si>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</si>
  <si>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</si>
  <si>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</si>
  <si>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</si>
  <si>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</si>
  <si>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</si>
  <si>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</si>
  <si>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</si>
  <si>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</si>
  <si>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</si>
  <si>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</si>
  <si>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</si>
  <si>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</si>
  <si>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</si>
  <si>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</si>
  <si>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</si>
  <si>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</si>
  <si>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</si>
  <si>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</si>
  <si>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</si>
  <si>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</si>
  <si>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</si>
  <si>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</si>
  <si>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</si>
  <si>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</si>
  <si>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</si>
  <si>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</si>
  <si>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</si>
  <si>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</si>
  <si>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</si>
  <si>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</si>
  <si>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</si>
  <si>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</si>
  <si>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</si>
  <si>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</si>
  <si>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</si>
  <si>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</si>
  <si>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</si>
  <si>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</si>
  <si>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</si>
  <si>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</si>
  <si>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</si>
  <si>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</si>
  <si>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</si>
  <si>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</si>
  <si>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</si>
  <si>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</si>
  <si>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</si>
  <si>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</si>
  <si>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</si>
  <si>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</si>
  <si>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</si>
  <si>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</si>
  <si>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</si>
  <si>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</si>
  <si>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</si>
  <si>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</si>
  <si>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</si>
  <si>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</si>
  <si>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</si>
  <si>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</si>
  <si>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</si>
  <si>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</si>
  <si>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</si>
  <si>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</si>
  <si>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</si>
  <si>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</si>
  <si>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</si>
  <si>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</si>
  <si>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</si>
  <si>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</si>
  <si>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</si>
  <si>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</si>
  <si>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</si>
  <si>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</si>
  <si>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</si>
  <si>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</si>
  <si>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</si>
  <si>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</si>
  <si>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</si>
  <si>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</si>
  <si>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</si>
  <si>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</si>
  <si>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</si>
  <si>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</si>
  <si>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</si>
  <si>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</si>
  <si>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</si>
  <si>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</si>
  <si>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</si>
  <si>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</si>
  <si>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</si>
  <si>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</si>
  <si>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</si>
  <si>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</si>
  <si>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</si>
  <si>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</si>
  <si>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</si>
  <si>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</si>
  <si>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</si>
  <si>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</si>
  <si>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</si>
  <si>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</si>
  <si>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</si>
  <si>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</si>
  <si>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</si>
  <si>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</si>
  <si>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</si>
  <si>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</si>
  <si>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</si>
  <si>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</si>
  <si>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</si>
  <si>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</si>
  <si>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</si>
  <si>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</si>
  <si>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</si>
  <si>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</si>
  <si>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</si>
  <si>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</si>
  <si>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</si>
  <si>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</si>
  <si>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</si>
  <si>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</si>
  <si>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</si>
  <si>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</si>
  <si>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</si>
  <si>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</si>
  <si>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</si>
  <si>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</si>
  <si>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</si>
  <si>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</si>
  <si>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</si>
  <si>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</si>
  <si>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</si>
  <si>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</si>
  <si>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</si>
  <si>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</si>
  <si>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</si>
  <si>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</si>
  <si>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</si>
  <si>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</si>
  <si>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</si>
  <si>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</si>
  <si>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</si>
  <si>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</si>
  <si>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</si>
  <si>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</si>
  <si>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</si>
  <si>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</si>
  <si>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</si>
  <si>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</si>
  <si>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</si>
  <si>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</si>
  <si>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</si>
  <si>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</si>
  <si>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</si>
  <si>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</si>
  <si>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</si>
  <si>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</si>
  <si>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</si>
  <si>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</si>
  <si>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</si>
  <si>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</si>
  <si>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</si>
  <si>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</si>
  <si>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</si>
  <si>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</si>
  <si>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</si>
  <si>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</si>
  <si>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</si>
  <si>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</si>
  <si>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</si>
  <si>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</si>
  <si>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</si>
  <si>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</si>
  <si>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</si>
  <si>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</si>
  <si>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</si>
  <si>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</si>
  <si>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</si>
  <si>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</si>
  <si>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</si>
  <si>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</si>
  <si>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</si>
  <si>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</si>
  <si>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</si>
  <si>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</si>
  <si>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</si>
  <si>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</si>
  <si>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</si>
  <si>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</si>
  <si>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</si>
  <si>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</si>
  <si>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</si>
  <si>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</si>
  <si>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</si>
  <si>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</si>
  <si>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</si>
  <si>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</si>
  <si>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</si>
  <si>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</si>
  <si>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</si>
  <si>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</si>
  <si>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</si>
  <si>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</si>
  <si>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</si>
  <si>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</si>
  <si>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</si>
  <si>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</si>
  <si>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</si>
  <si>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</si>
  <si>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</si>
  <si>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</si>
  <si>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</si>
  <si>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</si>
  <si>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</si>
  <si>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</si>
  <si>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</si>
  <si>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</si>
  <si>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</si>
  <si>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</si>
  <si>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</si>
  <si>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</si>
  <si>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</si>
  <si>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</si>
  <si>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</si>
  <si>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</si>
  <si>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</si>
  <si>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</si>
  <si>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</si>
  <si>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</si>
  <si>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</si>
  <si>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</si>
  <si>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</si>
  <si>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</si>
  <si>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</si>
  <si>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</si>
  <si>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</si>
  <si>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</si>
  <si>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</si>
  <si>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</si>
  <si>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</si>
  <si>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</si>
  <si>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</si>
  <si>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</si>
  <si>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</si>
  <si>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</si>
  <si>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</si>
  <si>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</si>
  <si>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</si>
  <si>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</si>
  <si>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</si>
  <si>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</si>
  <si>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</si>
  <si>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</si>
  <si>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</si>
  <si>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</si>
  <si>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</si>
  <si>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</si>
  <si>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</si>
  <si>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</si>
  <si>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</si>
  <si>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</si>
  <si>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</si>
  <si>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</si>
  <si>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</si>
  <si>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</si>
  <si>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</si>
  <si>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</si>
  <si>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</si>
  <si>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</si>
  <si>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</si>
  <si>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</si>
  <si>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</si>
  <si>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</si>
  <si>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</si>
  <si>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</si>
  <si>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</si>
  <si>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</si>
  <si>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</si>
  <si>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</si>
  <si>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</si>
  <si>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</si>
  <si>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</si>
  <si>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</si>
  <si>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</si>
  <si>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</si>
  <si>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</si>
  <si>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</si>
  <si>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</si>
  <si>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</si>
  <si>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</si>
  <si>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</si>
  <si>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</si>
  <si>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</si>
  <si>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</si>
  <si>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</si>
  <si>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</si>
  <si>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</si>
  <si>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</si>
  <si>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</si>
  <si>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</si>
  <si>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</si>
  <si>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</si>
  <si>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</si>
  <si>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</si>
  <si>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</si>
  <si>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</si>
  <si>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</si>
  <si>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</si>
  <si>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</si>
  <si>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</si>
  <si>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</si>
  <si>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</si>
  <si>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</si>
  <si>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</si>
  <si>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</si>
  <si>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</si>
  <si>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</si>
  <si>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</si>
  <si>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</si>
  <si>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</si>
  <si>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</si>
  <si>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</si>
  <si>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</si>
  <si>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</si>
  <si>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</si>
  <si>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</si>
  <si>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</si>
  <si>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</si>
  <si>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</si>
  <si>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</si>
  <si>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</si>
  <si>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</si>
  <si>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</si>
  <si>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</si>
  <si>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</si>
  <si>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</si>
  <si>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</si>
  <si>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</si>
  <si>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</si>
  <si>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</si>
  <si>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</si>
  <si>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</si>
  <si>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</si>
  <si>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</si>
  <si>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</si>
  <si>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</si>
  <si>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</si>
  <si>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</si>
  <si>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</si>
  <si>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</si>
  <si>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</si>
  <si>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</si>
  <si>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</si>
  <si>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</si>
  <si>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</si>
  <si>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</si>
  <si>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</si>
  <si>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</si>
  <si>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</si>
  <si>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</si>
  <si>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</si>
  <si>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</si>
  <si>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</si>
  <si>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</si>
  <si>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</si>
  <si>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</si>
  <si>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</si>
  <si>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</si>
  <si>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</si>
  <si>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</si>
  <si>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</si>
  <si>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</si>
  <si>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</si>
  <si>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</si>
  <si>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</si>
  <si>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</si>
  <si>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</si>
  <si>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</si>
  <si>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</si>
  <si>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</si>
  <si>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</si>
  <si>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</si>
  <si>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</si>
  <si>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</si>
  <si>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</si>
  <si>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</si>
  <si>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</si>
  <si>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</si>
  <si>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</si>
  <si>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</si>
  <si>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</si>
  <si>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</si>
  <si>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</si>
  <si>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</si>
  <si>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</si>
  <si>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</si>
  <si>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</si>
  <si>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</si>
  <si>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</si>
  <si>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</si>
  <si>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</si>
  <si>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</si>
  <si>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</si>
  <si>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</si>
  <si>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</si>
  <si>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</si>
  <si>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</si>
  <si>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</si>
  <si>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</si>
  <si>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</si>
  <si>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</si>
  <si>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</si>
  <si>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</si>
  <si>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</si>
  <si>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</si>
  <si>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</si>
  <si>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</si>
  <si>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</si>
  <si>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</si>
  <si>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</si>
  <si>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</si>
  <si>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</si>
  <si>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</si>
  <si>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</si>
  <si>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</si>
  <si>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</si>
  <si>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</si>
  <si>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</si>
  <si>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</si>
  <si>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</si>
  <si>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</si>
  <si>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</si>
  <si>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</si>
  <si>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</si>
  <si>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</si>
  <si>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</si>
  <si>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</si>
  <si>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</si>
  <si>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</si>
  <si>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</si>
  <si>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</si>
  <si>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</si>
  <si>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</si>
  <si>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</si>
  <si>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</si>
  <si>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</si>
  <si>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</si>
  <si>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</si>
  <si>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</si>
  <si>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</si>
  <si>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</si>
  <si>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</si>
  <si>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</si>
  <si>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</si>
  <si>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</si>
  <si>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</si>
  <si>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</si>
  <si>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</si>
  <si>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</si>
  <si>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</si>
  <si>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</si>
  <si>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</si>
  <si>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</si>
  <si>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</si>
  <si>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</si>
  <si>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</si>
  <si>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</si>
  <si>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</si>
  <si>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</si>
  <si>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</si>
  <si>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</si>
  <si>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</si>
  <si>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</si>
  <si>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</si>
  <si>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</si>
  <si>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</si>
  <si>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</si>
  <si>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</si>
  <si>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</si>
  <si>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</si>
  <si>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</si>
  <si>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</si>
  <si>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</si>
  <si>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</si>
  <si>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</si>
  <si>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</si>
  <si>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</si>
  <si>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</si>
  <si>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</si>
  <si>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</si>
  <si>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</si>
  <si>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</si>
  <si>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</si>
  <si>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</si>
  <si>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</si>
  <si>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</si>
  <si>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</si>
  <si>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</si>
  <si>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</si>
  <si>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</si>
  <si>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</si>
  <si>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</si>
  <si>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</si>
  <si>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</si>
  <si>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</si>
  <si>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</si>
  <si>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</si>
  <si>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</si>
  <si>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</si>
  <si>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</si>
  <si>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</si>
  <si>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</si>
  <si>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</si>
  <si>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</si>
  <si>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</si>
  <si>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</si>
  <si>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</si>
  <si>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</si>
  <si>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</si>
  <si>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</si>
  <si>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</si>
  <si>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</si>
  <si>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</si>
  <si>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</si>
  <si>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</si>
  <si>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</si>
  <si>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</si>
  <si>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</si>
  <si>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</si>
  <si>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</si>
  <si>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</si>
  <si>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</si>
  <si>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</si>
  <si>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</si>
  <si>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</si>
  <si>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</si>
  <si>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</si>
  <si>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</si>
  <si>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</si>
  <si>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</si>
  <si>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</si>
  <si>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</si>
  <si>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</si>
  <si>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</si>
  <si>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</si>
  <si>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</si>
  <si>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</si>
  <si>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</si>
  <si>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</si>
  <si>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</si>
  <si>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</si>
  <si>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</si>
  <si>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</si>
  <si>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</si>
  <si>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</si>
  <si>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</si>
  <si>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</si>
  <si>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</si>
  <si>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</si>
  <si>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</si>
  <si>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</si>
  <si>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</si>
  <si>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</si>
  <si>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</si>
  <si>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</si>
  <si>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</si>
  <si>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</si>
  <si>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</si>
  <si>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</si>
  <si>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</si>
  <si>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</si>
  <si>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</si>
  <si>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</si>
  <si>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</si>
  <si>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</si>
  <si>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</si>
  <si>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</si>
  <si>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</si>
  <si>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</si>
  <si>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</si>
  <si>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</si>
  <si>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</si>
  <si>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</si>
  <si>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</si>
  <si>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</si>
  <si>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</si>
  <si>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</si>
  <si>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</si>
  <si>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</si>
  <si>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</si>
  <si>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</si>
  <si>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</si>
  <si>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</si>
  <si>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</si>
  <si>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</si>
  <si>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</si>
  <si>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</si>
  <si>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</si>
  <si>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</si>
  <si>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</si>
  <si>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</si>
  <si>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</si>
  <si>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</si>
  <si>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</si>
  <si>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</si>
  <si>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</si>
  <si>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</si>
  <si>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</si>
  <si>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</si>
  <si>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</si>
  <si>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</si>
  <si>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</si>
  <si>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</si>
  <si>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</si>
  <si>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</si>
  <si>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</si>
  <si>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</si>
  <si>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</si>
  <si>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</si>
  <si>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</si>
  <si>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</si>
  <si>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</si>
  <si>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</si>
  <si>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</si>
  <si>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</si>
  <si>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</si>
  <si>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</si>
  <si>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</si>
  <si>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</si>
  <si>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</si>
  <si>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</si>
  <si>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</si>
  <si>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</si>
  <si>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</si>
  <si>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</si>
  <si>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</si>
  <si>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</si>
  <si>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</si>
  <si>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</si>
  <si>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</si>
  <si>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</si>
  <si>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</si>
  <si>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</si>
  <si>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</si>
  <si>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</si>
  <si>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</si>
  <si>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</si>
  <si>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</si>
  <si>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</si>
  <si>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</si>
  <si>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</si>
  <si>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</si>
  <si>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</si>
  <si>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</si>
  <si>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</si>
  <si>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</si>
  <si>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</si>
  <si>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</si>
  <si>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</si>
  <si>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</si>
  <si>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</si>
  <si>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</si>
  <si>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</si>
  <si>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</si>
  <si>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</si>
  <si>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</si>
  <si>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</si>
  <si>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</si>
  <si>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</si>
  <si>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</si>
  <si>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</si>
  <si>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</si>
  <si>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</si>
  <si>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</si>
  <si>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</si>
  <si>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</si>
  <si>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</si>
  <si>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</si>
  <si>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</si>
  <si>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</si>
  <si>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</si>
  <si>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</si>
  <si>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</si>
  <si>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</si>
  <si>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</si>
  <si>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</si>
  <si>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</si>
  <si>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</si>
  <si>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</si>
  <si>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</si>
  <si>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</si>
  <si>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</si>
  <si>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</si>
  <si>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</si>
  <si>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</si>
  <si>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</si>
  <si>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</si>
  <si>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</si>
  <si>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</si>
  <si>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</si>
  <si>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</si>
  <si>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</si>
  <si>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</si>
  <si>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</si>
  <si>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</si>
  <si>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</si>
  <si>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</si>
  <si>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</si>
  <si>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</si>
  <si>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</si>
  <si>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</si>
  <si>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</si>
  <si>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</si>
  <si>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</si>
  <si>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</si>
  <si>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</si>
  <si>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</si>
  <si>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</si>
  <si>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</si>
  <si>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</si>
  <si>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</si>
  <si>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</si>
  <si>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</si>
  <si>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</si>
  <si>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</si>
  <si>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</si>
  <si>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</si>
  <si>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</si>
  <si>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</si>
  <si>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</si>
  <si>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</si>
  <si>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</si>
  <si>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</si>
  <si>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</si>
  <si>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</si>
  <si>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</si>
  <si>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</si>
  <si>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</si>
  <si>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</si>
  <si>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</si>
  <si>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</si>
  <si>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</si>
  <si>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</si>
  <si>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</si>
  <si>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</si>
  <si>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</si>
  <si>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</si>
  <si>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</si>
  <si>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</si>
  <si>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</si>
  <si>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</si>
  <si>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</si>
  <si>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</si>
  <si>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</si>
  <si>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</si>
  <si>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</si>
  <si>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</si>
  <si>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</si>
  <si>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</si>
  <si>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</si>
  <si>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</si>
  <si>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</si>
  <si>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</si>
  <si>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</si>
  <si>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</si>
  <si>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</si>
  <si>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</si>
  <si>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</si>
  <si>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</si>
  <si>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</si>
  <si>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</si>
  <si>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</si>
  <si>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</si>
  <si>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</si>
  <si>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</si>
  <si>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</si>
  <si>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</si>
  <si>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</si>
  <si>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</si>
  <si>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</si>
  <si>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</si>
  <si>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</si>
  <si>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</si>
  <si>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</si>
  <si>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</si>
  <si>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</si>
  <si>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</si>
  <si>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</si>
  <si>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</si>
  <si>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</si>
  <si>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</si>
  <si>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</si>
  <si>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</si>
  <si>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</si>
  <si>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</si>
  <si>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</si>
  <si>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</si>
  <si>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</si>
  <si>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</si>
  <si>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</si>
  <si>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</si>
  <si>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</si>
  <si>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</si>
  <si>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</si>
  <si>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</si>
  <si>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</si>
  <si>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</si>
  <si>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</si>
  <si>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</si>
  <si>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</si>
  <si>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</si>
  <si>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</si>
  <si>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</si>
  <si>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</si>
  <si>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</si>
  <si>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</si>
  <si>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</si>
  <si>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</si>
  <si>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</si>
  <si>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</si>
  <si>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</si>
  <si>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</si>
  <si>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</si>
  <si>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</si>
  <si>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</si>
  <si>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</si>
  <si>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</si>
  <si>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</si>
  <si>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</si>
  <si>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</si>
  <si>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</si>
  <si>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</si>
  <si>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</si>
  <si>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</si>
  <si>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</si>
  <si>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</si>
  <si>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</si>
  <si>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</si>
  <si>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</si>
  <si>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</si>
  <si>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</si>
  <si>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</si>
  <si>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</si>
  <si>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</si>
  <si>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</si>
  <si>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</si>
  <si>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</si>
  <si>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</si>
  <si>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</si>
  <si>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</si>
  <si>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</si>
  <si>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</si>
  <si>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</si>
  <si>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</si>
  <si>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</si>
  <si>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</si>
  <si>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</si>
  <si>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</si>
  <si>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</si>
  <si>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</si>
  <si>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</si>
  <si>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</si>
  <si>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</si>
  <si>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</si>
  <si>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</si>
  <si>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</si>
  <si>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</si>
  <si>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</si>
  <si>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</si>
  <si>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</si>
  <si>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</si>
  <si>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</si>
  <si>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</si>
  <si>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</si>
  <si>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</si>
  <si>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</si>
  <si>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</si>
  <si>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</si>
  <si>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</si>
  <si>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</si>
  <si>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</si>
  <si>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</si>
  <si>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</si>
  <si>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</si>
  <si>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</si>
  <si>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</si>
  <si>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</si>
  <si>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</si>
  <si>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</si>
  <si>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</si>
  <si>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</si>
  <si>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</si>
  <si>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</si>
  <si>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</si>
  <si>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</si>
  <si>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</si>
  <si>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</si>
  <si>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</si>
  <si>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</si>
  <si>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</si>
  <si>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</si>
  <si>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</si>
  <si>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</si>
  <si>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</si>
  <si>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</si>
  <si>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</si>
  <si>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</si>
  <si>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</si>
  <si>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</si>
  <si>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</si>
  <si>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</si>
  <si>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</si>
  <si>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</si>
  <si>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</si>
  <si>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</si>
  <si>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</si>
  <si>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</si>
  <si>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</si>
  <si>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</si>
  <si>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</si>
  <si>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</si>
  <si>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</si>
  <si>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</si>
  <si>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</si>
  <si>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</si>
  <si>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</si>
  <si>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</si>
  <si>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</si>
  <si>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</si>
  <si>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</si>
  <si>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</si>
  <si>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</si>
  <si>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</si>
  <si>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</si>
  <si>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</si>
  <si>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</si>
  <si>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</si>
  <si>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</si>
  <si>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</si>
  <si>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</si>
  <si>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</si>
  <si>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</si>
  <si>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</si>
  <si>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</si>
  <si>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</si>
  <si>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</si>
  <si>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</si>
  <si>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</si>
  <si>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</si>
  <si>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</si>
  <si>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</si>
  <si>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</si>
  <si>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</si>
  <si>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</si>
  <si>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</si>
  <si>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</si>
  <si>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</si>
  <si>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</si>
  <si>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</si>
  <si>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</si>
  <si>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</si>
  <si>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</si>
  <si>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</si>
  <si>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</si>
  <si>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</si>
  <si>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</si>
  <si>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</si>
  <si>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</si>
  <si>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</si>
  <si>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</si>
  <si>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</si>
  <si>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</si>
  <si>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</si>
  <si>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</si>
  <si>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</si>
  <si>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</si>
  <si>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</si>
  <si>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</si>
  <si>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</si>
  <si>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</si>
  <si>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</si>
  <si>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</si>
  <si>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</si>
  <si>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</si>
  <si>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</si>
  <si>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</si>
  <si>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</si>
  <si>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</si>
  <si>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</si>
  <si>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</si>
  <si>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</si>
  <si>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</si>
  <si>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</si>
  <si>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</si>
  <si>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</si>
  <si>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</si>
  <si>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</si>
  <si>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</si>
  <si>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</si>
  <si>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</si>
  <si>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</si>
  <si>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</si>
  <si>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</si>
  <si>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</si>
  <si>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</si>
  <si>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</si>
  <si>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</si>
  <si>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</si>
  <si>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</si>
  <si>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</si>
  <si>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</si>
  <si>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</si>
  <si>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</si>
  <si>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</si>
  <si>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</si>
  <si>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</si>
  <si>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</si>
  <si>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</si>
  <si>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</si>
  <si>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</si>
  <si>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</si>
  <si>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</si>
  <si>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</si>
  <si>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</si>
  <si>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</si>
  <si>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</si>
  <si>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</si>
  <si>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</si>
  <si>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</si>
  <si>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</si>
  <si>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</si>
  <si>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</si>
  <si>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</si>
  <si>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</si>
  <si>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</si>
  <si>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</si>
  <si>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</si>
  <si>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</si>
  <si>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</si>
  <si>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</si>
  <si>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</si>
  <si>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</si>
  <si>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</si>
  <si>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</si>
  <si>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</si>
  <si>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</si>
  <si>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</si>
  <si>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</si>
  <si>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</si>
  <si>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</si>
  <si>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</si>
  <si>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</si>
  <si>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</si>
  <si>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</si>
  <si>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</si>
  <si>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</si>
  <si>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</si>
  <si>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</si>
  <si>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</si>
  <si>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</si>
  <si>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</si>
  <si>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</si>
  <si>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</si>
  <si>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</si>
  <si>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</si>
  <si>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</si>
  <si>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</si>
  <si>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</si>
  <si>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</si>
  <si>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</si>
  <si>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</si>
  <si>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</si>
  <si>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</si>
  <si>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</si>
  <si>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</si>
  <si>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</si>
  <si>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</si>
  <si>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</si>
  <si>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</si>
  <si>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</si>
  <si>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</si>
  <si>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</si>
  <si>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</si>
  <si>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</si>
  <si>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</si>
  <si>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</si>
  <si>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</si>
  <si>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</si>
  <si>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</si>
  <si>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</si>
  <si>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</si>
  <si>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</si>
  <si>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</si>
  <si>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</si>
  <si>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</si>
  <si>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</si>
  <si>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</si>
  <si>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</si>
  <si>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</si>
  <si>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</si>
  <si>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</si>
  <si>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</si>
  <si>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</si>
  <si>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</si>
  <si>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</si>
  <si>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</si>
  <si>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</si>
  <si>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</si>
  <si>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</si>
  <si>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</si>
  <si>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</si>
  <si>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</si>
  <si>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</si>
  <si>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</si>
  <si>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</si>
  <si>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</si>
  <si>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</si>
  <si>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</si>
  <si>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</si>
  <si>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</si>
  <si>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</si>
  <si>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</si>
  <si>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</si>
  <si>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</si>
  <si>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</si>
  <si>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</si>
  <si>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</si>
  <si>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</si>
  <si>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</si>
  <si>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</si>
  <si>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</si>
  <si>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</si>
  <si>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</si>
  <si>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</si>
  <si>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</si>
  <si>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</si>
  <si>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</si>
  <si>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</si>
  <si>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</si>
  <si>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</si>
  <si>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</si>
  <si>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</si>
  <si>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</si>
  <si>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</si>
  <si>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</si>
  <si>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</si>
  <si>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</si>
  <si>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</si>
  <si>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</si>
  <si>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</si>
  <si>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</si>
  <si>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</si>
  <si>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A realizar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</si>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</sst>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" fillId="0" borderId="0" xfId="0" applyFont="1" applyAlignment="1">
      <alignment vertical="center"/>
    </xf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27</c:v>
                </c:pt>
                <c:pt idx="1">
                  <c:v>27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1121</c:v>
                </c:pt>
                <c:pt idx="1">
                  <c:v>1719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18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8">
      <filters>
        <dateGroupItem year="2026" month="10" day="21" dateTimeGrouping="day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9" activePane="bottomLeft" state="frozen"/>
      <selection pane="bottomLeft" activeCell="D2006" sqref="D200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hidden="1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hidden="1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hidden="1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hidden="1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hidden="1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hidden="1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hidden="1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hidden="1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hidden="1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hidden="1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hidden="1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hidden="1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hidden="1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hidden="1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hidden="1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hidden="1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hidden="1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hidden="1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hidden="1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hidden="1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hidden="1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hidden="1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hidden="1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hidden="1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hidden="1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hidden="1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hidden="1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hidden="1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hidden="1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hidden="1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hidden="1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hidden="1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hidden="1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hidden="1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hidden="1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hidden="1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hidden="1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hidden="1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hidden="1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hidden="1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hidden="1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hidden="1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hidden="1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hidden="1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hidden="1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hidden="1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hidden="1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hidden="1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hidden="1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hidden="1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hidden="1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hidden="1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hidden="1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hidden="1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hidden="1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hidden="1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hidden="1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hidden="1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hidden="1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hidden="1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hidden="1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hidden="1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hidden="1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hidden="1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hidden="1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hidden="1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hidden="1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hidden="1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hidden="1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hidden="1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hidden="1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hidden="1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hidden="1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hidden="1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hidden="1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hidden="1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hidden="1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hidden="1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hidden="1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hidden="1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hidden="1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hidden="1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hidden="1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hidden="1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hidden="1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hidden="1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hidden="1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hidden="1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hidden="1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hidden="1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hidden="1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hidden="1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hidden="1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hidden="1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hidden="1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hidden="1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hidden="1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hidden="1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hidden="1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hidden="1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hidden="1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hidden="1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hidden="1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hidden="1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hidden="1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hidden="1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hidden="1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hidden="1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hidden="1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hidden="1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hidden="1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hidden="1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hidden="1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hidden="1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hidden="1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hidden="1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hidden="1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hidden="1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hidden="1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hidden="1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hidden="1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hidden="1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hidden="1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hidden="1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hidden="1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hidden="1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hidden="1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hidden="1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hidden="1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hidden="1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hidden="1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hidden="1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hidden="1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hidden="1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hidden="1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hidden="1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hidden="1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hidden="1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hidden="1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hidden="1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hidden="1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hidden="1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hidden="1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hidden="1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hidden="1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hidden="1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hidden="1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hidden="1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hidden="1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hidden="1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hidden="1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hidden="1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hidden="1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hidden="1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hidden="1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hidden="1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hidden="1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hidden="1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hidden="1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hidden="1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hidden="1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hidden="1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hidden="1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hidden="1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hidden="1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hidden="1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hidden="1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hidden="1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hidden="1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hidden="1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hidden="1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hidden="1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hidden="1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hidden="1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hidden="1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hidden="1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hidden="1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hidden="1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hidden="1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hidden="1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hidden="1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hidden="1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hidden="1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hidden="1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hidden="1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hidden="1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hidden="1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hidden="1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hidden="1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hidden="1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hidden="1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hidden="1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hidden="1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hidden="1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hidden="1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hidden="1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hidden="1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hidden="1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hidden="1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hidden="1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hidden="1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hidden="1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hidden="1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hidden="1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hidden="1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hidden="1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hidden="1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hidden="1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hidden="1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hidden="1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hidden="1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hidden="1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hidden="1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hidden="1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hidden="1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hidden="1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hidden="1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hidden="1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hidden="1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hidden="1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hidden="1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hidden="1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hidden="1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hidden="1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hidden="1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hidden="1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hidden="1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hidden="1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hidden="1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hidden="1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hidden="1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hidden="1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hidden="1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hidden="1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hidden="1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hidden="1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hidden="1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hidden="1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hidden="1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hidden="1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hidden="1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hidden="1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hidden="1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hidden="1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hidden="1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hidden="1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hidden="1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hidden="1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hidden="1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hidden="1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hidden="1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hidden="1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hidden="1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hidden="1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hidden="1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hidden="1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hidden="1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hidden="1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hidden="1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hidden="1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hidden="1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hidden="1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hidden="1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hidden="1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hidden="1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hidden="1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hidden="1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hidden="1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hidden="1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hidden="1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hidden="1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hidden="1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hidden="1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hidden="1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hidden="1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hidden="1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hidden="1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hidden="1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hidden="1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hidden="1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hidden="1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hidden="1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hidden="1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hidden="1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hidden="1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hidden="1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hidden="1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hidden="1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hidden="1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hidden="1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hidden="1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hidden="1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hidden="1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hidden="1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hidden="1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hidden="1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hidden="1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hidden="1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hidden="1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hidden="1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hidden="1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hidden="1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hidden="1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hidden="1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hidden="1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hidden="1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hidden="1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hidden="1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hidden="1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hidden="1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hidden="1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hidden="1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hidden="1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hidden="1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hidden="1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hidden="1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hidden="1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hidden="1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hidden="1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hidden="1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hidden="1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hidden="1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hidden="1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hidden="1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hidden="1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hidden="1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hidden="1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hidden="1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hidden="1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hidden="1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hidden="1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hidden="1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hidden="1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hidden="1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hidden="1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hidden="1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hidden="1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hidden="1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hidden="1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hidden="1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hidden="1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hidden="1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hidden="1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hidden="1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hidden="1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hidden="1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hidden="1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hidden="1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hidden="1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hidden="1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hidden="1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hidden="1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hidden="1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hidden="1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hidden="1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hidden="1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hidden="1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hidden="1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hidden="1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hidden="1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hidden="1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hidden="1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hidden="1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hidden="1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hidden="1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hidden="1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hidden="1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hidden="1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hidden="1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hidden="1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hidden="1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hidden="1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hidden="1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hidden="1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hidden="1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hidden="1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hidden="1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hidden="1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hidden="1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hidden="1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hidden="1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hidden="1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hidden="1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hidden="1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hidden="1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hidden="1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hidden="1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hidden="1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hidden="1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hidden="1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hidden="1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hidden="1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hidden="1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hidden="1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hidden="1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hidden="1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hidden="1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hidden="1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hidden="1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hidden="1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hidden="1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hidden="1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hidden="1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hidden="1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hidden="1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hidden="1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hidden="1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hidden="1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hidden="1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hidden="1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hidden="1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hidden="1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hidden="1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hidden="1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hidden="1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hidden="1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hidden="1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hidden="1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hidden="1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hidden="1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hidden="1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hidden="1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hidden="1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hidden="1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hidden="1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hidden="1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hidden="1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hidden="1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hidden="1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hidden="1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hidden="1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hidden="1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hidden="1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hidden="1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hidden="1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hidden="1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hidden="1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hidden="1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hidden="1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hidden="1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hidden="1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hidden="1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hidden="1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hidden="1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hidden="1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hidden="1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hidden="1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hidden="1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hidden="1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hidden="1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hidden="1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hidden="1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hidden="1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hidden="1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hidden="1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hidden="1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hidden="1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hidden="1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hidden="1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hidden="1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hidden="1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hidden="1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hidden="1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hidden="1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hidden="1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hidden="1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hidden="1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hidden="1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hidden="1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hidden="1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hidden="1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hidden="1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hidden="1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hidden="1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hidden="1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hidden="1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hidden="1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hidden="1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hidden="1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hidden="1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hidden="1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hidden="1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hidden="1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hidden="1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hidden="1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hidden="1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hidden="1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hidden="1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hidden="1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hidden="1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hidden="1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hidden="1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hidden="1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hidden="1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hidden="1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hidden="1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hidden="1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hidden="1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hidden="1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hidden="1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hidden="1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hidden="1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hidden="1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hidden="1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hidden="1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hidden="1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hidden="1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hidden="1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hidden="1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hidden="1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hidden="1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hidden="1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hidden="1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hidden="1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hidden="1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hidden="1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hidden="1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hidden="1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hidden="1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hidden="1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hidden="1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hidden="1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hidden="1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hidden="1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hidden="1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hidden="1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hidden="1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hidden="1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hidden="1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hidden="1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hidden="1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hidden="1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hidden="1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hidden="1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hidden="1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hidden="1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hidden="1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hidden="1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hidden="1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hidden="1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hidden="1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hidden="1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hidden="1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hidden="1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hidden="1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hidden="1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hidden="1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hidden="1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hidden="1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hidden="1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hidden="1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hidden="1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hidden="1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hidden="1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hidden="1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hidden="1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hidden="1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hidden="1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hidden="1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hidden="1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hidden="1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hidden="1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hidden="1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hidden="1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hidden="1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hidden="1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hidden="1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hidden="1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hidden="1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hidden="1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hidden="1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hidden="1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hidden="1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hidden="1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hidden="1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hidden="1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hidden="1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hidden="1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hidden="1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hidden="1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hidden="1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hidden="1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hidden="1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hidden="1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hidden="1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hidden="1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hidden="1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hidden="1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hidden="1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hidden="1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hidden="1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hidden="1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hidden="1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hidden="1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hidden="1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hidden="1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hidden="1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hidden="1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hidden="1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hidden="1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hidden="1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hidden="1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hidden="1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hidden="1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hidden="1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hidden="1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hidden="1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hidden="1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hidden="1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hidden="1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hidden="1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hidden="1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hidden="1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hidden="1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hidden="1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hidden="1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hidden="1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hidden="1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hidden="1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hidden="1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hidden="1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hidden="1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hidden="1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hidden="1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hidden="1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hidden="1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hidden="1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hidden="1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hidden="1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hidden="1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hidden="1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hidden="1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hidden="1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hidden="1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hidden="1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hidden="1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hidden="1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hidden="1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hidden="1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hidden="1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hidden="1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hidden="1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hidden="1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hidden="1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hidden="1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hidden="1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hidden="1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hidden="1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hidden="1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hidden="1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hidden="1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hidden="1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hidden="1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hidden="1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hidden="1">
      <c r="A659" s="119" t="s">
        <v>2696</v>
      </c>
      <c r="B659" s="115">
        <v>2026</v>
      </c>
      <c r="C659" s="151" t="s">
        <v>2697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46143</v>
      </c>
      <c r="J659" s="187"/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hidden="1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hidden="1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hidden="1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hidden="1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hidden="1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hidden="1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hidden="1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hidden="1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hidden="1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hidden="1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hidden="1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hidden="1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hidden="1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hidden="1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hidden="1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hidden="1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hidden="1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hidden="1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hidden="1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hidden="1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hidden="1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hidden="1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hidden="1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hidden="1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hidden="1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hidden="1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hidden="1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hidden="1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hidden="1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hidden="1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hidden="1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hidden="1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hidden="1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hidden="1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hidden="1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hidden="1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hidden="1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hidden="1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hidden="1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hidden="1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hidden="1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hidden="1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hidden="1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hidden="1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hidden="1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hidden="1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hidden="1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hidden="1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hidden="1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hidden="1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hidden="1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hidden="1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hidden="1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hidden="1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hidden="1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hidden="1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hidden="1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hidden="1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hidden="1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/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hidden="1">
      <c r="A719" s="153" t="s">
        <v>2948</v>
      </c>
      <c r="B719" s="134">
        <v>2026</v>
      </c>
      <c r="C719" s="151" t="s">
        <v>2949</v>
      </c>
      <c r="D719" s="151" t="s">
        <v>2950</v>
      </c>
      <c r="E719" s="156" t="s">
        <v>2951</v>
      </c>
      <c r="F719" s="167" t="s">
        <v>70</v>
      </c>
      <c r="G719" s="152" t="s">
        <v>80</v>
      </c>
      <c r="H719" s="153" t="s">
        <v>2952</v>
      </c>
      <c r="I719" s="187">
        <v>46321</v>
      </c>
      <c r="J719" s="187">
        <v>46322</v>
      </c>
      <c r="K719" s="115" t="s">
        <v>28</v>
      </c>
      <c r="L719" s="157"/>
      <c r="M719" s="179"/>
      <c r="N719" s="155">
        <v>170</v>
      </c>
      <c r="O719" s="155"/>
      <c r="P719" s="155"/>
      <c r="Q719" s="155"/>
      <c r="R719" s="155">
        <f t="shared" si="14"/>
        <v>0</v>
      </c>
      <c r="S719" s="151">
        <v>14</v>
      </c>
      <c r="T719" s="118" t="s">
        <v>480</v>
      </c>
      <c r="U719" s="208"/>
    </row>
    <row r="720" spans="1:21" ht="30" hidden="1">
      <c r="A720" s="119" t="s">
        <v>2953</v>
      </c>
      <c r="B720" s="134">
        <v>2026</v>
      </c>
      <c r="C720" s="115" t="s">
        <v>23</v>
      </c>
      <c r="D720" s="115" t="s">
        <v>2954</v>
      </c>
      <c r="E720" s="116" t="s">
        <v>2955</v>
      </c>
      <c r="F720" s="117" t="s">
        <v>25</v>
      </c>
      <c r="G720" s="118" t="s">
        <v>207</v>
      </c>
      <c r="H720" s="119" t="s">
        <v>2956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2957</v>
      </c>
      <c r="U720" s="208"/>
    </row>
    <row r="721" spans="1:21" ht="21.75" hidden="1" customHeight="1">
      <c r="A721" s="119" t="s">
        <v>2958</v>
      </c>
      <c r="B721" s="134">
        <v>2026</v>
      </c>
      <c r="C721" s="134" t="s">
        <v>23</v>
      </c>
      <c r="D721" s="134" t="s">
        <v>2870</v>
      </c>
      <c r="E721" s="135" t="s">
        <v>2959</v>
      </c>
      <c r="F721" s="141" t="s">
        <v>89</v>
      </c>
      <c r="G721" s="147" t="s">
        <v>2718</v>
      </c>
      <c r="H721" s="137" t="s">
        <v>2960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2961</v>
      </c>
      <c r="U721" s="208"/>
    </row>
    <row r="722" spans="1:21" ht="25.5" hidden="1" customHeight="1">
      <c r="A722" s="119" t="s">
        <v>2962</v>
      </c>
      <c r="B722" s="115">
        <v>2026</v>
      </c>
      <c r="C722" s="115" t="s">
        <v>23</v>
      </c>
      <c r="D722" s="115" t="s">
        <v>2870</v>
      </c>
      <c r="E722" s="116" t="s">
        <v>2963</v>
      </c>
      <c r="F722" s="117" t="s">
        <v>89</v>
      </c>
      <c r="G722" s="143" t="s">
        <v>2718</v>
      </c>
      <c r="H722" s="119" t="s">
        <v>2964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2965</v>
      </c>
      <c r="U722" s="208"/>
    </row>
    <row r="723" spans="1:21" ht="15" hidden="1">
      <c r="A723" s="119" t="s">
        <v>2966</v>
      </c>
      <c r="B723" s="134">
        <v>2026</v>
      </c>
      <c r="C723" s="151" t="s">
        <v>23</v>
      </c>
      <c r="D723" s="151" t="s">
        <v>2967</v>
      </c>
      <c r="E723" s="156" t="s">
        <v>2968</v>
      </c>
      <c r="F723" s="167" t="s">
        <v>89</v>
      </c>
      <c r="G723" s="152" t="s">
        <v>2718</v>
      </c>
      <c r="H723" s="153" t="s">
        <v>2969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hidden="1">
      <c r="A724" s="153" t="s">
        <v>2970</v>
      </c>
      <c r="B724" s="169">
        <v>2026</v>
      </c>
      <c r="C724" s="151" t="s">
        <v>23</v>
      </c>
      <c r="D724" s="151" t="s">
        <v>2971</v>
      </c>
      <c r="E724" s="156" t="s">
        <v>2972</v>
      </c>
      <c r="F724" s="167" t="s">
        <v>89</v>
      </c>
      <c r="G724" s="152" t="s">
        <v>2718</v>
      </c>
      <c r="H724" s="153" t="s">
        <v>2973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hidden="1">
      <c r="A725" s="153" t="s">
        <v>2974</v>
      </c>
      <c r="B725" s="151">
        <v>2026</v>
      </c>
      <c r="C725" s="151" t="s">
        <v>23</v>
      </c>
      <c r="D725" s="151" t="s">
        <v>2967</v>
      </c>
      <c r="E725" s="156" t="s">
        <v>2975</v>
      </c>
      <c r="F725" s="167" t="s">
        <v>89</v>
      </c>
      <c r="G725" s="152" t="s">
        <v>2718</v>
      </c>
      <c r="H725" s="153" t="s">
        <v>2976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hidden="1">
      <c r="A726" s="153" t="s">
        <v>2977</v>
      </c>
      <c r="B726" s="151">
        <v>2026</v>
      </c>
      <c r="C726" s="151" t="s">
        <v>23</v>
      </c>
      <c r="D726" s="151" t="s">
        <v>2978</v>
      </c>
      <c r="E726" s="156" t="s">
        <v>2979</v>
      </c>
      <c r="F726" s="167" t="s">
        <v>89</v>
      </c>
      <c r="G726" s="152" t="s">
        <v>2718</v>
      </c>
      <c r="H726" s="153" t="s">
        <v>2980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43" si="15">IF(B726="","",SUM(O726:Q726))</f>
        <v>40</v>
      </c>
      <c r="S726" s="151">
        <v>5</v>
      </c>
      <c r="T726" s="152" t="s">
        <v>2981</v>
      </c>
      <c r="U726" s="208"/>
    </row>
    <row r="727" spans="1:21" ht="15" hidden="1">
      <c r="A727" s="153" t="s">
        <v>2982</v>
      </c>
      <c r="B727" s="151">
        <v>2026</v>
      </c>
      <c r="C727" s="151" t="s">
        <v>2949</v>
      </c>
      <c r="D727" s="151" t="s">
        <v>2971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hidden="1">
      <c r="A728" s="153" t="s">
        <v>2985</v>
      </c>
      <c r="B728" s="151">
        <v>2026</v>
      </c>
      <c r="C728" s="151" t="s">
        <v>23</v>
      </c>
      <c r="D728" s="151" t="s">
        <v>2967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>
      <c r="A729" s="153" t="s">
        <v>2988</v>
      </c>
      <c r="B729" s="151">
        <v>2026</v>
      </c>
      <c r="C729" s="151" t="s">
        <v>2949</v>
      </c>
      <c r="D729" s="151" t="s">
        <v>2967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si="15"/>
        <v>20</v>
      </c>
      <c r="S729" s="151">
        <v>3</v>
      </c>
      <c r="T729" s="152" t="s">
        <v>1922</v>
      </c>
      <c r="U729" s="208"/>
    </row>
    <row r="730" spans="1:21" ht="15" hidden="1">
      <c r="A730" s="153" t="s">
        <v>2991</v>
      </c>
      <c r="B730" s="151">
        <v>2026</v>
      </c>
      <c r="C730" s="151" t="s">
        <v>2949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5"/>
        <v>80</v>
      </c>
      <c r="S730" s="151">
        <v>4</v>
      </c>
      <c r="T730" s="152"/>
      <c r="U730" s="208"/>
    </row>
    <row r="731" spans="1:21" ht="15" hidden="1">
      <c r="A731" s="153" t="s">
        <v>2995</v>
      </c>
      <c r="B731" s="151">
        <v>2026</v>
      </c>
      <c r="C731" s="151" t="s">
        <v>2949</v>
      </c>
      <c r="D731" s="151"/>
      <c r="E731" s="197" t="s">
        <v>2996</v>
      </c>
      <c r="F731" s="167" t="s">
        <v>25</v>
      </c>
      <c r="G731" s="152" t="s">
        <v>2718</v>
      </c>
      <c r="H731" s="153" t="s">
        <v>2997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5"/>
        <v>100</v>
      </c>
      <c r="S731" s="151">
        <v>3</v>
      </c>
      <c r="T731" s="152"/>
      <c r="U731" s="208"/>
    </row>
    <row r="732" spans="1:21" ht="15" hidden="1">
      <c r="A732" s="153" t="s">
        <v>2998</v>
      </c>
      <c r="B732" s="151">
        <v>2026</v>
      </c>
      <c r="C732" s="151" t="s">
        <v>2949</v>
      </c>
      <c r="D732" s="151" t="s">
        <v>2999</v>
      </c>
      <c r="E732" s="156" t="s">
        <v>3000</v>
      </c>
      <c r="F732" s="167" t="s">
        <v>89</v>
      </c>
      <c r="G732" s="152" t="s">
        <v>43</v>
      </c>
      <c r="H732" s="153" t="s">
        <v>3001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5"/>
        <v>50</v>
      </c>
      <c r="S732" s="151"/>
      <c r="T732" s="152"/>
      <c r="U732" s="208"/>
    </row>
    <row r="733" spans="1:21" ht="15" hidden="1">
      <c r="A733" s="153" t="s">
        <v>3002</v>
      </c>
      <c r="B733" s="151">
        <v>2026</v>
      </c>
      <c r="C733" s="151" t="s">
        <v>2949</v>
      </c>
      <c r="D733" s="151" t="s">
        <v>3003</v>
      </c>
      <c r="E733" s="156" t="s">
        <v>3004</v>
      </c>
      <c r="F733" s="167" t="s">
        <v>25</v>
      </c>
      <c r="G733" s="152" t="s">
        <v>2700</v>
      </c>
      <c r="H733" s="153" t="s">
        <v>3005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5"/>
        <v>0</v>
      </c>
      <c r="S733" s="151">
        <v>8</v>
      </c>
      <c r="T733" s="152" t="s">
        <v>2829</v>
      </c>
      <c r="U733" s="208"/>
    </row>
    <row r="734" spans="1:21" ht="15" hidden="1">
      <c r="A734" s="153" t="s">
        <v>3006</v>
      </c>
      <c r="B734" s="151">
        <v>2026</v>
      </c>
      <c r="C734" s="151" t="s">
        <v>2792</v>
      </c>
      <c r="D734" s="151" t="s">
        <v>3007</v>
      </c>
      <c r="E734" s="156" t="s">
        <v>3008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5"/>
        <v>0</v>
      </c>
      <c r="S734" s="151"/>
      <c r="T734" s="152"/>
      <c r="U734" s="208"/>
    </row>
    <row r="735" spans="1:21" ht="15" hidden="1">
      <c r="A735" s="153" t="s">
        <v>3009</v>
      </c>
      <c r="B735" s="151">
        <v>2026</v>
      </c>
      <c r="C735" s="151" t="s">
        <v>23</v>
      </c>
      <c r="D735" s="151" t="s">
        <v>3010</v>
      </c>
      <c r="E735" s="156" t="s">
        <v>3011</v>
      </c>
      <c r="F735" s="167" t="s">
        <v>70</v>
      </c>
      <c r="G735" s="152" t="s">
        <v>80</v>
      </c>
      <c r="H735" s="153" t="s">
        <v>3012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5"/>
        <v>30</v>
      </c>
      <c r="S735" s="151">
        <v>8</v>
      </c>
      <c r="T735" s="152" t="s">
        <v>2893</v>
      </c>
      <c r="U735" s="208"/>
    </row>
    <row r="736" spans="1:21" ht="15" hidden="1">
      <c r="A736" s="153" t="s">
        <v>3013</v>
      </c>
      <c r="B736" s="151">
        <v>2026</v>
      </c>
      <c r="C736" s="151" t="s">
        <v>23</v>
      </c>
      <c r="D736" s="151" t="s">
        <v>3014</v>
      </c>
      <c r="E736" s="156" t="s">
        <v>3015</v>
      </c>
      <c r="F736" s="167" t="s">
        <v>70</v>
      </c>
      <c r="G736" s="152" t="s">
        <v>2694</v>
      </c>
      <c r="H736" s="153" t="s">
        <v>3016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5"/>
        <v>21</v>
      </c>
      <c r="S736" s="151">
        <v>12</v>
      </c>
      <c r="T736" s="152" t="s">
        <v>3017</v>
      </c>
      <c r="U736" s="208"/>
    </row>
    <row r="737" spans="1:21" ht="15" hidden="1">
      <c r="A737" s="153" t="s">
        <v>3018</v>
      </c>
      <c r="B737" s="151">
        <v>2026</v>
      </c>
      <c r="C737" s="151" t="s">
        <v>23</v>
      </c>
      <c r="D737" s="151" t="s">
        <v>3019</v>
      </c>
      <c r="E737" s="156" t="s">
        <v>3020</v>
      </c>
      <c r="F737" s="167" t="s">
        <v>25</v>
      </c>
      <c r="G737" s="152" t="s">
        <v>2700</v>
      </c>
      <c r="H737" s="153" t="s">
        <v>3021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5"/>
        <v>20</v>
      </c>
      <c r="S737" s="151">
        <v>9</v>
      </c>
      <c r="T737" s="152" t="s">
        <v>219</v>
      </c>
      <c r="U737" s="208"/>
    </row>
    <row r="738" spans="1:21" ht="15" hidden="1">
      <c r="A738" s="153" t="s">
        <v>3022</v>
      </c>
      <c r="B738" s="115">
        <v>2026</v>
      </c>
      <c r="C738" s="151" t="s">
        <v>2949</v>
      </c>
      <c r="D738" s="151" t="s">
        <v>3023</v>
      </c>
      <c r="E738" s="156" t="s">
        <v>3024</v>
      </c>
      <c r="F738" s="167" t="s">
        <v>25</v>
      </c>
      <c r="G738" s="152" t="s">
        <v>76</v>
      </c>
      <c r="H738" s="153" t="s">
        <v>3025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5"/>
        <v>0</v>
      </c>
      <c r="S738" s="151">
        <v>10</v>
      </c>
      <c r="T738" s="152" t="s">
        <v>3026</v>
      </c>
      <c r="U738" s="209"/>
    </row>
    <row r="739" spans="1:21" ht="15" hidden="1">
      <c r="A739" s="153" t="s">
        <v>3027</v>
      </c>
      <c r="B739" s="151">
        <v>2026</v>
      </c>
      <c r="C739" s="151" t="s">
        <v>23</v>
      </c>
      <c r="D739" s="151" t="s">
        <v>3003</v>
      </c>
      <c r="E739" s="156" t="s">
        <v>3028</v>
      </c>
      <c r="F739" s="167" t="s">
        <v>25</v>
      </c>
      <c r="G739" s="152" t="s">
        <v>2700</v>
      </c>
      <c r="H739" s="153" t="s">
        <v>3029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5"/>
        <v>21</v>
      </c>
      <c r="S739" s="151">
        <v>8</v>
      </c>
      <c r="T739" s="152" t="s">
        <v>2829</v>
      </c>
      <c r="U739" s="208"/>
    </row>
    <row r="740" spans="1:21" ht="15" hidden="1">
      <c r="A740" s="153" t="s">
        <v>3030</v>
      </c>
      <c r="B740" s="151">
        <v>2026</v>
      </c>
      <c r="C740" s="151" t="s">
        <v>2949</v>
      </c>
      <c r="D740" s="151" t="s">
        <v>2945</v>
      </c>
      <c r="E740" s="163" t="s">
        <v>3031</v>
      </c>
      <c r="F740" s="167" t="s">
        <v>25</v>
      </c>
      <c r="G740" s="152" t="s">
        <v>207</v>
      </c>
      <c r="H740" s="153" t="s">
        <v>3032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5"/>
        <v>0</v>
      </c>
      <c r="S740" s="151">
        <v>16</v>
      </c>
      <c r="T740" s="152" t="s">
        <v>804</v>
      </c>
      <c r="U740" s="208"/>
    </row>
    <row r="741" spans="1:21" ht="15" hidden="1">
      <c r="A741" s="153" t="s">
        <v>3033</v>
      </c>
      <c r="B741" s="151">
        <v>2026</v>
      </c>
      <c r="C741" s="151" t="s">
        <v>2949</v>
      </c>
      <c r="D741" s="151" t="s">
        <v>3034</v>
      </c>
      <c r="E741" s="156" t="s">
        <v>3035</v>
      </c>
      <c r="F741" s="167" t="s">
        <v>25</v>
      </c>
      <c r="G741" s="152" t="s">
        <v>2700</v>
      </c>
      <c r="H741" s="153" t="s">
        <v>3036</v>
      </c>
      <c r="I741" s="187" t="s">
        <v>3036</v>
      </c>
      <c r="J741" s="187" t="s">
        <v>3036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5"/>
        <v>0</v>
      </c>
      <c r="S741" s="151">
        <v>4</v>
      </c>
      <c r="T741" s="152" t="s">
        <v>1910</v>
      </c>
      <c r="U741" s="208"/>
    </row>
    <row r="742" spans="1:21" ht="15" hidden="1">
      <c r="A742" s="153" t="s">
        <v>3037</v>
      </c>
      <c r="B742" s="115">
        <v>2026</v>
      </c>
      <c r="C742" s="151" t="s">
        <v>2949</v>
      </c>
      <c r="D742" s="151" t="s">
        <v>3038</v>
      </c>
      <c r="E742" s="156" t="s">
        <v>3039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5"/>
        <v>0</v>
      </c>
      <c r="S742" s="151">
        <v>9.66</v>
      </c>
      <c r="T742" s="152" t="s">
        <v>2893</v>
      </c>
      <c r="U742" s="208"/>
    </row>
    <row r="743" spans="1:21" ht="15" hidden="1">
      <c r="A743" s="153" t="s">
        <v>3040</v>
      </c>
      <c r="B743" s="115">
        <v>2026</v>
      </c>
      <c r="C743" s="151" t="s">
        <v>2949</v>
      </c>
      <c r="D743" s="151" t="s">
        <v>3041</v>
      </c>
      <c r="E743" s="156" t="s">
        <v>3042</v>
      </c>
      <c r="F743" s="167" t="s">
        <v>25</v>
      </c>
      <c r="G743" s="152" t="s">
        <v>26</v>
      </c>
      <c r="H743" s="153" t="s">
        <v>3043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5"/>
        <v>0</v>
      </c>
      <c r="S743" s="151">
        <v>20</v>
      </c>
      <c r="T743" s="152" t="s">
        <v>557</v>
      </c>
      <c r="U743" s="208"/>
    </row>
    <row r="744" spans="1:21" ht="15" hidden="1">
      <c r="A744" s="153" t="s">
        <v>3044</v>
      </c>
      <c r="B744" s="151">
        <v>2026</v>
      </c>
      <c r="C744" s="151" t="s">
        <v>2792</v>
      </c>
      <c r="D744" s="151" t="s">
        <v>3045</v>
      </c>
      <c r="E744" s="163" t="s">
        <v>3046</v>
      </c>
      <c r="F744" s="167" t="s">
        <v>25</v>
      </c>
      <c r="G744" s="152" t="s">
        <v>207</v>
      </c>
      <c r="H744" s="153" t="s">
        <v>3047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ref="R744:R747" si="16">IF(B744="","",SUM(O744:Q744))</f>
        <v>0</v>
      </c>
      <c r="S744" s="151">
        <v>20</v>
      </c>
      <c r="T744" s="152" t="s">
        <v>3048</v>
      </c>
      <c r="U744" s="208"/>
    </row>
    <row r="745" spans="1:21" ht="15" hidden="1">
      <c r="A745" s="153" t="s">
        <v>3049</v>
      </c>
      <c r="B745" s="151">
        <v>2026</v>
      </c>
      <c r="C745" s="151" t="s">
        <v>23</v>
      </c>
      <c r="D745" s="151" t="s">
        <v>3050</v>
      </c>
      <c r="E745" s="163" t="s">
        <v>3051</v>
      </c>
      <c r="F745" s="167" t="s">
        <v>25</v>
      </c>
      <c r="G745" s="152" t="s">
        <v>207</v>
      </c>
      <c r="H745" s="153" t="s">
        <v>3052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ref="R745" si="17">IF(B745="","",SUM(O745:Q745))</f>
        <v>80</v>
      </c>
      <c r="S745" s="151">
        <v>2</v>
      </c>
      <c r="T745" s="152"/>
      <c r="U745" s="208"/>
    </row>
    <row r="746" spans="1:21" ht="15" hidden="1">
      <c r="A746" s="153" t="s">
        <v>3053</v>
      </c>
      <c r="B746" s="151">
        <v>2026</v>
      </c>
      <c r="C746" s="151" t="s">
        <v>23</v>
      </c>
      <c r="D746" s="151" t="s">
        <v>3054</v>
      </c>
      <c r="E746" s="156" t="s">
        <v>3055</v>
      </c>
      <c r="F746" s="167" t="s">
        <v>70</v>
      </c>
      <c r="G746" s="152" t="s">
        <v>80</v>
      </c>
      <c r="H746" s="153" t="s">
        <v>3056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hidden="1">
      <c r="A747" s="153" t="s">
        <v>3057</v>
      </c>
      <c r="B747" s="151">
        <v>2026</v>
      </c>
      <c r="C747" s="151" t="s">
        <v>3058</v>
      </c>
      <c r="D747" s="151" t="s">
        <v>3059</v>
      </c>
      <c r="E747" s="163" t="s">
        <v>3060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3061</v>
      </c>
      <c r="U747" s="208"/>
    </row>
    <row r="748" spans="1:21" ht="15" hidden="1">
      <c r="A748" s="153" t="s">
        <v>3062</v>
      </c>
      <c r="B748" s="151">
        <v>2026</v>
      </c>
      <c r="C748" s="151" t="s">
        <v>23</v>
      </c>
      <c r="D748" s="151" t="s">
        <v>3063</v>
      </c>
      <c r="E748" s="156" t="s">
        <v>3064</v>
      </c>
      <c r="F748" s="167" t="s">
        <v>89</v>
      </c>
      <c r="G748" s="152" t="s">
        <v>2718</v>
      </c>
      <c r="H748" s="153" t="s">
        <v>3065</v>
      </c>
      <c r="I748" s="187">
        <v>46314</v>
      </c>
      <c r="J748" s="187">
        <v>46318</v>
      </c>
      <c r="K748" s="151" t="s">
        <v>39</v>
      </c>
      <c r="L748" s="157"/>
      <c r="M748" s="179"/>
      <c r="N748" s="155">
        <v>40</v>
      </c>
      <c r="O748" s="155">
        <v>0</v>
      </c>
      <c r="P748" s="155">
        <v>34</v>
      </c>
      <c r="Q748" s="155">
        <v>0</v>
      </c>
      <c r="R748" s="155">
        <f>IF(B748="","",SUM(O748:Q748))</f>
        <v>34</v>
      </c>
      <c r="S748" s="151">
        <v>20</v>
      </c>
      <c r="T748" s="152" t="s">
        <v>3066</v>
      </c>
      <c r="U748" s="208"/>
    </row>
    <row r="749" spans="1:21" ht="15" hidden="1">
      <c r="A749" s="153" t="s">
        <v>3067</v>
      </c>
      <c r="B749" s="151">
        <v>2026</v>
      </c>
      <c r="C749" s="151" t="s">
        <v>2949</v>
      </c>
      <c r="D749" s="151" t="s">
        <v>3063</v>
      </c>
      <c r="E749" s="156" t="s">
        <v>3068</v>
      </c>
      <c r="F749" s="167" t="s">
        <v>89</v>
      </c>
      <c r="G749" s="152" t="s">
        <v>2718</v>
      </c>
      <c r="H749" s="153" t="s">
        <v>3069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>IF(B749="","",SUM(O749:Q749))</f>
        <v>0</v>
      </c>
      <c r="S749" s="151">
        <v>20</v>
      </c>
      <c r="T749" s="152" t="s">
        <v>3066</v>
      </c>
      <c r="U749" s="208"/>
    </row>
    <row r="750" spans="1:21" ht="15" hidden="1">
      <c r="A750" s="153" t="s">
        <v>3070</v>
      </c>
      <c r="B750" s="151">
        <v>2026</v>
      </c>
      <c r="C750" s="151" t="s">
        <v>2949</v>
      </c>
      <c r="D750" s="151" t="s">
        <v>3071</v>
      </c>
      <c r="E750" s="156" t="s">
        <v>3072</v>
      </c>
      <c r="F750" s="167" t="s">
        <v>70</v>
      </c>
      <c r="G750" s="152" t="s">
        <v>80</v>
      </c>
      <c r="H750" s="153" t="s">
        <v>3073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>IF(B750="","",SUM(O750:Q750))</f>
        <v>0</v>
      </c>
      <c r="S750" s="151">
        <v>8</v>
      </c>
      <c r="T750" s="152" t="s">
        <v>3074</v>
      </c>
      <c r="U750" s="208"/>
    </row>
    <row r="751" spans="1:21" ht="15">
      <c r="A751" s="153" t="s">
        <v>3075</v>
      </c>
      <c r="B751" s="151">
        <v>2026</v>
      </c>
      <c r="C751" s="151" t="s">
        <v>23</v>
      </c>
      <c r="D751" s="151" t="s">
        <v>3076</v>
      </c>
      <c r="E751" s="156" t="s">
        <v>3077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>IF(B751="","",SUM(O751:Q751))</f>
        <v>0</v>
      </c>
      <c r="S751" s="151">
        <v>5</v>
      </c>
      <c r="T751" s="152" t="s">
        <v>2797</v>
      </c>
      <c r="U751" s="208"/>
    </row>
    <row r="752" spans="1:21" ht="15" hidden="1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hidden="1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hidden="1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hidden="1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hidden="1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hidden="1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hidden="1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hidden="1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hidden="1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hidden="1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hidden="1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hidden="1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hidden="1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hidden="1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hidden="1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hidden="1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hidden="1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hidden="1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hidden="1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hidden="1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hidden="1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hidden="1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hidden="1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hidden="1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hidden="1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hidden="1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hidden="1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hidden="1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hidden="1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hidden="1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hidden="1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hidden="1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hidden="1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hidden="1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hidden="1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hidden="1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hidden="1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hidden="1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hidden="1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hidden="1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hidden="1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hidden="1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hidden="1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hidden="1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hidden="1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hidden="1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hidden="1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hidden="1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hidden="1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hidden="1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hidden="1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hidden="1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hidden="1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hidden="1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hidden="1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hidden="1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hidden="1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hidden="1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hidden="1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hidden="1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hidden="1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hidden="1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hidden="1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hidden="1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hidden="1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hidden="1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hidden="1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hidden="1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hidden="1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hidden="1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hidden="1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hidden="1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hidden="1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hidden="1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hidden="1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hidden="1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hidden="1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hidden="1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hidden="1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hidden="1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hidden="1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hidden="1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hidden="1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hidden="1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hidden="1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hidden="1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hidden="1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hidden="1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hidden="1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hidden="1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hidden="1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hidden="1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hidden="1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hidden="1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hidden="1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hidden="1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hidden="1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hidden="1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hidden="1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hidden="1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hidden="1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hidden="1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hidden="1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hidden="1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hidden="1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hidden="1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hidden="1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hidden="1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hidden="1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hidden="1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hidden="1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hidden="1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hidden="1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hidden="1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hidden="1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hidden="1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hidden="1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hidden="1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hidden="1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hidden="1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hidden="1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hidden="1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hidden="1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hidden="1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hidden="1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hidden="1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hidden="1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hidden="1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hidden="1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hidden="1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hidden="1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hidden="1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hidden="1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hidden="1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hidden="1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hidden="1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hidden="1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hidden="1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hidden="1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hidden="1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hidden="1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hidden="1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hidden="1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hidden="1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hidden="1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hidden="1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hidden="1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hidden="1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hidden="1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hidden="1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hidden="1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hidden="1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hidden="1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hidden="1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hidden="1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hidden="1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hidden="1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hidden="1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hidden="1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hidden="1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hidden="1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hidden="1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hidden="1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hidden="1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hidden="1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hidden="1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hidden="1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hidden="1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hidden="1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hidden="1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hidden="1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hidden="1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hidden="1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hidden="1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hidden="1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hidden="1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hidden="1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hidden="1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hidden="1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hidden="1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hidden="1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hidden="1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hidden="1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hidden="1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hidden="1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hidden="1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hidden="1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hidden="1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hidden="1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hidden="1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hidden="1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hidden="1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hidden="1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hidden="1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hidden="1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hidden="1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hidden="1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hidden="1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hidden="1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hidden="1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hidden="1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hidden="1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hidden="1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hidden="1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hidden="1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hidden="1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hidden="1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hidden="1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hidden="1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hidden="1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hidden="1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hidden="1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hidden="1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hidden="1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hidden="1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hidden="1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hidden="1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hidden="1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hidden="1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hidden="1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hidden="1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hidden="1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hidden="1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hidden="1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hidden="1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hidden="1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hidden="1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hidden="1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hidden="1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hidden="1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hidden="1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hidden="1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hidden="1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hidden="1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hidden="1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hidden="1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hidden="1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hidden="1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hidden="1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hidden="1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hidden="1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hidden="1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hidden="1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hidden="1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hidden="1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hidden="1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hidden="1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hidden="1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hidden="1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hidden="1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hidden="1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hidden="1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hidden="1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hidden="1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hidden="1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hidden="1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hidden="1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hidden="1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hidden="1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hidden="1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hidden="1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hidden="1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hidden="1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hidden="1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hidden="1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hidden="1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hidden="1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hidden="1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hidden="1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hidden="1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hidden="1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hidden="1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hidden="1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hidden="1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hidden="1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hidden="1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hidden="1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hidden="1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hidden="1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hidden="1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hidden="1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hidden="1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hidden="1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hidden="1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hidden="1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hidden="1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hidden="1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hidden="1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hidden="1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hidden="1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hidden="1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hidden="1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hidden="1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hidden="1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hidden="1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hidden="1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hidden="1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hidden="1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hidden="1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hidden="1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hidden="1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hidden="1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hidden="1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hidden="1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hidden="1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hidden="1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hidden="1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hidden="1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hidden="1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hidden="1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hidden="1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hidden="1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hidden="1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hidden="1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hidden="1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hidden="1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hidden="1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hidden="1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hidden="1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hidden="1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hidden="1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hidden="1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hidden="1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hidden="1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hidden="1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hidden="1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hidden="1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hidden="1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hidden="1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hidden="1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hidden="1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hidden="1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hidden="1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hidden="1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hidden="1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hidden="1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hidden="1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hidden="1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hidden="1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hidden="1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hidden="1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hidden="1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hidden="1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hidden="1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hidden="1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hidden="1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hidden="1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hidden="1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hidden="1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hidden="1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hidden="1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hidden="1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hidden="1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hidden="1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hidden="1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hidden="1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hidden="1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hidden="1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hidden="1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hidden="1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hidden="1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hidden="1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hidden="1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hidden="1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hidden="1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hidden="1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hidden="1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hidden="1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hidden="1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hidden="1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hidden="1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hidden="1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hidden="1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hidden="1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hidden="1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hidden="1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hidden="1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hidden="1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hidden="1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hidden="1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hidden="1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hidden="1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hidden="1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hidden="1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hidden="1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hidden="1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hidden="1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hidden="1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hidden="1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hidden="1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hidden="1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hidden="1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hidden="1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hidden="1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hidden="1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hidden="1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hidden="1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hidden="1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hidden="1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hidden="1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hidden="1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hidden="1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hidden="1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hidden="1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hidden="1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hidden="1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hidden="1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hidden="1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hidden="1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hidden="1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hidden="1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hidden="1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hidden="1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hidden="1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hidden="1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hidden="1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hidden="1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hidden="1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hidden="1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hidden="1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hidden="1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hidden="1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hidden="1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hidden="1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hidden="1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hidden="1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hidden="1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hidden="1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hidden="1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hidden="1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hidden="1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hidden="1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hidden="1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hidden="1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hidden="1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hidden="1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hidden="1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hidden="1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hidden="1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hidden="1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hidden="1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hidden="1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hidden="1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hidden="1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hidden="1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hidden="1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hidden="1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hidden="1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hidden="1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hidden="1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hidden="1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hidden="1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hidden="1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hidden="1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hidden="1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hidden="1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hidden="1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hidden="1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hidden="1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hidden="1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hidden="1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hidden="1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hidden="1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hidden="1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hidden="1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hidden="1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hidden="1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hidden="1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hidden="1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hidden="1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hidden="1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hidden="1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hidden="1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hidden="1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hidden="1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hidden="1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hidden="1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hidden="1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hidden="1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hidden="1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hidden="1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hidden="1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hidden="1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hidden="1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hidden="1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hidden="1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hidden="1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hidden="1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hidden="1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hidden="1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hidden="1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hidden="1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hidden="1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hidden="1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hidden="1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hidden="1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hidden="1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hidden="1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hidden="1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hidden="1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hidden="1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hidden="1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hidden="1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hidden="1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hidden="1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hidden="1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hidden="1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hidden="1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hidden="1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hidden="1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hidden="1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hidden="1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hidden="1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hidden="1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hidden="1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hidden="1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hidden="1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hidden="1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hidden="1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hidden="1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hidden="1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hidden="1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hidden="1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hidden="1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hidden="1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hidden="1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hidden="1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hidden="1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hidden="1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hidden="1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hidden="1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hidden="1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hidden="1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hidden="1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hidden="1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hidden="1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hidden="1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hidden="1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hidden="1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hidden="1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hidden="1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hidden="1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hidden="1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hidden="1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hidden="1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hidden="1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hidden="1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hidden="1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hidden="1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hidden="1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hidden="1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hidden="1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hidden="1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hidden="1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hidden="1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hidden="1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hidden="1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hidden="1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hidden="1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hidden="1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hidden="1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hidden="1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hidden="1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hidden="1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hidden="1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hidden="1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hidden="1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hidden="1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hidden="1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hidden="1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hidden="1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hidden="1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hidden="1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hidden="1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hidden="1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hidden="1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hidden="1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hidden="1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hidden="1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hidden="1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hidden="1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hidden="1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hidden="1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hidden="1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hidden="1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hidden="1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hidden="1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hidden="1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hidden="1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hidden="1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hidden="1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hidden="1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hidden="1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hidden="1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hidden="1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hidden="1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hidden="1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hidden="1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hidden="1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hidden="1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hidden="1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hidden="1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hidden="1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hidden="1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hidden="1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hidden="1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hidden="1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hidden="1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hidden="1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hidden="1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hidden="1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hidden="1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hidden="1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hidden="1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hidden="1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hidden="1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hidden="1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hidden="1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hidden="1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hidden="1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hidden="1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hidden="1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hidden="1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hidden="1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hidden="1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hidden="1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hidden="1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hidden="1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hidden="1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hidden="1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hidden="1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hidden="1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hidden="1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hidden="1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hidden="1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hidden="1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hidden="1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hidden="1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hidden="1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hidden="1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hidden="1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hidden="1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hidden="1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hidden="1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hidden="1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hidden="1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hidden="1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hidden="1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hidden="1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hidden="1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hidden="1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hidden="1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hidden="1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hidden="1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hidden="1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hidden="1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hidden="1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hidden="1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hidden="1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hidden="1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hidden="1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hidden="1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hidden="1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hidden="1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hidden="1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hidden="1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hidden="1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hidden="1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hidden="1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hidden="1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hidden="1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hidden="1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hidden="1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hidden="1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hidden="1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hidden="1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hidden="1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hidden="1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hidden="1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hidden="1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hidden="1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hidden="1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hidden="1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hidden="1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hidden="1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hidden="1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hidden="1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hidden="1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hidden="1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hidden="1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hidden="1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hidden="1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hidden="1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hidden="1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hidden="1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hidden="1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hidden="1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hidden="1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hidden="1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hidden="1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hidden="1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hidden="1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hidden="1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hidden="1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hidden="1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hidden="1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hidden="1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hidden="1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hidden="1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hidden="1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hidden="1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hidden="1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hidden="1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hidden="1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hidden="1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hidden="1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hidden="1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hidden="1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hidden="1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hidden="1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hidden="1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hidden="1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hidden="1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hidden="1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hidden="1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hidden="1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hidden="1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hidden="1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hidden="1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hidden="1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hidden="1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hidden="1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hidden="1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hidden="1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hidden="1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hidden="1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hidden="1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hidden="1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hidden="1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hidden="1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hidden="1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hidden="1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hidden="1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hidden="1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hidden="1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hidden="1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hidden="1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hidden="1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hidden="1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hidden="1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hidden="1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hidden="1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hidden="1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hidden="1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hidden="1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hidden="1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hidden="1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hidden="1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hidden="1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hidden="1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hidden="1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hidden="1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hidden="1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hidden="1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hidden="1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hidden="1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hidden="1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hidden="1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hidden="1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hidden="1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hidden="1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hidden="1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hidden="1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hidden="1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hidden="1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hidden="1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hidden="1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hidden="1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hidden="1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hidden="1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hidden="1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hidden="1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hidden="1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hidden="1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hidden="1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hidden="1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hidden="1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hidden="1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hidden="1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hidden="1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hidden="1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hidden="1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hidden="1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hidden="1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hidden="1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hidden="1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hidden="1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hidden="1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hidden="1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hidden="1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hidden="1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hidden="1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hidden="1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hidden="1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hidden="1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hidden="1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hidden="1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hidden="1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hidden="1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hidden="1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hidden="1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hidden="1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hidden="1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hidden="1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hidden="1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hidden="1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hidden="1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hidden="1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hidden="1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hidden="1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hidden="1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hidden="1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hidden="1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hidden="1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hidden="1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hidden="1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hidden="1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hidden="1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hidden="1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hidden="1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hidden="1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hidden="1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hidden="1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hidden="1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hidden="1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hidden="1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hidden="1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hidden="1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hidden="1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hidden="1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hidden="1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hidden="1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hidden="1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hidden="1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hidden="1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hidden="1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hidden="1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hidden="1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hidden="1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hidden="1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hidden="1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hidden="1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hidden="1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hidden="1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hidden="1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hidden="1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hidden="1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hidden="1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hidden="1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hidden="1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hidden="1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hidden="1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hidden="1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hidden="1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hidden="1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hidden="1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hidden="1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hidden="1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hidden="1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hidden="1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hidden="1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hidden="1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hidden="1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hidden="1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hidden="1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hidden="1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hidden="1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hidden="1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hidden="1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hidden="1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hidden="1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hidden="1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hidden="1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hidden="1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hidden="1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hidden="1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hidden="1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hidden="1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hidden="1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hidden="1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hidden="1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hidden="1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hidden="1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hidden="1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hidden="1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hidden="1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hidden="1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hidden="1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hidden="1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hidden="1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hidden="1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hidden="1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hidden="1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hidden="1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hidden="1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hidden="1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hidden="1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hidden="1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hidden="1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hidden="1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hidden="1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hidden="1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hidden="1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hidden="1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hidden="1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hidden="1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hidden="1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hidden="1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hidden="1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hidden="1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hidden="1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hidden="1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hidden="1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hidden="1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hidden="1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hidden="1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hidden="1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hidden="1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hidden="1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hidden="1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hidden="1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hidden="1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hidden="1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hidden="1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hidden="1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hidden="1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hidden="1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hidden="1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hidden="1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hidden="1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hidden="1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hidden="1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hidden="1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hidden="1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hidden="1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hidden="1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hidden="1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hidden="1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hidden="1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hidden="1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hidden="1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hidden="1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hidden="1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hidden="1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hidden="1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hidden="1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hidden="1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hidden="1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hidden="1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hidden="1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hidden="1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hidden="1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hidden="1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hidden="1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hidden="1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hidden="1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hidden="1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hidden="1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hidden="1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hidden="1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hidden="1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hidden="1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hidden="1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hidden="1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hidden="1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hidden="1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hidden="1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hidden="1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hidden="1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hidden="1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hidden="1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hidden="1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hidden="1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hidden="1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hidden="1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hidden="1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hidden="1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hidden="1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hidden="1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hidden="1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hidden="1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hidden="1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hidden="1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hidden="1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hidden="1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hidden="1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hidden="1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hidden="1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hidden="1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hidden="1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hidden="1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hidden="1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hidden="1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hidden="1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hidden="1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hidden="1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hidden="1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hidden="1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hidden="1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hidden="1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hidden="1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hidden="1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hidden="1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hidden="1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hidden="1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hidden="1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hidden="1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hidden="1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hidden="1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hidden="1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hidden="1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hidden="1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hidden="1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hidden="1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hidden="1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hidden="1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hidden="1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hidden="1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hidden="1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hidden="1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hidden="1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hidden="1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hidden="1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hidden="1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hidden="1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hidden="1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hidden="1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hidden="1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hidden="1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hidden="1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hidden="1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hidden="1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hidden="1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hidden="1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hidden="1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hidden="1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hidden="1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hidden="1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hidden="1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hidden="1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hidden="1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hidden="1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hidden="1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hidden="1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hidden="1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hidden="1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hidden="1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hidden="1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hidden="1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hidden="1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hidden="1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hidden="1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hidden="1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hidden="1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hidden="1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hidden="1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hidden="1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hidden="1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hidden="1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hidden="1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hidden="1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hidden="1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hidden="1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hidden="1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hidden="1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hidden="1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hidden="1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hidden="1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hidden="1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hidden="1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hidden="1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hidden="1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hidden="1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hidden="1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hidden="1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hidden="1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hidden="1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hidden="1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hidden="1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hidden="1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hidden="1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hidden="1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hidden="1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hidden="1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hidden="1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hidden="1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hidden="1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hidden="1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hidden="1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hidden="1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hidden="1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hidden="1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hidden="1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hidden="1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hidden="1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hidden="1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hidden="1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hidden="1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hidden="1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hidden="1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hidden="1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hidden="1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hidden="1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hidden="1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hidden="1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hidden="1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hidden="1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hidden="1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hidden="1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hidden="1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hidden="1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hidden="1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hidden="1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hidden="1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hidden="1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hidden="1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hidden="1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hidden="1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hidden="1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hidden="1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hidden="1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hidden="1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hidden="1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hidden="1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hidden="1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hidden="1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hidden="1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hidden="1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hidden="1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hidden="1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hidden="1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hidden="1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hidden="1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hidden="1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hidden="1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hidden="1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hidden="1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hidden="1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hidden="1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hidden="1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hidden="1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hidden="1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hidden="1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hidden="1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hidden="1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hidden="1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hidden="1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hidden="1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hidden="1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hidden="1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hidden="1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hidden="1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hidden="1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hidden="1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hidden="1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hidden="1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hidden="1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hidden="1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hidden="1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hidden="1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hidden="1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hidden="1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hidden="1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hidden="1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hidden="1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hidden="1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hidden="1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hidden="1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hidden="1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hidden="1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hidden="1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hidden="1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hidden="1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hidden="1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hidden="1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hidden="1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hidden="1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hidden="1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hidden="1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hidden="1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hidden="1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hidden="1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hidden="1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hidden="1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hidden="1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hidden="1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hidden="1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hidden="1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hidden="1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hidden="1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hidden="1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hidden="1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hidden="1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hidden="1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hidden="1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hidden="1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hidden="1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hidden="1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hidden="1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hidden="1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hidden="1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hidden="1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hidden="1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hidden="1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hidden="1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hidden="1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hidden="1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hidden="1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hidden="1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hidden="1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hidden="1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hidden="1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hidden="1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hidden="1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hidden="1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hidden="1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hidden="1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hidden="1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hidden="1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hidden="1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hidden="1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hidden="1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hidden="1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hidden="1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hidden="1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hidden="1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hidden="1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hidden="1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hidden="1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hidden="1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hidden="1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hidden="1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hidden="1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hidden="1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hidden="1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hidden="1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hidden="1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hidden="1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hidden="1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hidden="1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hidden="1" customHeight="1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hidden="1" customHeight="1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hidden="1" customHeight="1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hidden="1" customHeight="1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2" t="s">
        <v>3078</v>
      </c>
      <c r="H1" s="165" t="s">
        <v>3079</v>
      </c>
    </row>
    <row r="2" spans="1:8">
      <c r="H2" s="164" t="s">
        <v>3080</v>
      </c>
    </row>
    <row r="3" spans="1:8">
      <c r="A3" t="s">
        <v>0</v>
      </c>
      <c r="B3" t="s">
        <v>19</v>
      </c>
      <c r="C3" t="s">
        <v>3081</v>
      </c>
      <c r="D3" t="s">
        <v>3082</v>
      </c>
      <c r="E3" t="s">
        <v>3083</v>
      </c>
      <c r="H3" s="164" t="s">
        <v>3084</v>
      </c>
    </row>
    <row r="4" spans="1:8">
      <c r="A4">
        <v>1</v>
      </c>
      <c r="B4" t="s">
        <v>3085</v>
      </c>
      <c r="D4" t="s">
        <v>3086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3087</v>
      </c>
    </row>
    <row r="5" spans="1:8">
      <c r="A5">
        <v>2</v>
      </c>
      <c r="B5" t="s">
        <v>2508</v>
      </c>
      <c r="D5" t="s">
        <v>3086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3088</v>
      </c>
    </row>
    <row r="6" spans="1:8">
      <c r="A6">
        <v>3</v>
      </c>
      <c r="B6" t="s">
        <v>1031</v>
      </c>
      <c r="D6" t="s">
        <v>3086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>
      <c r="A7">
        <v>4</v>
      </c>
      <c r="B7" t="s">
        <v>3089</v>
      </c>
      <c r="D7" t="s">
        <v>3086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3090</v>
      </c>
    </row>
    <row r="8" spans="1:8">
      <c r="A8">
        <v>5</v>
      </c>
      <c r="B8" t="s">
        <v>3091</v>
      </c>
      <c r="D8" t="s">
        <v>3086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3086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3086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3086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3086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3086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3086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3086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3086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3086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3086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3086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3086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3086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3086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3092</v>
      </c>
      <c r="D23" t="s">
        <v>3086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3086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3093</v>
      </c>
      <c r="D25" t="s">
        <v>3086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3094</v>
      </c>
      <c r="D26" t="s">
        <v>3086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3086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3086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3095</v>
      </c>
      <c r="D29" t="s">
        <v>3086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3086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3086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3086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3096</v>
      </c>
      <c r="D33" t="s">
        <v>3086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3097</v>
      </c>
      <c r="D34" t="s">
        <v>3086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3086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3086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3086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3098</v>
      </c>
      <c r="D38" t="s">
        <v>3086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3099</v>
      </c>
      <c r="D39" t="s">
        <v>3086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3086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3100</v>
      </c>
      <c r="D41" t="s">
        <v>3086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3086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3086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3101</v>
      </c>
      <c r="D44" t="s">
        <v>3086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3086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3086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3086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3086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3102</v>
      </c>
      <c r="D49" t="s">
        <v>3086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3086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3103</v>
      </c>
      <c r="D51" t="s">
        <v>3086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3086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3086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3104</v>
      </c>
      <c r="D54" t="s">
        <v>3086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3086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3086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3086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3105</v>
      </c>
      <c r="D58" t="s">
        <v>3086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3086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3086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3106</v>
      </c>
      <c r="D61" t="s">
        <v>3086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3107</v>
      </c>
      <c r="D62" t="s">
        <v>3086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3108</v>
      </c>
      <c r="D63" t="s">
        <v>3086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3109</v>
      </c>
      <c r="D64" t="s">
        <v>3086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3086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3086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3110</v>
      </c>
      <c r="D67" t="s">
        <v>3086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3111</v>
      </c>
      <c r="D68" t="s">
        <v>3086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3086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3112</v>
      </c>
      <c r="D70" t="s">
        <v>3086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3086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3086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3086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3113</v>
      </c>
      <c r="D74" t="s">
        <v>3086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3086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3086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3086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3086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3114</v>
      </c>
      <c r="D79" t="s">
        <v>3086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3115</v>
      </c>
      <c r="D80" t="s">
        <v>3086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3116</v>
      </c>
      <c r="D81" t="s">
        <v>3086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3117</v>
      </c>
      <c r="D82" t="s">
        <v>3086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3086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3118</v>
      </c>
      <c r="D84" t="s">
        <v>3086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3086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3119</v>
      </c>
      <c r="D86" t="s">
        <v>3086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3120</v>
      </c>
      <c r="D87" t="s">
        <v>3086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3121</v>
      </c>
      <c r="D88" t="s">
        <v>3086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3122</v>
      </c>
      <c r="D89" t="s">
        <v>3086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3123</v>
      </c>
      <c r="D90" t="s">
        <v>3086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3124</v>
      </c>
      <c r="D91" t="s">
        <v>3086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3125</v>
      </c>
      <c r="D92" t="s">
        <v>3086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3126</v>
      </c>
      <c r="D93" t="s">
        <v>3086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3074</v>
      </c>
      <c r="D94" t="s">
        <v>3086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3086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3127</v>
      </c>
      <c r="D96" t="s">
        <v>3086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3026</v>
      </c>
      <c r="D97" t="s">
        <v>3086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3128</v>
      </c>
      <c r="D98" t="s">
        <v>3086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3129</v>
      </c>
      <c r="D99" t="s">
        <v>3086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3130</v>
      </c>
      <c r="D100" t="s">
        <v>3086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3131</v>
      </c>
      <c r="D101" t="s">
        <v>3086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2893</v>
      </c>
      <c r="D102" t="s">
        <v>3086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3132</v>
      </c>
      <c r="D103" t="s">
        <v>3086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3133</v>
      </c>
      <c r="D104" t="s">
        <v>3086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3134</v>
      </c>
      <c r="D105" t="s">
        <v>3086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3086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2781</v>
      </c>
      <c r="D107" t="s">
        <v>3086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3135</v>
      </c>
      <c r="D108" t="s">
        <v>3086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3136</v>
      </c>
      <c r="D109" t="s">
        <v>3086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3137</v>
      </c>
      <c r="D110" t="s">
        <v>3086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3138</v>
      </c>
      <c r="D111" t="s">
        <v>3086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3139</v>
      </c>
      <c r="D112" t="s">
        <v>3086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3140</v>
      </c>
      <c r="D113" t="s">
        <v>3086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3141</v>
      </c>
      <c r="C1" s="18" t="s">
        <v>3142</v>
      </c>
      <c r="D1" s="18" t="s">
        <v>4</v>
      </c>
      <c r="E1" s="18" t="s">
        <v>3143</v>
      </c>
      <c r="F1" s="18" t="s">
        <v>19</v>
      </c>
      <c r="G1" s="18" t="s">
        <v>3144</v>
      </c>
      <c r="H1" s="18" t="s">
        <v>3145</v>
      </c>
      <c r="I1" s="18" t="s">
        <v>3146</v>
      </c>
      <c r="J1" s="18" t="s">
        <v>3147</v>
      </c>
      <c r="L1" s="107" t="s">
        <v>3148</v>
      </c>
      <c r="M1" s="22">
        <v>2026</v>
      </c>
      <c r="U1" s="79" t="s">
        <v>3149</v>
      </c>
      <c r="V1" s="78"/>
      <c r="X1" s="77" t="s">
        <v>3150</v>
      </c>
      <c r="Y1" s="26"/>
      <c r="Z1" s="26"/>
      <c r="AA1" s="26"/>
      <c r="AC1" s="99" t="s">
        <v>3151</v>
      </c>
    </row>
    <row r="2" spans="1:31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3152</v>
      </c>
      <c r="M2" s="103" t="s">
        <v>2928</v>
      </c>
      <c r="X2" s="109" t="s">
        <v>3141</v>
      </c>
      <c r="Y2" s="109" t="s">
        <v>19</v>
      </c>
      <c r="Z2" s="109" t="s">
        <v>3153</v>
      </c>
      <c r="AA2" s="109" t="s">
        <v>3154</v>
      </c>
      <c r="AC2" s="110" t="s">
        <v>1</v>
      </c>
      <c r="AD2" s="110" t="s">
        <v>3155</v>
      </c>
      <c r="AE2" s="110" t="s">
        <v>3156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3157</v>
      </c>
      <c r="M3" s="108" t="s">
        <v>3158</v>
      </c>
      <c r="N3" s="108" t="s">
        <v>3159</v>
      </c>
      <c r="O3" s="108" t="s">
        <v>3160</v>
      </c>
      <c r="P3" s="108" t="s">
        <v>3161</v>
      </c>
      <c r="Q3" s="108" t="s">
        <v>3162</v>
      </c>
      <c r="R3" s="108" t="s">
        <v>3163</v>
      </c>
      <c r="S3" s="108" t="s">
        <v>3164</v>
      </c>
      <c r="T3" s="108" t="s">
        <v>3165</v>
      </c>
      <c r="X3" t="s">
        <v>2838</v>
      </c>
      <c r="Y3" t="s">
        <v>3099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3166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3099</v>
      </c>
      <c r="Z6">
        <v>1</v>
      </c>
      <c r="AA6">
        <v>0</v>
      </c>
      <c r="AC6" s="96">
        <v>2026</v>
      </c>
      <c r="AD6" s="17" t="s">
        <v>3167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3093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3111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3093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3111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3093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3111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3099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3099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3133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3129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3112</v>
      </c>
      <c r="Z33">
        <v>4</v>
      </c>
      <c r="AA33">
        <v>0.6</v>
      </c>
      <c r="AC33" s="98"/>
      <c r="AD33" s="111" t="s">
        <v>3168</v>
      </c>
      <c r="AE33" s="112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3113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3104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3121</v>
      </c>
      <c r="AA43">
        <v>1.2</v>
      </c>
    </row>
    <row r="44" spans="1:31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3120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3131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3128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3130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3127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3169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3134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3132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3120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3126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3125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3117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3115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3099</v>
      </c>
      <c r="AA71">
        <v>0</v>
      </c>
    </row>
    <row r="72" spans="1:27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3104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3118</v>
      </c>
      <c r="AA77">
        <v>1.2</v>
      </c>
    </row>
    <row r="78" spans="1:27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3122</v>
      </c>
      <c r="AA79">
        <v>1.2</v>
      </c>
    </row>
    <row r="80" spans="1:27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3119</v>
      </c>
      <c r="AA80">
        <v>1.2</v>
      </c>
    </row>
    <row r="81" spans="1:27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3123</v>
      </c>
      <c r="AA82">
        <v>1.2</v>
      </c>
    </row>
    <row r="83" spans="1:27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3105</v>
      </c>
      <c r="AA83">
        <v>1.2</v>
      </c>
    </row>
    <row r="84" spans="1:27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3105</v>
      </c>
      <c r="AA84">
        <v>1.2</v>
      </c>
    </row>
    <row r="85" spans="1:27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3105</v>
      </c>
      <c r="AA85">
        <v>1.2</v>
      </c>
    </row>
    <row r="86" spans="1:27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3117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3104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3137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3062</v>
      </c>
      <c r="Y91" t="s">
        <v>3085</v>
      </c>
      <c r="Z91">
        <v>0</v>
      </c>
      <c r="AA91">
        <v>0</v>
      </c>
    </row>
    <row r="92" spans="1:27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3067</v>
      </c>
      <c r="Y92" t="s">
        <v>3085</v>
      </c>
      <c r="Z92">
        <v>0</v>
      </c>
      <c r="AA92">
        <v>0</v>
      </c>
    </row>
    <row r="93" spans="1:27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3062</v>
      </c>
      <c r="Y93" t="s">
        <v>426</v>
      </c>
      <c r="AA93">
        <v>5.4</v>
      </c>
    </row>
    <row r="94" spans="1:27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3067</v>
      </c>
      <c r="Y94" t="s">
        <v>426</v>
      </c>
      <c r="AA94">
        <v>5.4</v>
      </c>
    </row>
    <row r="95" spans="1:27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3070</v>
      </c>
      <c r="Y95" t="s">
        <v>3074</v>
      </c>
      <c r="Z95">
        <v>0</v>
      </c>
      <c r="AA95">
        <v>0</v>
      </c>
    </row>
    <row r="96" spans="1:27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3075</v>
      </c>
      <c r="Y96" s="217" t="s">
        <v>2797</v>
      </c>
      <c r="Z96">
        <v>0</v>
      </c>
      <c r="AA96">
        <v>0</v>
      </c>
    </row>
    <row r="97" spans="1:19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>
      <c r="R162" t="str">
        <f ca="1"/>
        <v/>
      </c>
      <c r="S162" t="str">
        <f ca="1"/>
        <v/>
      </c>
    </row>
    <row r="163" spans="1:19">
      <c r="R163" t="str">
        <f ca="1"/>
        <v/>
      </c>
      <c r="S163" t="str">
        <f ca="1"/>
        <v/>
      </c>
    </row>
    <row r="164" spans="1:19">
      <c r="R164" t="str">
        <f ca="1"/>
        <v/>
      </c>
      <c r="S164" t="str">
        <f ca="1"/>
        <v/>
      </c>
    </row>
    <row r="165" spans="1:19">
      <c r="R165" t="str">
        <f ca="1"/>
        <v/>
      </c>
      <c r="S165" t="str">
        <f ca="1"/>
        <v/>
      </c>
    </row>
    <row r="166" spans="1:19">
      <c r="R166" t="str">
        <f ca="1"/>
        <v/>
      </c>
      <c r="S166" t="str">
        <f ca="1"/>
        <v/>
      </c>
    </row>
    <row r="167" spans="1:19">
      <c r="R167" t="str">
        <f ca="1"/>
        <v/>
      </c>
      <c r="S167" t="str">
        <f ca="1"/>
        <v/>
      </c>
    </row>
    <row r="168" spans="1:19">
      <c r="R168" t="str">
        <f ca="1"/>
        <v/>
      </c>
      <c r="S168" t="str">
        <f ca="1"/>
        <v/>
      </c>
    </row>
    <row r="169" spans="1:19">
      <c r="R169" t="str">
        <f ca="1"/>
        <v/>
      </c>
      <c r="S169" t="str">
        <f ca="1"/>
        <v/>
      </c>
    </row>
    <row r="170" spans="1:19">
      <c r="R170" t="str">
        <f ca="1"/>
        <v/>
      </c>
      <c r="S170" t="str">
        <f ca="1"/>
        <v/>
      </c>
    </row>
    <row r="171" spans="1:19">
      <c r="R171" t="str">
        <f ca="1"/>
        <v/>
      </c>
      <c r="S171" t="str">
        <f ca="1"/>
        <v/>
      </c>
    </row>
    <row r="172" spans="1:19">
      <c r="R172" t="str">
        <f ca="1"/>
        <v/>
      </c>
      <c r="S172" t="str">
        <f ca="1"/>
        <v/>
      </c>
    </row>
    <row r="173" spans="1:19">
      <c r="R173" t="str">
        <f ca="1"/>
        <v/>
      </c>
      <c r="S173" t="str">
        <f ca="1"/>
        <v/>
      </c>
    </row>
    <row r="174" spans="1:19">
      <c r="R174" t="str">
        <f ca="1"/>
        <v/>
      </c>
      <c r="S174" t="str">
        <f ca="1"/>
        <v/>
      </c>
    </row>
    <row r="175" spans="1:19">
      <c r="R175" t="str">
        <f ca="1"/>
        <v/>
      </c>
      <c r="S175" t="str">
        <f ca="1"/>
        <v/>
      </c>
    </row>
    <row r="176" spans="1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9" t="s">
        <v>3170</v>
      </c>
      <c r="B1" s="219"/>
      <c r="C1" s="219"/>
      <c r="D1" s="219"/>
      <c r="E1" s="219"/>
      <c r="F1" s="219"/>
      <c r="G1" s="219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20" t="s">
        <v>3171</v>
      </c>
      <c r="B4" s="221"/>
      <c r="D4" s="222" t="s">
        <v>3172</v>
      </c>
      <c r="E4" s="223"/>
      <c r="G4" s="44" t="s">
        <v>3173</v>
      </c>
    </row>
    <row r="5" spans="1:7" ht="54.95" customHeight="1" thickBot="1">
      <c r="A5" s="34">
        <f>COUNTIF('Ações InCompany'!B:B,2026)</f>
        <v>95</v>
      </c>
      <c r="B5" s="35" t="s">
        <v>3174</v>
      </c>
      <c r="D5" s="42">
        <f>COUNTIFS('Ações InCompany'!B:B,2026,'Ações InCompany'!C:C,"Realizado")</f>
        <v>72</v>
      </c>
      <c r="E5" s="43" t="s">
        <v>3174</v>
      </c>
      <c r="G5" s="45">
        <f>COUNTIFS('Ações InCompany'!B:B,2026,'Ações InCompany'!C:C,"A realizar")</f>
        <v>14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8" t="s">
        <v>3175</v>
      </c>
      <c r="B8" s="218"/>
      <c r="D8" s="218" t="s">
        <v>3176</v>
      </c>
      <c r="E8" s="218"/>
    </row>
    <row r="9" spans="1:7" ht="5.0999999999999996" customHeight="1">
      <c r="A9" s="230"/>
      <c r="B9" s="230"/>
      <c r="D9" s="230"/>
      <c r="E9" s="230"/>
    </row>
    <row r="10" spans="1:7" ht="24.95" customHeight="1">
      <c r="A10" s="27" t="s">
        <v>5</v>
      </c>
      <c r="B10" s="27" t="s">
        <v>3177</v>
      </c>
      <c r="D10" s="27" t="s">
        <v>3178</v>
      </c>
      <c r="E10" s="27" t="s">
        <v>3179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27</v>
      </c>
      <c r="D11" s="28" t="s">
        <v>3180</v>
      </c>
      <c r="E11" s="29">
        <f>SUMIFS('Ações InCompany'!O:O,'Ações InCompany'!B:B,2026,'Ações InCompany'!C:C,"Realizado")</f>
        <v>1121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3181</v>
      </c>
      <c r="E12" s="31">
        <f>SUMIFS('Ações InCompany'!P:P,'Ações InCompany'!B:B,2026,'Ações InCompany'!C:C,"Realizado")</f>
        <v>1719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18</v>
      </c>
      <c r="D13" s="28" t="s">
        <v>3182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3183</v>
      </c>
      <c r="B14" s="33">
        <f>SUM(B11:B13)</f>
        <v>72</v>
      </c>
      <c r="D14" s="32" t="s">
        <v>3184</v>
      </c>
      <c r="E14" s="33">
        <f>SUM(E11:E13)</f>
        <v>3647</v>
      </c>
    </row>
    <row r="30" spans="1:5" ht="17.25">
      <c r="A30" s="218" t="s">
        <v>3185</v>
      </c>
      <c r="B30" s="218"/>
      <c r="C30" s="218"/>
      <c r="D30" s="218"/>
      <c r="E30" s="218"/>
    </row>
    <row r="31" spans="1:5" ht="5.0999999999999996" customHeight="1">
      <c r="A31" s="230"/>
      <c r="B31" s="230"/>
      <c r="C31" s="230"/>
      <c r="D31" s="230"/>
      <c r="E31" s="230"/>
    </row>
    <row r="32" spans="1:5" ht="24.95" customHeight="1">
      <c r="A32" s="27" t="s">
        <v>6</v>
      </c>
      <c r="B32" s="27" t="s">
        <v>3186</v>
      </c>
      <c r="C32" s="27" t="s">
        <v>3187</v>
      </c>
      <c r="D32" s="27" t="s">
        <v>3188</v>
      </c>
      <c r="E32" s="27" t="s">
        <v>3189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8</v>
      </c>
      <c r="C37" s="46">
        <f>COUNTIFS('Ações InCompany'!B:B,2026,'Ações InCompany'!C:C,"A realizar",'Ações InCompany'!G:G,A37)</f>
        <v>2</v>
      </c>
      <c r="D37" s="36">
        <f t="shared" si="0"/>
        <v>10</v>
      </c>
      <c r="E37" s="37">
        <f t="shared" si="1"/>
        <v>0.11627906976744186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18</v>
      </c>
      <c r="C38" s="47">
        <f>COUNTIFS('Ações InCompany'!B:B,2026,'Ações InCompany'!C:C,"A realizar",'Ações InCompany'!G:G,A38)</f>
        <v>4</v>
      </c>
      <c r="D38" s="38">
        <f t="shared" si="0"/>
        <v>22</v>
      </c>
      <c r="E38" s="39">
        <f t="shared" si="1"/>
        <v>0.2558139534883721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>
      <c r="A42" s="74" t="s">
        <v>3190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>
      <c r="A44" s="66" t="s">
        <v>3191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3183</v>
      </c>
      <c r="B45" s="40">
        <f>SUM(B33:B44)</f>
        <v>72</v>
      </c>
      <c r="C45" s="40">
        <f>SUM(C33:C44)</f>
        <v>14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>
      <c r="A2" s="11" t="s">
        <v>3197</v>
      </c>
      <c r="B2" s="11" t="s">
        <v>3198</v>
      </c>
      <c r="C2" s="11" t="s">
        <v>1737</v>
      </c>
      <c r="D2" s="11" t="s">
        <v>3199</v>
      </c>
      <c r="E2" s="11" t="s">
        <v>3200</v>
      </c>
    </row>
    <row r="3" spans="1:5" ht="18" customHeight="1">
      <c r="A3" s="11" t="s">
        <v>3197</v>
      </c>
      <c r="B3" s="11" t="s">
        <v>3198</v>
      </c>
      <c r="C3" s="13" t="s">
        <v>26</v>
      </c>
      <c r="D3" s="11" t="s">
        <v>3201</v>
      </c>
      <c r="E3" s="11" t="s">
        <v>3202</v>
      </c>
    </row>
    <row r="4" spans="1:5" ht="18" customHeight="1">
      <c r="A4" s="11" t="s">
        <v>3197</v>
      </c>
      <c r="B4" s="11" t="s">
        <v>3198</v>
      </c>
      <c r="C4" s="11" t="s">
        <v>76</v>
      </c>
      <c r="D4" s="11" t="s">
        <v>3199</v>
      </c>
      <c r="E4" s="11" t="s">
        <v>3203</v>
      </c>
    </row>
    <row r="5" spans="1:5" ht="18" customHeight="1">
      <c r="A5" s="11" t="s">
        <v>3197</v>
      </c>
      <c r="B5" s="11" t="s">
        <v>3198</v>
      </c>
      <c r="C5" s="11" t="s">
        <v>80</v>
      </c>
      <c r="D5" s="11" t="s">
        <v>3204</v>
      </c>
      <c r="E5" s="11" t="s">
        <v>3205</v>
      </c>
    </row>
    <row r="6" spans="1:5" ht="18" customHeight="1">
      <c r="A6" s="11" t="s">
        <v>3197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>
      <c r="A7" s="11" t="s">
        <v>3197</v>
      </c>
      <c r="B7" s="11" t="s">
        <v>3208</v>
      </c>
      <c r="C7" s="11" t="s">
        <v>37</v>
      </c>
      <c r="D7" s="11" t="s">
        <v>3209</v>
      </c>
      <c r="E7" s="11" t="s">
        <v>3210</v>
      </c>
    </row>
    <row r="8" spans="1:5" ht="18" customHeight="1">
      <c r="A8" s="11" t="s">
        <v>3197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>
      <c r="A9" s="11" t="s">
        <v>3197</v>
      </c>
      <c r="B9" s="11" t="s">
        <v>3213</v>
      </c>
      <c r="C9" s="11" t="s">
        <v>465</v>
      </c>
      <c r="D9" s="11" t="s">
        <v>3214</v>
      </c>
      <c r="E9" s="11" t="s">
        <v>3215</v>
      </c>
    </row>
    <row r="10" spans="1:5" ht="18" customHeight="1">
      <c r="A10" s="11" t="s">
        <v>3197</v>
      </c>
      <c r="B10" s="11" t="s">
        <v>3213</v>
      </c>
      <c r="C10" s="11" t="s">
        <v>207</v>
      </c>
      <c r="D10" s="11" t="s">
        <v>25</v>
      </c>
      <c r="E10" s="11" t="s">
        <v>3216</v>
      </c>
    </row>
    <row r="11" spans="1:5" ht="18" customHeight="1">
      <c r="A11" s="11" t="s">
        <v>3197</v>
      </c>
      <c r="B11" s="11" t="s">
        <v>3213</v>
      </c>
      <c r="C11" s="11" t="s">
        <v>372</v>
      </c>
      <c r="D11" s="11" t="s">
        <v>25</v>
      </c>
      <c r="E11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3218</v>
      </c>
      <c r="B1" s="5" t="s">
        <v>10</v>
      </c>
      <c r="C1" s="14" t="s">
        <v>3219</v>
      </c>
      <c r="D1" s="14" t="s">
        <v>3142</v>
      </c>
    </row>
    <row r="2" spans="1:4" ht="21" customHeight="1">
      <c r="A2" s="231" t="s">
        <v>25</v>
      </c>
      <c r="B2" s="231" t="s">
        <v>39</v>
      </c>
      <c r="C2" s="11" t="s">
        <v>3220</v>
      </c>
      <c r="D2" s="11" t="s">
        <v>2949</v>
      </c>
    </row>
    <row r="3" spans="1:4" ht="21" customHeight="1">
      <c r="A3" s="11" t="s">
        <v>70</v>
      </c>
      <c r="B3" s="231" t="s">
        <v>28</v>
      </c>
      <c r="C3" s="11" t="s">
        <v>3221</v>
      </c>
      <c r="D3" s="11" t="s">
        <v>2697</v>
      </c>
    </row>
    <row r="4" spans="1:4" ht="21" customHeight="1">
      <c r="A4" s="13" t="s">
        <v>89</v>
      </c>
      <c r="B4" s="231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3222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3192</v>
      </c>
      <c r="B1" s="11" t="s">
        <v>3193</v>
      </c>
      <c r="C1" s="12" t="s">
        <v>3194</v>
      </c>
      <c r="D1" s="12" t="s">
        <v>3195</v>
      </c>
      <c r="E1" s="12" t="s">
        <v>3196</v>
      </c>
    </row>
    <row r="2" spans="1:5" ht="18" customHeight="1">
      <c r="A2" s="11" t="s">
        <v>3223</v>
      </c>
      <c r="B2" s="11" t="s">
        <v>3198</v>
      </c>
      <c r="C2" s="13" t="s">
        <v>26</v>
      </c>
      <c r="D2" s="11" t="s">
        <v>3199</v>
      </c>
      <c r="E2" s="16" t="s">
        <v>3224</v>
      </c>
    </row>
    <row r="3" spans="1:5" ht="18" customHeight="1">
      <c r="A3" s="11" t="s">
        <v>3223</v>
      </c>
      <c r="B3" s="11" t="s">
        <v>3198</v>
      </c>
      <c r="C3" s="11" t="s">
        <v>76</v>
      </c>
      <c r="D3" s="11" t="s">
        <v>3201</v>
      </c>
      <c r="E3" s="11" t="s">
        <v>3225</v>
      </c>
    </row>
    <row r="4" spans="1:5" ht="18" customHeight="1">
      <c r="A4" s="11" t="s">
        <v>3223</v>
      </c>
      <c r="B4" s="11" t="s">
        <v>3198</v>
      </c>
      <c r="C4" s="11" t="s">
        <v>80</v>
      </c>
      <c r="D4" s="11" t="s">
        <v>3204</v>
      </c>
      <c r="E4" s="11" t="s">
        <v>3226</v>
      </c>
    </row>
    <row r="5" spans="1:5" ht="27.75" customHeight="1">
      <c r="A5" s="11" t="s">
        <v>3223</v>
      </c>
      <c r="B5" s="11" t="s">
        <v>3198</v>
      </c>
      <c r="C5" s="11" t="s">
        <v>2694</v>
      </c>
      <c r="D5" s="16" t="s">
        <v>3227</v>
      </c>
      <c r="E5" s="11" t="s">
        <v>3228</v>
      </c>
    </row>
    <row r="6" spans="1:5" ht="18" customHeight="1">
      <c r="A6" s="11" t="s">
        <v>3223</v>
      </c>
      <c r="B6" s="11" t="s">
        <v>3198</v>
      </c>
      <c r="C6" s="11" t="s">
        <v>2718</v>
      </c>
      <c r="D6" s="11" t="s">
        <v>3206</v>
      </c>
      <c r="E6" s="11" t="s">
        <v>3207</v>
      </c>
    </row>
    <row r="7" spans="1:5" ht="18" customHeight="1">
      <c r="A7" s="11" t="s">
        <v>3223</v>
      </c>
      <c r="B7" s="11" t="s">
        <v>3208</v>
      </c>
      <c r="C7" s="11" t="s">
        <v>2700</v>
      </c>
      <c r="D7" s="11" t="s">
        <v>3229</v>
      </c>
      <c r="E7" s="11" t="s">
        <v>3230</v>
      </c>
    </row>
    <row r="8" spans="1:5" ht="18" customHeight="1">
      <c r="A8" s="11" t="s">
        <v>3223</v>
      </c>
      <c r="B8" s="11" t="s">
        <v>3208</v>
      </c>
      <c r="C8" s="11" t="s">
        <v>43</v>
      </c>
      <c r="D8" s="11" t="s">
        <v>3211</v>
      </c>
      <c r="E8" s="11" t="s">
        <v>3212</v>
      </c>
    </row>
    <row r="9" spans="1:5" ht="18" customHeight="1">
      <c r="A9" s="11" t="s">
        <v>3223</v>
      </c>
      <c r="B9" s="11" t="s">
        <v>3208</v>
      </c>
      <c r="C9" s="11" t="s">
        <v>2795</v>
      </c>
      <c r="D9" s="11" t="s">
        <v>3231</v>
      </c>
      <c r="E9" s="16" t="s">
        <v>3232</v>
      </c>
    </row>
    <row r="10" spans="1:5" ht="18" customHeight="1">
      <c r="A10" s="11" t="s">
        <v>3223</v>
      </c>
      <c r="B10" s="11" t="s">
        <v>3233</v>
      </c>
      <c r="C10" s="11" t="s">
        <v>3190</v>
      </c>
      <c r="D10" s="11" t="s">
        <v>3234</v>
      </c>
      <c r="E10" s="16" t="s">
        <v>3235</v>
      </c>
    </row>
    <row r="11" spans="1:5" ht="18" customHeight="1">
      <c r="A11" s="11" t="s">
        <v>3223</v>
      </c>
      <c r="B11" s="11" t="s">
        <v>3233</v>
      </c>
      <c r="C11" s="11" t="s">
        <v>207</v>
      </c>
      <c r="D11" s="11" t="s">
        <v>25</v>
      </c>
      <c r="E11" s="11" t="s">
        <v>3216</v>
      </c>
    </row>
    <row r="12" spans="1:5" ht="18" customHeight="1">
      <c r="A12" s="11" t="s">
        <v>3223</v>
      </c>
      <c r="B12" s="11" t="s">
        <v>3233</v>
      </c>
      <c r="C12" s="11" t="s">
        <v>372</v>
      </c>
      <c r="D12" s="11" t="s">
        <v>25</v>
      </c>
      <c r="E12" s="11" t="s">
        <v>3217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4" t="s">
        <v>3236</v>
      </c>
      <c r="B1" s="224"/>
      <c r="C1" s="224"/>
      <c r="D1" s="224"/>
      <c r="E1" s="224"/>
      <c r="F1" s="224"/>
      <c r="G1" s="224"/>
      <c r="H1" s="224"/>
    </row>
    <row r="2" spans="1:8">
      <c r="A2" s="48" t="s">
        <v>3237</v>
      </c>
    </row>
    <row r="4" spans="1:8" ht="21.95" customHeight="1">
      <c r="A4" s="225" t="s">
        <v>3238</v>
      </c>
      <c r="B4" s="226"/>
      <c r="D4" s="225" t="s">
        <v>3239</v>
      </c>
      <c r="E4" s="226"/>
      <c r="G4" s="225" t="s">
        <v>3240</v>
      </c>
      <c r="H4" s="226"/>
    </row>
    <row r="5" spans="1:8" ht="35.1" customHeight="1">
      <c r="A5" s="229">
        <f>COUNTIF('Ações InCompany'!E:E,"*maratona*")</f>
        <v>13</v>
      </c>
      <c r="B5" s="228"/>
      <c r="D5" s="227">
        <f>SUM(H8:H100)</f>
        <v>1762</v>
      </c>
      <c r="E5" s="228"/>
      <c r="G5" s="227">
        <f>IFERROR(ROUND(D5/A5,0),"-")</f>
        <v>136</v>
      </c>
      <c r="H5" s="228"/>
    </row>
    <row r="6" spans="1:8" ht="9.9499999999999993" customHeight="1"/>
    <row r="7" spans="1:8" ht="24.95" customHeight="1" thickBot="1">
      <c r="A7" s="61" t="s">
        <v>3241</v>
      </c>
      <c r="B7" s="61" t="s">
        <v>3242</v>
      </c>
      <c r="C7" s="61" t="s">
        <v>1</v>
      </c>
      <c r="D7" s="61" t="s">
        <v>3243</v>
      </c>
      <c r="E7" s="61" t="s">
        <v>3244</v>
      </c>
      <c r="F7" s="61" t="s">
        <v>3142</v>
      </c>
      <c r="G7" s="61" t="s">
        <v>5</v>
      </c>
      <c r="H7" s="61" t="s">
        <v>3245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2" t="s">
        <v>3246</v>
      </c>
      <c r="B1" s="232"/>
      <c r="C1" s="232"/>
      <c r="D1" s="232"/>
      <c r="E1" s="232"/>
      <c r="F1" s="232"/>
    </row>
    <row r="2" spans="1:7">
      <c r="A2" s="233" t="s">
        <v>3247</v>
      </c>
      <c r="B2" s="233"/>
      <c r="C2" s="233"/>
      <c r="D2" s="233"/>
      <c r="E2" s="233"/>
      <c r="F2" s="233"/>
    </row>
    <row r="4" spans="1:7">
      <c r="A4" s="24" t="s">
        <v>19</v>
      </c>
      <c r="B4" s="24" t="s">
        <v>3145</v>
      </c>
      <c r="C4" s="24" t="s">
        <v>3146</v>
      </c>
      <c r="D4" s="24" t="s">
        <v>3248</v>
      </c>
      <c r="E4" s="24" t="s">
        <v>3147</v>
      </c>
      <c r="F4" s="24" t="s">
        <v>3249</v>
      </c>
    </row>
    <row r="5" spans="1:7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3184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4" t="s">
        <v>3250</v>
      </c>
      <c r="B1" s="114" t="s">
        <v>3251</v>
      </c>
      <c r="C1" s="114" t="s">
        <v>3252</v>
      </c>
      <c r="D1" s="114" t="s">
        <v>3253</v>
      </c>
      <c r="E1" s="114" t="s">
        <v>3254</v>
      </c>
      <c r="F1" s="114" t="s">
        <v>3255</v>
      </c>
      <c r="G1" s="114" t="s">
        <v>10</v>
      </c>
      <c r="H1" s="114" t="s">
        <v>3256</v>
      </c>
      <c r="I1" s="114" t="s">
        <v>3257</v>
      </c>
      <c r="J1" s="114" t="s">
        <v>3258</v>
      </c>
      <c r="K1" s="114" t="s">
        <v>3259</v>
      </c>
      <c r="L1" s="114" t="s">
        <v>3260</v>
      </c>
      <c r="N1" s="114" t="s">
        <v>3261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3262</v>
      </c>
      <c r="L2" t="str">
        <f>IF(K2="","",IFERROR(INDEX(Tabela2[Curso],MATCH(K2,Tabela2[ID],0)),""))</f>
        <v/>
      </c>
      <c r="N2" s="114" t="s">
        <v>3141</v>
      </c>
      <c r="O2" s="114" t="s">
        <v>4</v>
      </c>
      <c r="P2" s="114" t="s">
        <v>3263</v>
      </c>
      <c r="Q2" s="114" t="s">
        <v>3264</v>
      </c>
      <c r="R2" s="114" t="s">
        <v>3265</v>
      </c>
      <c r="S2" s="114" t="s">
        <v>3266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3262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3262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3262</v>
      </c>
      <c r="L10" t="str">
        <f>IF(K10="","",IFERROR(INDEX(Tabela2[Curso],MATCH(K10,Tabela2[ID],0)),""))</f>
        <v/>
      </c>
      <c r="N10" s="108" t="s">
        <v>3267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3262</v>
      </c>
      <c r="L11" t="str">
        <f>IF(K11="","",IFERROR(INDEX(Tabela2[Curso],MATCH(K11,Tabela2[ID],0)),""))</f>
        <v/>
      </c>
      <c r="N11" s="206" t="s">
        <v>3268</v>
      </c>
      <c r="O11" s="206" t="s">
        <v>3269</v>
      </c>
      <c r="P11" s="206" t="s">
        <v>3270</v>
      </c>
      <c r="Q11" s="206" t="s">
        <v>3253</v>
      </c>
      <c r="R11" s="206" t="s">
        <v>3254</v>
      </c>
      <c r="S11" s="206" t="s">
        <v>3271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3262</v>
      </c>
      <c r="L12" t="str">
        <f>IF(K12="","",IFERROR(INDEX(Tabela2[Curso],MATCH(K12,Tabela2[ID],0)),""))</f>
        <v/>
      </c>
      <c r="N12" t="s">
        <v>3272</v>
      </c>
      <c r="O12" t="s">
        <v>2754</v>
      </c>
      <c r="P12" t="s">
        <v>3273</v>
      </c>
      <c r="Q12">
        <v>0</v>
      </c>
      <c r="R12">
        <v>0</v>
      </c>
      <c r="S12" t="s">
        <v>3274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3262</v>
      </c>
      <c r="L13" t="str">
        <f>IF(K13="","",IFERROR(INDEX(Tabela2[Curso],MATCH(K13,Tabela2[ID],0)),""))</f>
        <v/>
      </c>
      <c r="N13" t="s">
        <v>3275</v>
      </c>
      <c r="O13" t="s">
        <v>2686</v>
      </c>
      <c r="P13" t="s">
        <v>3276</v>
      </c>
      <c r="Q13">
        <v>0</v>
      </c>
      <c r="R13">
        <v>0</v>
      </c>
      <c r="S13" t="s">
        <v>3277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9330BFA6-792A-4480-8CAB-B243A51B8107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2026-10-27T21:02:49Z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