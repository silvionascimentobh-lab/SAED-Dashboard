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70" documentId="13_ncr:1_{6A2CC3E2-FAFB-4D8F-B284-5E8FB5045DFE}" xr6:coauthVersionLast="47" xr6:coauthVersionMax="47" xr10:uidLastSave="{481045DA-B1B9-490B-A4D0-4DB79FAF7A1E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W6" i="3" s="1" a="1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3" i="3" l="1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l="1" a="1"/>
  <c r="A2" i="20" l="1" a="1"/>
  <c r="A5" i="23" l="1" a="1"/>
  <c r="C58" i="23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E105" i="23"/>
  <c r="F6" i="23" l="1"/>
  <c r="F50" i="23"/>
  <c r="F39" i="23"/>
  <c r="E22" i="23"/>
  <c r="B36" i="23"/>
  <c r="C26" i="23"/>
  <c r="C25" i="23"/>
  <c r="D52" i="23"/>
  <c r="C35" i="23"/>
  <c r="E41" i="23"/>
  <c r="F10" i="23"/>
  <c r="E15" i="23"/>
  <c r="D44" i="23"/>
  <c r="E29" i="23"/>
  <c r="E38" i="23"/>
  <c r="C8" i="23"/>
  <c r="D29" i="23"/>
  <c r="B20" i="23"/>
  <c r="E10" i="23"/>
  <c r="E32" i="23"/>
  <c r="D31" i="23"/>
  <c r="E26" i="23"/>
  <c r="D26" i="23"/>
  <c r="B6" i="23"/>
  <c r="C6" i="23"/>
  <c r="E43" i="23"/>
  <c r="B21" i="23"/>
  <c r="B41" i="23"/>
  <c r="D6" i="23"/>
  <c r="C20" i="23"/>
  <c r="D35" i="23"/>
  <c r="E19" i="23"/>
  <c r="F32" i="23"/>
  <c r="C44" i="23"/>
  <c r="E55" i="23"/>
  <c r="B38" i="23"/>
  <c r="C15" i="23"/>
  <c r="C36" i="23"/>
  <c r="F25" i="23"/>
  <c r="F14" i="23"/>
  <c r="E6" i="23"/>
  <c r="F44" i="23"/>
  <c r="D14" i="23"/>
  <c r="F17" i="23"/>
  <c r="C33" i="23"/>
  <c r="E21" i="23"/>
  <c r="C47" i="23"/>
  <c r="B54" i="23"/>
  <c r="D7" i="23"/>
  <c r="B12" i="23"/>
  <c r="B37" i="23"/>
  <c r="D41" i="23"/>
  <c r="B47" i="23"/>
  <c r="D37" i="23"/>
  <c r="D46" i="23"/>
  <c r="D43" i="23"/>
  <c r="F47" i="23"/>
  <c r="C12" i="23"/>
  <c r="E28" i="23"/>
  <c r="C45" i="23"/>
  <c r="C46" i="23"/>
  <c r="D10" i="23"/>
  <c r="C9" i="23"/>
  <c r="C53" i="23"/>
  <c r="F45" i="23"/>
  <c r="F34" i="23"/>
  <c r="D39" i="23"/>
  <c r="F33" i="23"/>
  <c r="B50" i="23"/>
  <c r="D17" i="23"/>
  <c r="C10" i="23"/>
  <c r="F16" i="23"/>
  <c r="F22" i="23"/>
  <c r="E40" i="23"/>
  <c r="B30" i="23"/>
  <c r="E13" i="23"/>
  <c r="E24" i="23"/>
  <c r="F38" i="23"/>
  <c r="F13" i="23"/>
  <c r="E33" i="23"/>
  <c r="B18" i="23"/>
  <c r="F23" i="23"/>
  <c r="E36" i="23"/>
  <c r="E48" i="23"/>
  <c r="C54" i="23"/>
  <c r="F42" i="23"/>
  <c r="D22" i="23"/>
  <c r="B51" i="23"/>
  <c r="C23" i="23"/>
  <c r="D32" i="23"/>
  <c r="E31" i="23"/>
  <c r="B27" i="23"/>
  <c r="D54" i="23"/>
  <c r="F51" i="23"/>
  <c r="F37" i="23"/>
  <c r="B49" i="23"/>
  <c r="F53" i="23"/>
  <c r="D38" i="23"/>
  <c r="E8" i="23"/>
  <c r="D47" i="23"/>
  <c r="C30" i="23"/>
  <c r="C42" i="23"/>
  <c r="F19" i="23"/>
  <c r="D27" i="23"/>
  <c r="F30" i="23"/>
  <c r="B55" i="23"/>
  <c r="C43" i="23"/>
  <c r="B23" i="23"/>
  <c r="E18" i="23"/>
  <c r="D8" i="23"/>
  <c r="B26" i="23"/>
  <c r="E49" i="23"/>
  <c r="C50" i="23"/>
  <c r="D28" i="23"/>
  <c r="B10" i="23"/>
  <c r="B44" i="23"/>
  <c r="D12" i="23"/>
  <c r="E52" i="23"/>
  <c r="B8" i="23"/>
  <c r="B42" i="23"/>
  <c r="D23" i="23"/>
  <c r="D34" i="23"/>
  <c r="D18" i="23"/>
  <c r="D20" i="23"/>
  <c r="B35" i="23"/>
  <c r="F35" i="23"/>
  <c r="D19" i="23"/>
  <c r="D48" i="23"/>
  <c r="C29" i="23"/>
  <c r="E35" i="23"/>
  <c r="F28" i="23"/>
  <c r="C17" i="23"/>
  <c r="E51" i="23"/>
  <c r="E46" i="23"/>
  <c r="B9" i="23"/>
  <c r="D21" i="23"/>
  <c r="C34" i="23"/>
  <c r="E7" i="23"/>
  <c r="C27" i="23"/>
  <c r="C18" i="23"/>
  <c r="C7" i="23"/>
  <c r="D33" i="23"/>
  <c r="B28" i="23"/>
  <c r="F24" i="23"/>
  <c r="E11" i="23"/>
  <c r="B16" i="23"/>
  <c r="F8" i="23"/>
  <c r="B24" i="23"/>
  <c r="E30" i="23"/>
  <c r="B15" i="23"/>
  <c r="D36" i="23"/>
  <c r="B43" i="23"/>
  <c r="C37" i="23"/>
  <c r="D40" i="23"/>
  <c r="E50" i="23"/>
  <c r="F26" i="23"/>
  <c r="C16" i="23"/>
  <c r="C38" i="23"/>
  <c r="F18" i="23"/>
  <c r="D11" i="23"/>
  <c r="E37" i="23"/>
  <c r="C41" i="23"/>
  <c r="D50" i="23"/>
  <c r="B32" i="23"/>
  <c r="B14" i="23"/>
  <c r="D51" i="23"/>
  <c r="B25" i="23"/>
  <c r="D30" i="23"/>
  <c r="C13" i="23"/>
  <c r="E20" i="23"/>
  <c r="B22" i="23"/>
  <c r="B39" i="23"/>
  <c r="E12" i="23"/>
  <c r="B33" i="23"/>
  <c r="B11" i="23"/>
  <c r="E54" i="23"/>
  <c r="C21" i="23"/>
  <c r="C11" i="23"/>
  <c r="E34" i="23"/>
  <c r="C22" i="23"/>
  <c r="F40" i="23"/>
  <c r="C32" i="23"/>
  <c r="B53" i="23"/>
  <c r="E45" i="23"/>
  <c r="E23" i="23"/>
  <c r="F49" i="23"/>
  <c r="D55" i="23"/>
  <c r="B40" i="23"/>
  <c r="F12" i="23"/>
  <c r="D9" i="23"/>
  <c r="F55" i="23"/>
  <c r="F46" i="23"/>
  <c r="F21" i="23"/>
  <c r="F15" i="23"/>
  <c r="F31" i="23"/>
  <c r="B7" i="23"/>
  <c r="E27" i="23"/>
  <c r="E17" i="23"/>
  <c r="C31" i="23"/>
  <c r="F11" i="23"/>
  <c r="C19" i="23"/>
  <c r="C39" i="23"/>
  <c r="F7" i="23"/>
  <c r="C40" i="23"/>
  <c r="D16" i="23"/>
  <c r="C49" i="23"/>
  <c r="F43" i="23"/>
  <c r="C52" i="23"/>
  <c r="F9" i="23"/>
  <c r="B13" i="23"/>
  <c r="D13" i="23"/>
  <c r="F27" i="23"/>
  <c r="C14" i="23"/>
  <c r="C51" i="23"/>
  <c r="C48" i="23"/>
  <c r="B46" i="23"/>
  <c r="B52" i="23"/>
  <c r="E44" i="23"/>
  <c r="E9" i="23"/>
  <c r="F36" i="23"/>
  <c r="B34" i="23"/>
  <c r="B31" i="23"/>
  <c r="E14" i="23"/>
  <c r="D42" i="23"/>
  <c r="D25" i="23"/>
  <c r="E39" i="23"/>
  <c r="C28" i="23"/>
  <c r="D49" i="23"/>
  <c r="B48" i="23"/>
  <c r="F29" i="23"/>
  <c r="E25" i="23"/>
  <c r="F54" i="23"/>
  <c r="D45" i="23"/>
  <c r="B19" i="23"/>
  <c r="E53" i="23"/>
  <c r="D24" i="23"/>
  <c r="D53" i="23"/>
  <c r="E16" i="23"/>
  <c r="F41" i="23"/>
  <c r="B17" i="23"/>
  <c r="C24" i="23"/>
  <c r="E42" i="23"/>
  <c r="E47" i="23"/>
  <c r="C55" i="23"/>
  <c r="F20" i="23"/>
  <c r="B29" i="23"/>
  <c r="B45" i="23"/>
  <c r="D15" i="23"/>
  <c r="F48" i="23"/>
  <c r="F52" i="23"/>
  <c r="C5" i="23"/>
  <c r="B5" i="23"/>
  <c r="F5" i="23"/>
  <c r="E5" i="23"/>
  <c r="D5" i="23"/>
  <c r="G5" i="23"/>
  <c r="F105" i="23" l="1"/>
  <c r="B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<sst xmlns="http://schemas.openxmlformats.org/spreadsheetml/2006/main" count="7241" uniqueCount="3185">
  <si>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</si>
  <si>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</si>
  <si>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</si>
  <si>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</si>
  <si>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</si>
  <si>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</si>
  <si>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</si>
  <si>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</si>
  <si>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</si>
  <si>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</si>
  <si>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</si>
  <si>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</si>
  <si>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</si>
  <si>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</si>
  <si>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</si>
  <si>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</si>
  <si>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</si>
  <si>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</si>
  <si>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</si>
  <si>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</si>
  <si>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</si>
  <si>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</si>
  <si>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</si>
  <si>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</si>
  <si>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</si>
  <si>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</si>
  <si>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</si>
  <si>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</si>
  <si>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</si>
  <si>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</si>
  <si>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</si>
  <si>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</si>
  <si>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</si>
  <si>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</si>
  <si>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</si>
  <si>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</si>
  <si>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</si>
  <si>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</si>
  <si>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</si>
  <si>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</si>
  <si>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</si>
  <si>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</si>
  <si>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</si>
  <si>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</si>
  <si>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</si>
  <si>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</si>
  <si>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</si>
  <si>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</si>
  <si>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</si>
  <si>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</si>
  <si>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</si>
  <si>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</si>
  <si>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</si>
  <si>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</si>
  <si>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</si>
  <si>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</si>
  <si>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</si>
  <si>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</si>
  <si>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</si>
  <si>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</si>
  <si>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</si>
  <si>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</si>
  <si>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</si>
  <si>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</si>
  <si>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</si>
  <si>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</si>
  <si>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</si>
  <si>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</si>
  <si>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</si>
  <si>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</si>
  <si>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</si>
  <si>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</si>
  <si>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</si>
  <si>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</si>
  <si>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</si>
  <si>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</si>
  <si>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</si>
  <si>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</si>
  <si>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</si>
  <si>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</si>
  <si>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</si>
  <si>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</si>
  <si>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</si>
  <si>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</si>
  <si>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</si>
  <si>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</si>
  <si>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</si>
  <si>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</si>
  <si>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</si>
  <si>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</si>
  <si>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</si>
  <si>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</si>
  <si>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</si>
  <si>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</si>
  <si>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</si>
  <si>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</si>
  <si>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</si>
  <si>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</si>
  <si>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</si>
  <si>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</si>
  <si>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</si>
  <si>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</si>
  <si>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</si>
  <si>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</si>
  <si>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</si>
  <si>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</si>
  <si>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</si>
  <si>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</si>
  <si>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</si>
  <si>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</si>
  <si>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</si>
  <si>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</si>
  <si>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</si>
  <si>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</si>
  <si>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</si>
  <si>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</si>
  <si>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</si>
  <si>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</si>
  <si>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</si>
  <si>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</si>
  <si>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</si>
  <si>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</si>
  <si>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</si>
  <si>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</si>
  <si>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</si>
  <si>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</si>
  <si>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</si>
  <si>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</si>
  <si>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</si>
  <si>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</si>
  <si>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</si>
  <si>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</si>
  <si>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</si>
  <si>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</si>
  <si>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</si>
  <si>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</si>
  <si>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</si>
  <si>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</si>
  <si>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</si>
  <si>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</si>
  <si>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</si>
  <si>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</si>
  <si>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</si>
  <si>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</si>
  <si>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</si>
  <si>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</si>
  <si>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</si>
  <si>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</si>
  <si>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</si>
  <si>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</si>
  <si>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</si>
  <si>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</si>
  <si>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</si>
  <si>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</si>
  <si>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</si>
  <si>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</si>
  <si>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</si>
  <si>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</si>
  <si>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</si>
  <si>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</si>
  <si>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</si>
  <si>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</si>
  <si>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</si>
  <si>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</si>
  <si>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</si>
  <si>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</si>
  <si>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</si>
  <si>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</si>
  <si>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</si>
  <si>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</si>
  <si>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</si>
  <si>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</si>
  <si>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</si>
  <si>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</si>
  <si>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</si>
  <si>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</si>
  <si>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</si>
  <si>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</si>
  <si>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</si>
  <si>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</si>
  <si>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</si>
  <si>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</si>
  <si>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</si>
  <si>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</si>
  <si>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</si>
  <si>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</si>
  <si>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</si>
  <si>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</si>
  <si>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</si>
  <si>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</si>
  <si>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</si>
  <si>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</si>
  <si>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</si>
  <si>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</si>
  <si>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</si>
  <si>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</si>
  <si>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</si>
  <si>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</si>
  <si>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</si>
  <si>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</si>
  <si>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</si>
  <si>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</si>
  <si>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</si>
  <si>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</si>
  <si>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</si>
  <si>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</si>
  <si>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</si>
  <si>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</si>
  <si>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</si>
  <si>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</si>
  <si>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</si>
  <si>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</si>
  <si>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</si>
  <si>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</si>
  <si>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</si>
  <si>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</si>
  <si>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</si>
  <si>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</si>
  <si>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</si>
  <si>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</si>
  <si>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</si>
  <si>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</si>
  <si>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</si>
  <si>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</si>
  <si>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</si>
  <si>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</si>
  <si>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</si>
  <si>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</si>
  <si>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</si>
  <si>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</si>
  <si>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</si>
  <si>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</si>
  <si>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</si>
  <si>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</si>
  <si>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</si>
  <si>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</si>
  <si>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</si>
  <si>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</si>
  <si>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</si>
  <si>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</si>
  <si>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</si>
  <si>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</si>
  <si>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</si>
  <si>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</si>
  <si>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</si>
  <si>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</si>
  <si>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</si>
  <si>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</si>
  <si>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</si>
  <si>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</si>
  <si>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</si>
  <si>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</si>
  <si>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</si>
  <si>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</si>
  <si>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</si>
  <si>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</si>
  <si>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</si>
  <si>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</si>
  <si>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</si>
  <si>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</si>
  <si>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</si>
  <si>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</si>
  <si>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</si>
  <si>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</si>
  <si>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</si>
  <si>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</si>
  <si>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</si>
  <si>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</si>
  <si>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</si>
  <si>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</si>
  <si>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</si>
  <si>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</si>
  <si>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</si>
  <si>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</si>
  <si>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</si>
  <si>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</si>
  <si>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</si>
  <si>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</si>
  <si>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</si>
  <si>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</si>
  <si>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</si>
  <si>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</si>
  <si>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</si>
  <si>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</si>
  <si>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</si>
  <si>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</si>
  <si>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</si>
  <si>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</si>
  <si>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</si>
  <si>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</si>
  <si>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</si>
  <si>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</si>
  <si>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</si>
  <si>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</si>
  <si>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</si>
  <si>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</si>
  <si>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</si>
  <si>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</si>
  <si>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</si>
  <si>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</si>
  <si>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</si>
  <si>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</si>
  <si>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</si>
  <si>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</si>
  <si>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</si>
  <si>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</si>
  <si>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</si>
  <si>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</si>
  <si>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</si>
  <si>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</si>
  <si>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</si>
  <si>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</si>
  <si>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</si>
  <si>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</si>
  <si>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</si>
  <si>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</si>
  <si>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</si>
  <si>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</si>
  <si>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</si>
  <si>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</si>
  <si>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</si>
  <si>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</si>
  <si>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</si>
  <si>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</si>
  <si>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</si>
  <si>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</si>
  <si>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</si>
  <si>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</si>
  <si>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</si>
  <si>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</si>
  <si>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</si>
  <si>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</si>
  <si>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</si>
  <si>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</si>
  <si>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</si>
  <si>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</si>
  <si>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</si>
  <si>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</si>
  <si>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</si>
  <si>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</si>
  <si>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</si>
  <si>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</si>
  <si>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</si>
  <si>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</si>
  <si>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</si>
  <si>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</si>
  <si>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</si>
  <si>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</si>
  <si>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</si>
  <si>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</si>
  <si>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</si>
  <si>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</si>
  <si>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</si>
  <si>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</si>
  <si>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</si>
  <si>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</si>
  <si>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</si>
  <si>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</si>
  <si>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</si>
  <si>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</si>
  <si>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</si>
  <si>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</si>
  <si>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</si>
  <si>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</si>
  <si>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</si>
  <si>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</si>
  <si>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</si>
  <si>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</si>
  <si>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</si>
  <si>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</si>
  <si>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</si>
  <si>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</si>
  <si>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</si>
  <si>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</si>
  <si>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</si>
  <si>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</si>
  <si>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</si>
  <si>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</si>
  <si>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</si>
  <si>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</si>
  <si>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</si>
  <si>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</si>
  <si>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</si>
  <si>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</si>
  <si>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</si>
  <si>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</si>
  <si>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</si>
  <si>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</si>
  <si>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</si>
  <si>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</si>
  <si>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</si>
  <si>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</si>
  <si>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</si>
  <si>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</si>
  <si>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</si>
  <si>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</si>
  <si>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</si>
  <si>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</si>
  <si>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</si>
  <si>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</si>
  <si>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</si>
  <si>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</si>
  <si>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</si>
  <si>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</si>
  <si>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</si>
  <si>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</si>
  <si>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</si>
  <si>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</si>
  <si>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</si>
  <si>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</si>
  <si>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</si>
  <si>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</si>
  <si>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</si>
  <si>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</si>
  <si>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</si>
  <si>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</si>
  <si>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</si>
  <si>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</si>
  <si>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</si>
  <si>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</si>
  <si>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</si>
  <si>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</si>
  <si>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</si>
  <si>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</si>
  <si>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</si>
  <si>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</si>
  <si>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</si>
  <si>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</si>
  <si>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</si>
  <si>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</si>
  <si>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</si>
  <si>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</si>
  <si>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</si>
  <si>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</si>
  <si>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</si>
  <si>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</si>
  <si>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</si>
  <si>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</si>
  <si>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</si>
  <si>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</si>
  <si>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</si>
  <si>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</si>
  <si>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</si>
  <si>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</si>
  <si>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</si>
  <si>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</si>
  <si>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</si>
  <si>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</si>
  <si>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</si>
  <si>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</si>
  <si>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</si>
  <si>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</si>
  <si>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</si>
  <si>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</si>
  <si>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</si>
  <si>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</si>
  <si>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</si>
  <si>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</si>
  <si>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</si>
  <si>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</si>
  <si>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</si>
  <si>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</si>
  <si>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</si>
  <si>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</si>
  <si>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</si>
  <si>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</si>
  <si>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</si>
  <si>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</si>
  <si>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</si>
  <si>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</si>
  <si>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</si>
  <si>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</si>
  <si>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</si>
  <si>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</si>
  <si>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</si>
  <si>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</si>
  <si>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</si>
  <si>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</si>
  <si>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</si>
  <si>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</si>
  <si>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</si>
  <si>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</si>
  <si>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</si>
  <si>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</si>
  <si>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</si>
  <si>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</si>
  <si>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</si>
  <si>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</si>
  <si>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</si>
  <si>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</si>
  <si>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</si>
  <si>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</si>
  <si>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</si>
  <si>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</si>
  <si>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</si>
  <si>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</si>
  <si>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</si>
  <si>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</si>
  <si>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</si>
  <si>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</si>
  <si>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</si>
  <si>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</si>
  <si>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</si>
  <si>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</si>
  <si>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</si>
  <si>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</si>
  <si>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</si>
  <si>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</si>
  <si>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</si>
  <si>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</si>
  <si>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</si>
  <si>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</si>
  <si>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</si>
  <si>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</si>
  <si>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</si>
  <si>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</si>
  <si>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</si>
  <si>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</si>
  <si>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</si>
  <si>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</si>
  <si>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</si>
  <si>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</si>
  <si>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</si>
  <si>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</si>
  <si>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</si>
  <si>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</si>
  <si>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</si>
  <si>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</si>
  <si>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</si>
  <si>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</si>
  <si>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</si>
  <si>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</si>
  <si>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</si>
  <si>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</si>
  <si>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</si>
  <si>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</si>
  <si>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</si>
  <si>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</si>
  <si>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</si>
  <si>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</si>
  <si>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</si>
  <si>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</si>
  <si>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</si>
  <si>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</si>
  <si>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</si>
  <si>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</si>
  <si>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</si>
  <si>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</si>
  <si>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</si>
  <si>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</si>
  <si>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</si>
  <si>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</si>
  <si>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</si>
  <si>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</si>
  <si>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</si>
  <si>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</si>
  <si>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</si>
  <si>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</si>
  <si>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</si>
  <si>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</si>
  <si>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</si>
  <si>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</si>
  <si>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</si>
  <si>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</si>
  <si>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</si>
  <si>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</si>
  <si>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</si>
  <si>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</si>
  <si>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</si>
  <si>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</si>
  <si>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</si>
  <si>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</si>
  <si>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</si>
  <si>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</si>
  <si>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</si>
  <si>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</si>
  <si>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</si>
  <si>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</si>
  <si>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</si>
  <si>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</si>
  <si>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</si>
  <si>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</si>
  <si>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</si>
  <si>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</si>
  <si>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</si>
  <si>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</si>
  <si>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</si>
  <si>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</si>
  <si>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</si>
  <si>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</si>
  <si>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</si>
  <si>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</si>
  <si>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</si>
  <si>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</si>
  <si>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</si>
  <si>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</si>
  <si>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</si>
  <si>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</si>
  <si>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</si>
  <si>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</si>
  <si>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</si>
  <si>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</si>
  <si>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</si>
  <si>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</si>
  <si>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</si>
  <si>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</si>
  <si>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</si>
  <si>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</si>
  <si>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</si>
  <si>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</si>
  <si>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</si>
  <si>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</si>
  <si>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</si>
  <si>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</si>
  <si>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</si>
  <si>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</si>
  <si>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</si>
  <si>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</si>
  <si>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</si>
  <si>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</si>
  <si>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</si>
  <si>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</si>
  <si>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</si>
  <si>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</si>
  <si>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</si>
  <si>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</si>
  <si>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</si>
  <si>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</si>
  <si>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</si>
  <si>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</si>
  <si>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</si>
  <si>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</si>
  <si>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</si>
  <si>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</si>
  <si>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</si>
  <si>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</si>
  <si>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</si>
  <si>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</si>
  <si>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</si>
  <si>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</si>
  <si>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</si>
  <si>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</si>
  <si>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</si>
  <si>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</si>
  <si>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</si>
  <si>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</si>
  <si>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</si>
  <si>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</si>
  <si>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</si>
  <si>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</si>
  <si>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</si>
  <si>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</si>
  <si>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</si>
  <si>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</si>
  <si>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</si>
  <si>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</si>
  <si>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</si>
  <si>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</si>
  <si>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</si>
  <si>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</si>
  <si>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</si>
  <si>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</si>
  <si>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</si>
  <si>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</si>
  <si>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</si>
  <si>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</si>
  <si>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</si>
  <si>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</si>
  <si>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</si>
  <si>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</si>
  <si>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</si>
  <si>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</si>
  <si>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</si>
  <si>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</si>
  <si>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</si>
  <si>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</si>
  <si>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</si>
  <si>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</si>
  <si>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</si>
  <si>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</si>
  <si>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</si>
  <si>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</si>
  <si>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</si>
  <si>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</si>
  <si>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</si>
  <si>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</si>
  <si>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</si>
  <si>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</si>
  <si>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</si>
  <si>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</si>
  <si>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</si>
  <si>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</si>
  <si>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</si>
  <si>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</si>
  <si>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</si>
  <si>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</si>
  <si>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</si>
  <si>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</si>
  <si>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</si>
  <si>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</si>
  <si>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</si>
  <si>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</si>
  <si>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</si>
  <si>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</si>
  <si>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</si>
  <si>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</si>
  <si>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</si>
  <si>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</si>
  <si>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</si>
  <si>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</si>
  <si>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</si>
  <si>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</si>
  <si>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</si>
  <si>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</si>
  <si>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</si>
  <si>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</si>
  <si>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</si>
  <si>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</si>
  <si>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</si>
  <si>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</si>
  <si>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</si>
  <si>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</si>
  <si>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</si>
  <si>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</si>
  <si>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</si>
  <si>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</si>
  <si>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</si>
  <si>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</si>
  <si>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</si>
  <si>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</si>
  <si>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</si>
  <si>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</si>
  <si>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</si>
  <si>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</si>
  <si>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</si>
  <si>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</si>
  <si>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</si>
  <si>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</si>
  <si>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</si>
  <si>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</si>
  <si>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</si>
  <si>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</si>
  <si>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</si>
  <si>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</si>
  <si>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</si>
  <si>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</si>
  <si>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</si>
  <si>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</si>
  <si>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</si>
  <si>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</si>
  <si>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</si>
  <si>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</si>
  <si>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</si>
  <si>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</si>
  <si>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</si>
  <si>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</si>
  <si>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</si>
  <si>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</si>
  <si>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</si>
  <si>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</si>
  <si>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</si>
  <si>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</si>
  <si>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</si>
  <si>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</si>
  <si>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</si>
  <si>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</si>
  <si>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</si>
  <si>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</si>
  <si>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</si>
  <si>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</si>
  <si>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</si>
  <si>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</si>
  <si>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</si>
  <si>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</si>
  <si>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</si>
  <si>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</si>
  <si>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</si>
  <si>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</si>
  <si>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</si>
  <si>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</si>
  <si>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</si>
  <si>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</si>
  <si>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</si>
  <si>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</si>
  <si>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</si>
  <si>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</si>
  <si>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</si>
  <si>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</si>
  <si>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</si>
  <si>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</si>
  <si>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</si>
  <si>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</si>
  <si>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</si>
  <si>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</si>
  <si>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</si>
  <si>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</si>
  <si>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</si>
  <si>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</si>
  <si>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</si>
  <si>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</si>
  <si>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</si>
  <si>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</si>
  <si>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</si>
  <si>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</si>
  <si>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</si>
  <si>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</si>
  <si>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</si>
  <si>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</si>
  <si>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</si>
  <si>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</si>
  <si>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</si>
  <si>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</si>
  <si>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</si>
  <si>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</si>
  <si>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</si>
  <si>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</si>
  <si>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</si>
  <si>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</si>
  <si>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</si>
  <si>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</si>
  <si>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</si>
  <si>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</si>
  <si>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</si>
  <si>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</si>
  <si>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</si>
  <si>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</si>
  <si>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</si>
  <si>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</si>
  <si>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</si>
  <si>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</si>
  <si>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</si>
  <si>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</si>
  <si>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</si>
  <si>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</si>
  <si>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</si>
  <si>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</si>
  <si>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</si>
  <si>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</si>
  <si>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</si>
  <si>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</si>
  <si>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</si>
  <si>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</si>
  <si>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</si>
  <si>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</si>
  <si>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</si>
  <si>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</si>
  <si>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</si>
  <si>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</si>
  <si>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</si>
  <si>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</si>
  <si>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</si>
  <si>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</si>
  <si>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</si>
  <si>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</si>
  <si>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</si>
  <si>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</si>
  <si>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</si>
  <si>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</si>
  <si>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</si>
  <si>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</si>
  <si>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</si>
  <si>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</si>
  <si>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</si>
  <si>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</si>
  <si>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</si>
  <si>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</si>
  <si>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</si>
  <si>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</si>
  <si>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</si>
  <si>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</si>
  <si>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</si>
  <si>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</si>
  <si>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</si>
  <si>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</si>
  <si>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</si>
  <si>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</si>
  <si>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</si>
  <si>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</si>
  <si>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</si>
  <si>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</si>
  <si>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</si>
  <si>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</si>
  <si>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</si>
  <si>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</si>
  <si>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</si>
  <si>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</si>
  <si>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</si>
  <si>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</si>
  <si>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</si>
  <si>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</si>
  <si>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</si>
  <si>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</si>
  <si>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</si>
  <si>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</si>
  <si>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</si>
  <si>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</si>
  <si>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</si>
  <si>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</si>
  <si>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</si>
  <si>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</si>
  <si>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</si>
  <si>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</si>
  <si>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</si>
  <si>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</si>
  <si>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</si>
  <si>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</si>
  <si>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</si>
  <si>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</si>
  <si>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</si>
  <si>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</si>
  <si>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</si>
  <si>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</si>
  <si>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</si>
  <si>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</si>
  <si>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</si>
  <si>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</si>
  <si>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</si>
  <si>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</si>
  <si>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</si>
  <si>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</si>
  <si>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</si>
  <si>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</si>
  <si>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</si>
  <si>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</si>
  <si>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</si>
  <si>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</si>
  <si>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</si>
  <si>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</si>
  <si>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</si>
  <si>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</si>
  <si>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</si>
  <si>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</si>
  <si>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</si>
  <si>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</si>
  <si>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</si>
  <si>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</si>
  <si>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</si>
  <si>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</si>
  <si>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</si>
  <si>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</si>
  <si>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</si>
  <si>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</si>
  <si>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</si>
  <si>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</si>
  <si>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</si>
  <si>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</si>
  <si>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</si>
  <si>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</si>
  <si>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</si>
  <si>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</si>
  <si>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</si>
  <si>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</si>
  <si>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</si>
  <si>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</si>
  <si>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</si>
  <si>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</si>
  <si>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</si>
  <si>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</si>
  <si>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</si>
  <si>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</si>
  <si>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</si>
  <si>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</si>
  <si>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</si>
  <si>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</si>
  <si>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</si>
  <si>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</si>
  <si>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</si>
  <si>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</si>
  <si>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</si>
  <si>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</si>
  <si>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</si>
  <si>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</si>
  <si>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</si>
  <si>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</si>
  <si>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</si>
  <si>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</si>
  <si>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</si>
  <si>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</si>
  <si>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</si>
  <si>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</si>
  <si>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</si>
  <si>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</si>
  <si>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</si>
  <si>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</si>
  <si>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</si>
  <si>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</si>
  <si>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</si>
  <si>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</si>
  <si>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</si>
  <si>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</si>
  <si>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</si>
  <si>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</si>
  <si>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</si>
  <si>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</si>
  <si>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</si>
  <si>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</si>
  <si>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</si>
  <si>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</si>
  <si>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</si>
  <si>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</si>
  <si>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</si>
  <si>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</si>
  <si>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</si>
  <si>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</si>
  <si>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</si>
  <si>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</si>
  <si>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</si>
  <si>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</si>
  <si>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</si>
  <si>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</si>
  <si>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</si>
  <si>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</si>
  <si>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</si>
  <si>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</si>
  <si>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</si>
  <si>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</si>
  <si>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</si>
  <si>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</si>
  <si>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</si>
  <si>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</si>
  <si>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</si>
  <si>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</si>
  <si>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</si>
  <si>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</si>
  <si>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</si>
  <si>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</si>
  <si>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</si>
  <si>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</si>
  <si>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</si>
  <si>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</si>
  <si>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</si>
  <si>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</si>
  <si>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</si>
  <si>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</si>
  <si>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</si>
  <si>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</si>
  <si>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</si>
  <si>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</si>
  <si>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</si>
  <si>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</si>
  <si>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</si>
  <si>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</si>
  <si>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</si>
  <si>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</si>
  <si>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</si>
  <si>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</si>
  <si>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</si>
  <si>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</si>
  <si>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</si>
  <si>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</si>
  <si>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</si>
  <si>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</si>
  <si>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</si>
  <si>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</si>
  <si>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</si>
  <si>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</si>
  <si>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</si>
  <si>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</si>
  <si>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</si>
  <si>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</si>
  <si>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</si>
  <si>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</si>
  <si>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</si>
  <si>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</si>
  <si>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</si>
  <si>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</si>
  <si>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</si>
  <si>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</si>
  <si>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</si>
  <si>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</si>
  <si>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</si>
  <si>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</si>
  <si>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</si>
  <si>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</si>
  <si>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</si>
  <si>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</si>
  <si>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</si>
  <si>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</si>
  <si>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</si>
  <si>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</si>
  <si>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</si>
  <si>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</si>
  <si>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</si>
  <si>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</si>
  <si>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</si>
  <si>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</si>
  <si>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</si>
  <si>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</si>
  <si>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</si>
  <si>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</si>
  <si>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</si>
  <si>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</si>
  <si>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</si>
  <si>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</si>
  <si>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</si>
  <si>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</si>
  <si>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</si>
  <si>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</si>
  <si>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</si>
  <si>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</si>
  <si>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</si>
  <si>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</si>
  <si>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</si>
  <si>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</si>
  <si>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</si>
  <si>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</si>
  <si>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</si>
  <si>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</si>
  <si>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</si>
  <si>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</si>
  <si>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</si>
  <si>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</si>
  <si>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</si>
  <si>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</si>
  <si>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</si>
  <si>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</si>
  <si>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</si>
  <si>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</si>
  <si>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</si>
  <si>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</si>
  <si>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</si>
  <si>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</si>
  <si>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</si>
  <si>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</si>
  <si>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</si>
  <si>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</si>
  <si>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</si>
  <si>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</si>
  <si>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</si>
  <si>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</si>
  <si>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</si>
  <si>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</si>
  <si>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</si>
  <si>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</si>
  <si>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</si>
  <si>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</si>
  <si>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</si>
  <si>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</si>
  <si>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</si>
  <si>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</si>
  <si>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</si>
  <si>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</si>
  <si>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</si>
  <si>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</si>
  <si>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</si>
  <si>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</si>
  <si>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</si>
  <si>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</si>
  <si>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</si>
  <si>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</si>
  <si>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</si>
  <si>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</si>
  <si>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</si>
  <si>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</si>
  <si>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</si>
  <si>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</si>
  <si>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</si>
  <si>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</si>
  <si>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</si>
  <si>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</si>
  <si>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</si>
  <si>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</si>
  <si>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</si>
  <si>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</si>
  <si>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</si>
  <si>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</si>
  <si>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</si>
  <si>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</si>
  <si>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</si>
  <si>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</si>
  <si>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</si>
  <si>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</si>
  <si>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</si>
  <si>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</si>
  <si>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</si>
  <si>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</si>
  <si>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</si>
  <si>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</si>
  <si>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</si>
  <si>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</si>
  <si>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</si>
  <si>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</si>
  <si>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</si>
  <si>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</si>
  <si>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</si>
  <si>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</si>
  <si>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</si>
  <si>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</si>
  <si>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</si>
  <si>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</si>
  <si>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</si>
  <si>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</si>
  <si>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</si>
  <si>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</si>
  <si>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</si>
  <si>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</si>
  <si>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</si>
  <si>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</si>
  <si>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</si>
  <si>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</si>
  <si>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</si>
  <si>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</si>
  <si>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</si>
  <si>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</si>
  <si>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</si>
  <si>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</si>
  <si>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</si>
  <si>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</si>
  <si>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</si>
  <si>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</si>
  <si>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</si>
  <si>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</si>
  <si>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</si>
  <si>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</si>
  <si>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</si>
  <si>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</si>
  <si>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</si>
  <si>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</si>
  <si>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</si>
  <si>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</si>
  <si>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</si>
  <si>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</si>
  <si>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</si>
  <si>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</si>
  <si>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</si>
  <si>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</si>
  <si>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</si>
  <si>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</si>
  <si>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</si>
  <si>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</si>
  <si>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</si>
  <si>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</si>
  <si>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</si>
  <si>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</si>
  <si>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</si>
  <si>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</si>
  <si>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</si>
  <si>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</si>
  <si>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</si>
  <si>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</si>
  <si>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</si>
  <si>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</si>
  <si>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</si>
  <si>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</si>
  <si>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</si>
  <si>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</si>
  <si>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</si>
  <si>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</si>
  <si>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</si>
  <si>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</si>
  <si>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</si>
  <si>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</si>
  <si>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</si>
  <si>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</si>
  <si>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</si>
  <si>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</si>
  <si>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</si>
  <si>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</si>
  <si>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</si>
  <si>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</si>
  <si>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</si>
  <si>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</si>
  <si>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</si>
  <si>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</si>
  <si>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</si>
  <si>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</si>
  <si>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</si>
  <si>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</si>
  <si>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</si>
  <si>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</si>
  <si>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</si>
  <si>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</si>
  <si>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</si>
  <si>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</si>
  <si>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</si>
  <si>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</si>
  <si>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</si>
  <si>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</si>
  <si>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</si>
  <si>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</si>
  <si>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</si>
  <si>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</si>
  <si>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</si>
  <si>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</si>
  <si>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</si>
  <si>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</si>
  <si>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</si>
  <si>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</si>
  <si>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</si>
  <si>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</si>
  <si>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</si>
  <si>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</si>
  <si>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</si>
  <si>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</si>
  <si>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</si>
  <si>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</si>
  <si>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</si>
  <si>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</si>
  <si>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</si>
  <si>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</si>
  <si>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</si>
  <si>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</si>
  <si>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</si>
  <si>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</si>
  <si>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</si>
  <si>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</si>
  <si>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</si>
  <si>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</si>
  <si>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</si>
  <si>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</si>
  <si>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</si>
  <si>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</si>
  <si>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</si>
  <si>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</si>
  <si>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</si>
  <si>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</si>
  <si>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</si>
  <si>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</si>
  <si>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</si>
  <si>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</si>
  <si>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</si>
  <si>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</si>
  <si>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</si>
  <si>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</si>
  <si>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</si>
  <si>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</si>
  <si>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</si>
  <si>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</si>
  <si>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</si>
  <si>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</si>
  <si>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</si>
  <si>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</si>
  <si>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</si>
  <si>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</si>
  <si>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</si>
  <si>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</si>
  <si>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</si>
  <si>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</si>
  <si>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</si>
  <si>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</si>
  <si>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</si>
  <si>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</si>
  <si>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</si>
  <si>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</si>
  <si>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</si>
  <si>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</si>
  <si>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</si>
  <si>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</si>
  <si>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</si>
  <si>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</si>
  <si>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</si>
  <si>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</si>
  <si>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</si>
  <si>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</si>
  <si>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</si>
  <si>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</si>
  <si>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</si>
  <si>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</si>
  <si>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</si>
  <si>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</si>
  <si>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</si>
  <si>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</si>
  <si>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</si>
  <si>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</si>
  <si>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</si>
  <si>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</si>
  <si>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</si>
  <si>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</si>
  <si>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</si>
  <si>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</si>
  <si>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</si>
  <si>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</si>
  <si>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</si>
  <si>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</si>
  <si>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</si>
  <si>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</si>
  <si>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</si>
  <si>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</si>
  <si>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</si>
  <si>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</si>
  <si>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</si>
  <si>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</si>
  <si>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</si>
  <si>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</si>
  <si>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</si>
  <si>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</si>
  <si>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</si>
  <si>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</si>
  <si>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</si>
  <si>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</si>
  <si>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</si>
  <si>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</si>
  <si>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</si>
  <si>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</si>
  <si>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</si>
  <si>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</si>
  <si>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</si>
  <si>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</si>
  <si>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</si>
  <si>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</si>
  <si>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</si>
  <si>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</si>
  <si>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</si>
  <si>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</si>
  <si>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</si>
  <si>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</si>
  <si>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</si>
  <si>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</si>
  <si>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</si>
  <si>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</si>
  <si>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</si>
  <si>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</si>
  <si>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</si>
  <si>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</si>
  <si>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</si>
  <si>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</si>
  <si>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</si>
  <si>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</si>
  <si>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</si>
  <si>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</si>
  <si>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</si>
  <si>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</si>
  <si>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</si>
  <si>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</si>
  <si>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</si>
  <si>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</si>
  <si>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</si>
  <si>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</si>
  <si>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</si>
  <si>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</si>
  <si>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</si>
  <si>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</si>
  <si>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</si>
  <si>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</si>
  <si>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</si>
  <si>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</si>
  <si>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</si>
  <si>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</si>
  <si>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</si>
  <si>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</si>
  <si>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</si>
  <si>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</si>
  <si>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</si>
  <si>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</si>
  <si>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</si>
  <si>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</si>
  <si>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</si>
  <si>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</si>
  <si>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</si>
  <si>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</si>
  <si>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</si>
  <si>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</si>
  <si>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</si>
  <si>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</si>
  <si>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</si>
  <si>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</si>
  <si>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</si>
  <si>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</si>
  <si>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</si>
  <si>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</si>
  <si>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</si>
  <si>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</si>
  <si>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</si>
  <si>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</si>
  <si>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</si>
  <si>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</si>
  <si>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</si>
  <si>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</si>
  <si>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</si>
  <si>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</si>
  <si>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</si>
  <si>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</si>
  <si>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</si>
  <si>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</si>
  <si>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</si>
  <si>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</si>
  <si>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</si>
  <si>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</si>
  <si>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</si>
  <si>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</si>
  <si>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</si>
  <si>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</si>
  <si>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</si>
  <si>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</si>
  <si>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</si>
  <si>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</si>
  <si>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</si>
  <si>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</si>
  <si>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</si>
  <si>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</si>
  <si>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</si>
  <si>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</si>
  <si>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</si>
  <si>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</si>
  <si>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</si>
  <si>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</si>
  <si>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</si>
  <si>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</si>
  <si>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</si>
  <si>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</si>
  <si>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</si>
  <si>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</si>
  <si>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</si>
  <si>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</si>
  <si>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</si>
  <si>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</si>
  <si>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</si>
  <si>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</si>
  <si>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</si>
  <si>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</si>
  <si>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</si>
  <si>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</si>
  <si>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</si>
  <si>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</si>
  <si>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</si>
  <si>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</si>
  <si>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</si>
  <si>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</si>
  <si>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</si>
  <si>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</si>
  <si>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</si>
  <si>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</si>
  <si>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</si>
  <si>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</si>
  <si>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</si>
  <si>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</si>
  <si>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</si>
  <si>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</si>
  <si>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</si>
  <si>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</si>
  <si>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</si>
  <si>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</si>
  <si>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</si>
  <si>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</si>
  <si>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</si>
  <si>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</si>
  <si>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</si>
  <si>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</si>
  <si>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</si>
  <si>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</si>
  <si>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</si>
  <si>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</si>
  <si>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</si>
  <si>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</si>
  <si>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</si>
  <si>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</si>
  <si>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</si>
  <si>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</si>
  <si>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</si>
  <si>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</si>
  <si>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</si>
  <si>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</si>
  <si>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</si>
  <si>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</si>
  <si>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</si>
  <si>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</si>
  <si>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</si>
  <si>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</si>
  <si>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</si>
  <si>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</si>
  <si>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</si>
  <si>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</si>
  <si>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</si>
  <si>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</si>
  <si>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</si>
  <si>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</si>
  <si>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</si>
  <si>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</si>
  <si>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</si>
  <si>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</si>
  <si>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</si>
  <si>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</si>
  <si>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</si>
  <si>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</si>
  <si>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</si>
  <si>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</si>
  <si>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</si>
  <si>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</si>
  <si>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</si>
  <si>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</si>
  <si>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</si>
  <si>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</si>
  <si>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</si>
  <si>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</si>
  <si>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</si>
  <si>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</si>
  <si>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</si>
  <si>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</si>
  <si>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</si>
  <si>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</si>
  <si>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</si>
  <si>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</si>
  <si>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</si>
  <si>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</si>
  <si>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</si>
  <si>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</si>
  <si>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</si>
  <si>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</si>
  <si>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</si>
  <si>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</si>
  <si>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</si>
  <si>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</si>
  <si>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</si>
  <si>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</si>
  <si>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</si>
  <si>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</si>
  <si>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</si>
  <si>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</si>
  <si>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</si>
  <si>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</si>
  <si>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</si>
  <si>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</si>
  <si>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</si>
  <si>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</si>
  <si>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</si>
  <si>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</si>
  <si>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</si>
  <si>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</si>
  <si>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</si>
  <si>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</si>
  <si>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</si>
  <si>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</si>
  <si>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</si>
  <si>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</si>
  <si>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</si>
  <si>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</si>
  <si>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</si>
  <si>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</si>
  <si>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</si>
  <si>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</si>
  <si>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</si>
  <si>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</si>
  <si>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</si>
  <si>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</si>
  <si>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</si>
  <si>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</si>
  <si>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</si>
  <si>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</si>
  <si>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</si>
  <si>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</si>
  <si>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</si>
  <si>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</si>
  <si>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</si>
  <si>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</si>
  <si>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</si>
  <si>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</si>
  <si>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</si>
  <si>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</si>
  <si>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</si>
  <si>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</si>
  <si>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</si>
  <si>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</si>
  <si>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</si>
  <si>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</si>
  <si>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</si>
  <si>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</si>
  <si>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</si>
  <si>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</si>
  <si>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</si>
  <si>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</si>
  <si>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</si>
  <si>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</si>
  <si>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</si>
  <si>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</si>
  <si>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</si>
  <si>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</si>
  <si>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</si>
  <si>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</si>
  <si>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</si>
  <si>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</si>
  <si>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</si>
  <si>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</si>
  <si>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</si>
  <si>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</si>
  <si>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</si>
  <si>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</si>
  <si>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</si>
  <si>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</si>
  <si>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</si>
  <si>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</si>
  <si>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</si>
  <si>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</si>
  <si>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</si>
  <si>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</si>
  <si>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</si>
  <si>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</si>
  <si>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</si>
  <si>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</si>
  <si>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</si>
  <si>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</si>
  <si>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</si>
  <si>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</si>
  <si>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</si>
  <si>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</si>
  <si>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</si>
  <si>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</si>
  <si>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</si>
  <si>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</si>
  <si>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</si>
  <si>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</si>
  <si>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</si>
  <si>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</si>
  <si>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</si>
  <si>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</si>
  <si>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</si>
  <si>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</si>
  <si>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</si>
  <si>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</si>
  <si>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</si>
  <si>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</si>
  <si>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</si>
  <si>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</si>
  <si>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</si>
  <si>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</si>
  <si>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</si>
  <si>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</si>
  <si>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</si>
  <si>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</si>
  <si>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</si>
  <si>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</si>
  <si>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</si>
  <si>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</si>
  <si>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</si>
  <si>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</si>
  <si>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</si>
  <si>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</si>
  <si>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</si>
  <si>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</si>
  <si>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</si>
  <si>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</si>
  <si>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</si>
  <si>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</si>
  <si>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</si>
  <si>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</si>
  <si>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</si>
  <si>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</si>
  <si>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</si>
  <si>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</si>
  <si>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</si>
  <si>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</si>
  <si>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</si>
  <si>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</si>
  <si>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</si>
  <si>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</si>
  <si>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</si>
  <si>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</si>
  <si>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</si>
  <si>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</si>
  <si>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</si>
  <si>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</si>
  <si>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</si>
  <si>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</si>
  <si>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</si>
  <si>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</si>
  <si>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</si>
  <si>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</si>
  <si>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</si>
  <si>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</si>
  <si>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</si>
  <si>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</si>
  <si>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</si>
  <si>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</si>
  <si>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</si>
  <si>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</si>
  <si>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</si>
  <si>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</si>
  <si>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</si>
  <si>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</si>
  <si>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</si>
  <si>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</si>
  <si>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</si>
  <si>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</si>
  <si>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</si>
  <si>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</si>
  <si>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</si>
  <si>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</si>
  <si>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</si>
  <si>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</si>
  <si>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</si>
  <si>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</si>
  <si>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</si>
  <si>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</si>
  <si>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</si>
  <si>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</si>
  <si>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</si>
  <si>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</si>
  <si>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</si>
  <si>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</si>
  <si>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</si>
  <si>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</si>
  <si>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</si>
  <si>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</si>
  <si>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</si>
  <si>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</si>
  <si>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</si>
  <si>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</si>
  <si>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</si>
  <si>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</si>
  <si>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</si>
  <si>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</si>
  <si>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</si>
  <si>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</si>
  <si>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</si>
  <si>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</si>
  <si>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</si>
  <si>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</si>
  <si>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</si>
  <si>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</si>
  <si>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</si>
  <si>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</si>
  <si>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</si>
  <si>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</si>
  <si>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</si>
  <si>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</si>
  <si>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</si>
  <si>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</si>
  <si>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</si>
  <si>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</si>
  <si>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</si>
  <si>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</si>
  <si>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</si>
  <si>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</si>
  <si>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</si>
  <si>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</si>
  <si>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</si>
  <si>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</si>
  <si>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</si>
  <si>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</si>
  <si>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</si>
  <si>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</si>
  <si>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</si>
  <si>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</si>
  <si>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</si>
  <si>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</si>
  <si>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</si>
  <si>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</si>
  <si>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</si>
  <si>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</si>
  <si>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</si>
  <si>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</si>
  <si>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</si>
  <si>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</si>
  <si>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</si>
  <si>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</si>
  <si>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</si>
  <si>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</si>
  <si>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</si>
  <si>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</si>
  <si>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</si>
  <si>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</si>
  <si>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</si>
  <si>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</si>
  <si>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</si>
  <si>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</si>
  <si>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</si>
  <si>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</si>
  <si>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</si>
  <si>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</si>
  <si>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</si>
  <si>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</si>
  <si>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</si>
  <si>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</si>
  <si>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</si>
  <si>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</si>
  <si>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</si>
  <si>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</si>
  <si>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</si>
  <si>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</si>
  <si>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</si>
  <si>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</si>
  <si>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</si>
  <si>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</si>
  <si>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</si>
  <si>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</si>
  <si>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</si>
  <si>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</si>
  <si>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</si>
  <si>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</si>
  <si>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</si>
  <si>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</si>
  <si>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</si>
  <si>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</si>
  <si>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</si>
  <si>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</si>
  <si>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</si>
  <si>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</si>
  <si>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</si>
  <si>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</si>
  <si>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</si>
  <si>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</si>
  <si>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</si>
  <si>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</si>
  <si>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</si>
  <si>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</si>
  <si>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</si>
  <si>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</si>
  <si>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</si>
  <si>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</si>
  <si>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</si>
  <si>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</si>
  <si>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</si>
  <si>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</si>
  <si>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</si>
  <si>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</si>
  <si>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</si>
  <si>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</si>
  <si>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</si>
  <si>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</si>
  <si>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</si>
  <si>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</si>
  <si>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</si>
  <si>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</si>
  <si>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</si>
  <si>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</si>
  <si>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</si>
  <si>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</si>
  <si>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</si>
  <si>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</si>
  <si>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</si>
  <si>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</si>
  <si>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</si>
  <si>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</si>
  <si>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</si>
  <si>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</si>
  <si>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</si>
  <si>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</si>
  <si>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</si>
  <si>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</si>
  <si>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</si>
  <si>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</si>
  <si>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</si>
  <si>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</si>
  <si>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</si>
  <si>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</si>
  <si>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</si>
  <si>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</si>
  <si>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</si>
  <si>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</si>
  <si>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</si>
  <si>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</si>
  <si>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</si>
  <si>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</si>
  <si>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</si>
  <si>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</si>
  <si>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</si>
  <si>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</si>
  <si>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</si>
  <si>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</si>
  <si>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</si>
  <si>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</si>
  <si>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</si>
  <si>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</si>
  <si>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</si>
  <si>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</si>
  <si>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</si>
  <si>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</si>
  <si>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</si>
  <si>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</si>
  <si>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</si>
  <si>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</si>
  <si>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</si>
  <si>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</si>
  <si>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</si>
  <si>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</si>
  <si>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</si>
  <si>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</si>
  <si>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</si>
  <si>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</si>
  <si>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</si>
  <si>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</si>
  <si>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</si>
  <si>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</si>
  <si>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</si>
  <si>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</si>
  <si>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</si>
  <si>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</si>
  <si>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</si>
  <si>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</si>
  <si>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</si>
  <si>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</si>
  <si>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</si>
  <si>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</si>
  <si>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</si>
  <si>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</si>
  <si>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</si>
  <si>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</si>
  <si>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</si>
  <si>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</si>
  <si>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</si>
  <si>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</si>
  <si>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</si>
  <si>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</si>
  <si>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</si>
  <si>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</si>
  <si>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</si>
  <si>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</si>
  <si>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</si>
  <si>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</si>
  <si>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</si>
  <si>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</si>
  <si>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</si>
  <si>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</si>
  <si>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</si>
  <si>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</si>
  <si>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</si>
  <si>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</si>
  <si>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</si>
  <si>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</si>
  <si>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</si>
  <si>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</si>
  <si>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</si>
  <si>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</si>
  <si>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</si>
  <si>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</si>
  <si>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</si>
  <si>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</si>
  <si>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</si>
  <si>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</si>
  <si>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</si>
  <si>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</si>
  <si>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</si>
  <si>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</si>
  <si>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</si>
  <si>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</si>
  <si>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</si>
  <si>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</si>
  <si>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</si>
  <si>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</si>
  <si>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</si>
  <si>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</si>
  <si>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</si>
  <si>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</si>
  <si>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</si>
  <si>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</si>
  <si>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</si>
  <si>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</si>
  <si>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</si>
  <si>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</si>
  <si>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</si>
  <si>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</si>
  <si>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</si>
  <si>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</si>
  <si>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</si>
  <si>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</si>
  <si>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</si>
  <si>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</si>
  <si>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</si>
  <si>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</si>
  <si>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</si>
  <si>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</si>
  <si>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</si>
  <si>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</si>
  <si>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</si>
  <si>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</si>
  <si>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</si>
  <si>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</si>
  <si>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</si>
  <si>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</si>
  <si>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</si>
  <si>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</si>
  <si>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</si>
  <si>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</si>
  <si>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</si>
  <si>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</si>
  <si>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</si>
  <si>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</si>
  <si>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</si>
  <si>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</si>
  <si>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</si>
  <si>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</si>
  <si>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</si>
  <si>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</si>
  <si>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</si>
  <si>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</si>
  <si>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</si>
  <si>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</si>
  <si>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</si>
  <si>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</si>
  <si>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</si>
  <si>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</si>
  <si>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</si>
  <si>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</si>
  <si>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</si>
  <si>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</si>
  <si>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</si>
  <si>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</si>
  <si>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</si>
  <si>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</si>
  <si>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</si>
  <si>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</si>
  <si>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</si>
  <si>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</si>
  <si>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</si>
  <si>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</si>
  <si>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</si>
  <si>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</si>
  <si>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</si>
  <si>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</si>
  <si>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</si>
  <si>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</si>
  <si>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</si>
  <si>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</si>
  <si>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</si>
  <si>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</si>
  <si>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</si>
  <si>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</si>
  <si>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</si>
  <si>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</si>
  <si>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</si>
  <si>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</si>
  <si>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</si>
  <si>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</si>
  <si>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</si>
  <si>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</si>
  <si>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</si>
  <si>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</si>
  <si>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</si>
  <si>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</si>
  <si>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</si>
  <si>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</si>
  <si>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</si>
  <si>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</si>
  <si>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</si>
  <si>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</si>
  <si>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</si>
  <si>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</si>
  <si>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</si>
  <si>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</si>
  <si>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</si>
  <si>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</si>
  <si>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</si>
  <si>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</si>
  <si>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</si>
  <si>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</si>
  <si>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</si>
  <si>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</si>
  <si>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</si>
  <si>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</si>
  <si>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</si>
  <si>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</si>
  <si>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</si>
  <si>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</si>
  <si>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</si>
  <si>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</si>
  <si>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</si>
  <si>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</si>
  <si>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</si>
  <si>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</si>
  <si>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</si>
  <si>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</si>
  <si>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</si>
  <si>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</si>
  <si>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</si>
  <si>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</si>
  <si>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</si>
  <si>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</si>
  <si>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</si>
  <si>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</si>
  <si>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</si>
  <si>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</si>
  <si>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</si>
  <si>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</si>
  <si>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</si>
  <si>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</si>
  <si>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</si>
  <si>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</si>
  <si>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</si>
  <si>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</si>
  <si>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</si>
  <si>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</si>
  <si>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</si>
  <si>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</si>
  <si>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</si>
  <si>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</si>
  <si>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</si>
  <si>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</si>
  <si>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</si>
  <si>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</si>
  <si>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</si>
  <si>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</si>
  <si>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</si>
  <si>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</si>
  <si>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</si>
  <si>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</si>
  <si>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</si>
  <si>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</si>
  <si>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</si>
  <si>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</si>
  <si>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</si>
  <si>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</si>
  <si>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</si>
  <si>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</si>
  <si>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</si>
  <si>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</si>
  <si>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</si>
  <si>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</si>
  <si>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</si>
  <si>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</si>
  <si>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</si>
  <si>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</si>
  <si>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</si>
  <si>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</si>
  <si>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</si>
  <si>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</si>
  <si>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</si>
  <si>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</si>
  <si>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</si>
  <si>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</si>
  <si>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</si>
  <si>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</si>
  <si>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</si>
  <si>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</si>
  <si>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</si>
  <si>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</si>
  <si>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</si>
  <si>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</si>
  <si>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</si>
  <si>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</si>
  <si>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</si>
  <si>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</si>
  <si>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</si>
  <si>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</si>
  <si>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</si>
  <si>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</si>
  <si>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</si>
  <si>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</si>
  <si>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</si>
  <si>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</si>
  <si>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</si>
  <si>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</si>
  <si>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</si>
  <si>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</si>
  <si>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</si>
  <si>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</si>
  <si>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</si>
  <si>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</si>
  <si>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</si>
  <si>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</si>
  <si>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</si>
  <si>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</si>
  <si>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</si>
  <si>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</si>
  <si>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</si>
  <si>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</si>
  <si>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</si>
  <si>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</si>
  <si>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</si>
  <si>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</si>
  <si>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</si>
  <si>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</si>
  <si>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</si>
  <si>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</si>
  <si>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</si>
  <si>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</si>
  <si>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</si>
  <si>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</si>
  <si>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</si>
  <si>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</si>
  <si>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</si>
  <si>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</si>
  <si>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</si>
  <si>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</si>
  <si>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</si>
  <si>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</si>
  <si>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</si>
  <si>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</si>
  <si>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</si>
  <si>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</si>
  <si>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</si>
  <si>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</si>
  <si>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</si>
  <si>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</si>
  <si>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</si>
  <si>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</si>
  <si>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</si>
  <si>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</si>
  <si>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</si>
  <si>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</si>
  <si>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</si>
  <si>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</si>
  <si>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</si>
  <si>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</si>
  <si>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</si>
  <si>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</si>
  <si>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</si>
  <si>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</si>
  <si>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</si>
  <si>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</si>
  <si>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</si>
  <si>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</si>
  <si>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</si>
  <si>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</si>
  <si>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</si>
  <si>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</si>
  <si>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</si>
  <si>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</si>
  <si>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</si>
  <si>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</si>
  <si>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</si>
  <si>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</si>
  <si>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</si>
  <si>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</si>
  <si>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</si>
  <si>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</si>
  <si>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</si>
  <si>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</si>
  <si>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</si>
  <si>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</si>
  <si>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</si>
  <si>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</si>
  <si>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</si>
  <si>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</si>
  <si>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</si>
  <si>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</si>
  <si>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</si>
  <si>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</si>
  <si>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</si>
  <si>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</si>
  <si>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</si>
  <si>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</si>
  <si>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</si>
  <si>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</si>
  <si>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</si>
  <si>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</si>
  <si>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</si>
  <si>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</si>
  <si>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</si>
  <si>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</si>
  <si>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</si>
  <si>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</si>
  <si>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</si>
  <si>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</si>
  <si>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</si>
  <si>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</si>
  <si>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</si>
  <si>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</si>
  <si>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</si>
  <si>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</si>
  <si>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</si>
  <si>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</si>
  <si>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</si>
  <si>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</si>
  <si>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</si>
  <si>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</si>
  <si>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</si>
  <si>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</si>
  <si>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</si>
  <si>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</si>
  <si>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</si>
  <si>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</si>
  <si>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</si>
  <si>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</si>
  <si>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</si>
  <si>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</si>
  <si>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</si>
  <si>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</si>
  <si>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</si>
  <si>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</si>
  <si>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</si>
  <si>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</si>
  <si>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</si>
  <si>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</si>
  <si>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</si>
  <si>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</si>
  <si>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</si>
  <si>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</si>
  <si>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</si>
  <si>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</si>
  <si>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</si>
  <si>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</si>
  <si>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</si>
  <si>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</si>
  <si>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</si>
  <si>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</si>
  <si>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</si>
  <si>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</si>
  <si>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</si>
  <si>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</si>
  <si>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</si>
  <si>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</si>
  <si>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</si>
  <si>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</si>
  <si>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</si>
  <si>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</si>
  <si>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</si>
  <si>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</si>
  <si>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</si>
  <si>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</si>
  <si>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</si>
  <si>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</si>
  <si>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</si>
  <si>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</si>
  <si>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</si>
  <si>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</si>
  <si>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</si>
  <si>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</si>
  <si>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</si>
  <si>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</si>
  <si>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</si>
  <si>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</si>
  <si>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</si>
  <si>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</si>
  <si>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</si>
  <si>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</si>
  <si>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</si>
  <si>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</si>
  <si>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</si>
  <si>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</si>
  <si>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</si>
  <si>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</si>
  <si>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</si>
  <si>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</si>
  <si>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</si>
  <si>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</si>
  <si>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</si>
  <si>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</si>
  <si>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</si>
  <si>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</si>
  <si>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</si>
  <si>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</si>
  <si>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</si>
  <si>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</si>
  <si>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</si>
  <si>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</si>
  <si>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</si>
  <si>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</si>
  <si>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</si>
  <si>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</si>
  <si>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</si>
  <si>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</si>
  <si>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</si>
  <si>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</si>
  <si>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</si>
  <si>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</si>
  <si>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</si>
  <si>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</si>
  <si>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</si>
  <si>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</si>
  <si>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</si>
  <si>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</si>
  <si>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</si>
  <si>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</si>
  <si>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</si>
  <si>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</si>
  <si>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</si>
  <si>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</si>
  <si>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</si>
  <si>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</si>
  <si>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</si>
  <si>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</si>
  <si>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</si>
  <si>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</si>
  <si>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</si>
  <si>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</si>
  <si>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</si>
  <si>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</si>
  <si>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</si>
  <si>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</si>
  <si>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</si>
  <si>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</si>
  <si>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</si>
  <si>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</si>
  <si>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</si>
  <si>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</si>
  <si>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</si>
  <si>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</si>
  <si>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</si>
  <si>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</si>
  <si>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</si>
  <si>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</si>
  <si>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</si>
  <si>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</si>
  <si>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</si>
  <si>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</si>
  <si>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</si>
  <si>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</si>
  <si>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</si>
  <si>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</si>
  <si>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</si>
  <si>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</si>
  <si>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</si>
  <si>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</si>
  <si>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</si>
  <si>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</si>
  <si>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</si>
  <si>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</si>
  <si>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</si>
  <si>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</si>
  <si>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</si>
  <si>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</si>
  <si>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</si>
  <si>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</si>
  <si>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</si>
  <si>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</si>
  <si>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</si>
  <si>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</si>
  <si>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</si>
  <si>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</si>
  <si>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</si>
  <si>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</si>
  <si>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</si>
  <si>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</si>
  <si>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</si>
  <si>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</si>
  <si>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</si>
  <si>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</si>
  <si>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</si>
  <si>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</si>
  <si>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</si>
  <si>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</si>
  <si>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</si>
  <si>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</si>
  <si>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</si>
  <si>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</si>
  <si>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</si>
  <si>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</si>
  <si>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</si>
  <si>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</si>
  <si>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</si>
  <si>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</si>
  <si>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</si>
  <si>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</si>
  <si>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</si>
  <si>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</si>
  <si>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</si>
  <si>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</si>
  <si>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</si>
  <si>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</si>
  <si>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</si>
  <si>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</si>
  <si>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</si>
  <si>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</si>
  <si>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</si>
  <si>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</si>
  <si>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</si>
  <si>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</si>
  <si>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</si>
  <si>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</si>
  <si>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</si>
  <si>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</si>
  <si>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</si>
  <si>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</si>
  <si>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</si>
  <si>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</si>
  <si>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</si>
  <si>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</si>
  <si>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</si>
  <si>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</si>
  <si>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</si>
  <si>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</si>
  <si>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</si>
  <si>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</si>
  <si>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</si>
  <si>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</si>
  <si>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</si>
  <si>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</si>
  <si>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</si>
  <si>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</si>
  <si>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</si>
  <si>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</si>
  <si>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</si>
  <si>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</si>
  <si>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</si>
  <si>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</si>
  <si>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</si>
  <si>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</si>
  <si>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</si>
  <si>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</si>
  <si>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</si>
  <si>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</si>
  <si>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</si>
  <si>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</si>
  <si>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</si>
  <si>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</si>
  <si>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</si>
  <si>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</si>
  <si>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</si>
  <si>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</si>
  <si>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</si>
  <si>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</si>
  <si>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</si>
  <si>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</si>
  <si>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</si>
  <si>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</si>
  <si>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</si>
  <si>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</si>
  <si>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</si>
  <si>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</si>
  <si>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</si>
  <si>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</si>
  <si>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</si>
  <si>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</si>
  <si>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</si>
  <si>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</si>
  <si>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</si>
  <si>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</si>
  <si>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</si>
  <si>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</si>
  <si>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</si>
  <si>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</si>
  <si>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</si>
  <si>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</si>
  <si>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</si>
  <si>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</si>
  <si>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</si>
  <si>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</si>
  <si>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</si>
  <si>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</si>
  <si>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</si>
  <si>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</si>
  <si>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</si>
  <si>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</si>
  <si>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</si>
  <si>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</si>
  <si>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</si>
  <si>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</si>
  <si>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</si>
  <si>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</si>
  <si>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</si>
  <si>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</si>
  <si>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</si>
  <si>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</si>
  <si>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</si>
  <si>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</si>
  <si>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</si>
  <si>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</si>
  <si>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</si>
  <si>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</si>
  <si>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</si>
  <si>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</si>
  <si>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</si>
  <si>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</si>
  <si>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</si>
  <si>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</si>
  <si>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</si>
  <si>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</si>
  <si>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</si>
  <si>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</si>
  <si>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</si>
  <si>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</si>
  <si>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</si>
  <si>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</si>
  <si>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</si>
  <si>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</si>
  <si>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</si>
  <si>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</si>
  <si>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</si>
  <si>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</si>
  <si>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</si>
  <si>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</si>
  <si>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</si>
  <si>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</si>
  <si>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</si>
  <si>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</si>
  <si>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</si>
  <si>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</si>
  <si>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</si>
  <si>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</si>
  <si>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</si>
  <si>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</si>
  <si>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</si>
  <si>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</si>
  <si>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</si>
  <si>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</si>
  <si>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</si>
  <si>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</si>
  <si>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</si>
  <si>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</si>
  <si>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</si>
  <si>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</si>
  <si>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</si>
  <si>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</si>
  <si>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</si>
  <si>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</si>
  <si>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</si>
  <si>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</si>
  <si>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</si>
  <si>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</si>
  <si>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</si>
  <si>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</si>
  <si>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</si>
  <si>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</si>
  <si>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</si>
  <si>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</si>
  <si>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</si>
  <si>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</si>
  <si>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</si>
  <si>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</si>
  <si>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</si>
  <si>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</si>
  <si>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</si>
  <si>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</si>
  <si>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</si>
  <si>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</si>
  <si>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</si>
  <si>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</si>
  <si>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</si>
  <si>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</si>
  <si>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</si>
  <si>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</si>
  <si>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</si>
  <si>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</si>
  <si>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</si>
  <si>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</si>
  <si>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</si>
  <si>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</si>
  <si>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</si>
  <si>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</si>
  <si>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</si>
  <si>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</si>
  <si>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</si>
  <si>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</si>
  <si>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</si>
  <si>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</si>
  <si>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</si>
  <si>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</si>
  <si>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</si>
  <si>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</si>
  <si>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</si>
  <si>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</si>
  <si>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</si>
  <si>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</si>
  <si>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</si>
  <si>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</si>
  <si>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</si>
  <si>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</si>
  <si>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</si>
  <si>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</si>
  <si>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</si>
  <si>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</si>
  <si>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</si>
  <si>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</si>
  <si>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</si>
  <si>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</si>
  <si>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</si>
  <si>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</si>
  <si>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</si>
  <si>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</si>
  <si>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</si>
  <si>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</si>
  <si>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</si>
  <si>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</si>
  <si>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</si>
  <si>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</si>
  <si>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</si>
  <si>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</si>
  <si>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</si>
  <si>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</si>
  <si>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</si>
  <si>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</si>
  <si>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</si>
  <si>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</si>
  <si>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</si>
  <si>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</si>
  <si>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</si>
  <si>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</si>
  <si>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</si>
  <si>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</si>
  <si>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</si>
  <si>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</si>
  <si>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</si>
  <si>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</si>
  <si>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</si>
  <si>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</si>
  <si>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</si>
  <si>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</si>
  <si>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</si>
  <si>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</si>
  <si>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</si>
  <si>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</si>
  <si>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</si>
  <si>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</si>
  <si>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</si>
  <si>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</si>
  <si>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</si>
  <si>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</si>
  <si>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</si>
  <si>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</si>
  <si>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</si>
  <si>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</si>
  <si>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</si>
  <si>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</si>
  <si>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</si>
  <si>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</si>
  <si>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</si>
  <si>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</si>
  <si>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</si>
  <si>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</si>
  <si>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</si>
  <si>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</si>
  <si>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</si>
  <si>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</si>
  <si>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</si>
  <si>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</si>
  <si>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</si>
  <si>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</si>
  <si>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</si>
  <si>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</si>
  <si>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</si>
  <si>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</si>
  <si>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</si>
  <si>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</si>
  <si>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</si>
  <si>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</si>
  <si>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</si>
  <si>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</si>
  <si>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</si>
  <si>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</si>
  <si>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</si>
  <si>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</si>
  <si>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</si>
  <si>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</si>
  <si>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</si>
  <si>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</si>
  <si>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</si>
  <si>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</si>
  <si>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</si>
  <si>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</si>
  <si>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</si>
  <si>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</si>
  <si>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</si>
  <si>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</si>
  <si>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</si>
  <si>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</si>
  <si>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</si>
  <si>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</si>
  <si>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</si>
  <si>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</si>
  <si>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</si>
  <si>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</si>
  <si>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</si>
  <si>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</si>
  <si>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</si>
  <si>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</si>
  <si>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</si>
  <si>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</si>
  <si>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</si>
  <si>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</si>
  <si>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</si>
  <si>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</si>
  <si>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</si>
  <si>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</si>
  <si>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</si>
  <si>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</si>
  <si>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</si>
  <si>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</si>
  <si>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</si>
  <si>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</si>
  <si>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</si>
  <si>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</si>
  <si>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</si>
  <si>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</si>
  <si>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</si>
  <si>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</si>
  <si>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</si>
  <si>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</si>
  <si>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</si>
  <si>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</si>
  <si>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</si>
  <si>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</si>
  <si>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</si>
  <si>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</si>
  <si>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</si>
  <si>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</si>
  <si>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</si>
  <si>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</si>
  <si>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</si>
  <si>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</si>
  <si>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</si>
  <si>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</si>
  <si>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</si>
  <si>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</si>
  <si>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</si>
  <si>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</si>
  <si>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</si>
  <si>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</si>
  <si>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</si>
  <si>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</si>
  <si>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</si>
  <si>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</si>
  <si>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</si>
  <si>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</si>
  <si>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</si>
  <si>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</si>
  <si>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</si>
  <si>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</si>
  <si>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</si>
  <si>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</si>
  <si>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</si>
  <si>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</si>
  <si>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</si>
  <si>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</si>
  <si>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</si>
  <si>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</si>
  <si>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</si>
  <si>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</si>
  <si>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</si>
  <si>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</si>
  <si>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</si>
  <si>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</si>
  <si>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</si>
  <si>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</si>
  <si>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</si>
  <si>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</si>
  <si>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</si>
  <si>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</si>
  <si>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</si>
  <si>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</si>
  <si>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</si>
  <si>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</si>
  <si>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</si>
  <si>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</si>
  <si>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</si>
  <si>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</si>
  <si>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</si>
  <si>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</si>
  <si>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</si>
  <si>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</si>
  <si>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</si>
  <si>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</si>
  <si>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</si>
  <si>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</si>
  <si>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</si>
  <si>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</si>
  <si>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</si>
  <si>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</si>
  <si>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</si>
  <si>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</si>
  <si>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</si>
  <si>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</si>
  <si>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</si>
  <si>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</si>
  <si>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</si>
  <si>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</si>
  <si>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</si>
  <si>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</si>
  <si>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</si>
  <si>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</si>
  <si>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</si>
  <si>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</si>
  <si>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</si>
  <si>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</si>
  <si>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</si>
  <si>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</si>
  <si>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</si>
  <si>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</si>
  <si>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</si>
  <si>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</si>
  <si>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</si>
  <si>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</si>
  <si>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</si>
  <si>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</si>
  <si>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</si>
  <si>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</si>
  <si>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</si>
  <si>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</si>
  <si>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</si>
  <si>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</si>
  <si>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</si>
  <si>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</si>
  <si>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</si>
  <si>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</si>
  <si>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</si>
  <si>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</si>
  <si>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</si>
  <si>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</si>
  <si>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</si>
  <si>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</si>
  <si>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</si>
  <si>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</si>
  <si>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</si>
  <si>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</si>
  <si>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</si>
  <si>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</si>
  <si>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</si>
  <si>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</si>
  <si>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</si>
  <si>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</si>
  <si>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</si>
  <si>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</si>
  <si>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</si>
  <si>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</si>
  <si>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</si>
  <si>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</si>
  <si>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</si>
  <si>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</si>
  <si>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</si>
  <si>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</si>
  <si>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</si>
  <si>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</si>
  <si>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</si>
  <si>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</si>
  <si>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</si>
  <si>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</si>
  <si>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</si>
  <si>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</si>
  <si>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</si>
  <si>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</si>
  <si>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</si>
  <si>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</si>
  <si>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</si>
  <si>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</si>
  <si>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</si>
  <si>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</si>
  <si>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</si>
  <si>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</si>
  <si>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</si>
  <si>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</si>
  <si>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</si>
  <si>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</si>
  <si>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</si>
  <si>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</si>
  <si>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</si>
  <si>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</si>
  <si>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</si>
  <si>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</si>
  <si>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</si>
  <si>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</si>
  <si>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</si>
  <si>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</si>
  <si>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</si>
  <si>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</si>
  <si>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</si>
  <si>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</si>
  <si>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</si>
  <si>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</si>
  <si>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</si>
  <si>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</si>
  <si>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</si>
  <si>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</si>
  <si>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</si>
  <si>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</si>
  <si>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</si>
  <si>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</si>
  <si>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</si>
  <si>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</si>
  <si>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</si>
  <si>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</si>
  <si>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</si>
  <si>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</si>
  <si>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</si>
  <si>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</si>
  <si>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</si>
  <si>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</si>
  <si>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</si>
  <si>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</si>
  <si>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</si>
  <si>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</si>
  <si>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</si>
  <si>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</si>
  <si>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</si>
  <si>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</si>
  <si>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</si>
  <si>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</si>
  <si>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</si>
  <si>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</si>
  <si>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</si>
  <si>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</si>
  <si>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</si>
  <si>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</si>
  <si>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</si>
  <si>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</si>
  <si>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</si>
  <si>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</si>
  <si>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</si>
  <si>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</si>
  <si>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</si>
  <si>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</si>
  <si>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</si>
  <si>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</si>
  <si>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</si>
  <si>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</si>
  <si>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</si>
  <si>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</si>
  <si>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</si>
  <si>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</si>
  <si>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</si>
  <si>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</si>
  <si>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</si>
  <si>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</si>
  <si>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</si>
  <si>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</si>
  <si>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</si>
  <si>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</si>
  <si>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</si>
  <si>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</si>
  <si>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</si>
  <si>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</si>
  <si>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</si>
  <si>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</si>
  <si>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</si>
  <si>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</si>
  <si>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</si>
  <si>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</si>
  <si>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</si>
  <si>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</si>
  <si>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</si>
  <si>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</si>
  <si>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</si>
  <si>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</si>
  <si>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</si>
  <si>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</si>
  <si>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</si>
  <si>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</si>
  <si>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</si>
  <si>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</si>
  <si>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</si>
  <si>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</si>
  <si>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</si>
  <si>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</si>
  <si>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</si>
  <si>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</si>
  <si>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</si>
  <si>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</si>
  <si>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</si>
  <si>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</si>
  <si>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</si>
  <si>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</si>
  <si>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</si>
  <si>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</si>
  <si>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</si>
  <si>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</si>
  <si>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</si>
  <si>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</si>
  <si>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</si>
  <si>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</si>
  <si>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</si>
  <si>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</si>
  <si>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</si>
  <si>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</si>
  <si>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</si>
  <si>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</si>
  <si>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</si>
  <si>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</si>
  <si>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</si>
  <si>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</si>
  <si>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</si>
  <si>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</si>
  <si>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</si>
  <si>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</si>
  <si>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</si>
  <si>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</si>
  <si>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</si>
  <si>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</si>
  <si>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</si>
  <si>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</si>
  <si>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</si>
  <si>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</si>
  <si>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</si>
  <si>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</si>
  <si>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</si>
  <si>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</si>
  <si>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</si>
  <si>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</si>
  <si>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</si>
  <si>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</si>
  <si>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</si>
  <si>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</si>
  <si>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</si>
  <si>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</si>
  <si>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</si>
  <si>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</si>
  <si>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</si>
  <si>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</si>
  <si>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UniTCDF: Gestão Pública (Fernanda e Túlio)</t>
  </si>
  <si>
    <t>UniTCDF: Engenharia civil (Seinfra)</t>
  </si>
  <si>
    <t>UniTCDF: Engenharia civil (Adriana)</t>
  </si>
  <si>
    <t>UniTCDF: Gestão Pública (Novos)</t>
  </si>
  <si>
    <t>UniTCDF: Direito (Novos)</t>
  </si>
  <si>
    <t>Visita dos Filhos ao trabalho</t>
  </si>
  <si>
    <t>UniTCDF: Visita da FGV</t>
  </si>
  <si>
    <t>Exibição de filme: Consciência Negra</t>
  </si>
  <si>
    <t>Hackaton</t>
  </si>
  <si>
    <t>2026-074</t>
  </si>
  <si>
    <t>2026-075</t>
  </si>
  <si>
    <t>2026-076</t>
  </si>
  <si>
    <t>2026-077</t>
  </si>
  <si>
    <t>2026-078</t>
  </si>
  <si>
    <t>Painel Felipe</t>
  </si>
  <si>
    <t>Café e Tertúlia: Gincana dos Neurotransmissores</t>
  </si>
  <si>
    <t>220/2026</t>
  </si>
  <si>
    <t>Isac Mendes Caixeta de Pamplona Araújo; Valéria Feitoza; Cinthia Thais de Carvalho Luz Thomazi</t>
  </si>
  <si>
    <t>10/06/2026</t>
  </si>
  <si>
    <t xml:space="preserve">UniTCDF: Gestão Pública </t>
  </si>
  <si>
    <t>8724/2026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</si>
</sst>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48" fillId="0" borderId="1" xfId="0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>
    <filterColumn colId="1">
      <filters blank="1">
        <filter val="2026"/>
      </filters>
    </filterColumn>
  </autoFilter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18" activePane="bottomLeft" state="frozen"/>
      <selection pane="bottomLeft" sqref="A1:A1048576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2868</v>
      </c>
      <c r="B657" s="127">
        <v>2026</v>
      </c>
      <c r="C657" s="183" t="s">
        <v>2774</v>
      </c>
      <c r="D657" s="183" t="s">
        <v>2869</v>
      </c>
      <c r="E657" s="184" t="s">
        <v>2870</v>
      </c>
      <c r="F657" s="185" t="s">
        <v>69</v>
      </c>
      <c r="G657" s="186" t="s">
        <v>79</v>
      </c>
      <c r="H657" s="191" t="s">
        <v>2871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2872</v>
      </c>
    </row>
    <row r="658" spans="1:20" ht="15" x14ac:dyDescent="0.25">
      <c r="A658" s="191" t="s">
        <v>2835</v>
      </c>
      <c r="B658" s="127">
        <v>2026</v>
      </c>
      <c r="C658" s="127" t="s">
        <v>22</v>
      </c>
      <c r="D658" s="173" t="s">
        <v>2836</v>
      </c>
      <c r="E658" s="162" t="s">
        <v>2837</v>
      </c>
      <c r="F658" s="129" t="s">
        <v>69</v>
      </c>
      <c r="G658" s="174" t="s">
        <v>2702</v>
      </c>
      <c r="H658" s="175" t="s">
        <v>2838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2773</v>
      </c>
      <c r="B659" s="127">
        <v>2026</v>
      </c>
      <c r="C659" s="183" t="s">
        <v>2774</v>
      </c>
      <c r="D659" s="183" t="s">
        <v>2775</v>
      </c>
      <c r="E659" s="184" t="s">
        <v>2776</v>
      </c>
      <c r="F659" s="185" t="s">
        <v>24</v>
      </c>
      <c r="G659" s="186" t="s">
        <v>2728</v>
      </c>
      <c r="H659" s="191" t="s">
        <v>2777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2909</v>
      </c>
      <c r="B660" s="127">
        <v>2026</v>
      </c>
      <c r="C660" s="183" t="s">
        <v>2774</v>
      </c>
      <c r="D660" s="183" t="s">
        <v>2910</v>
      </c>
      <c r="E660" s="184" t="s">
        <v>2911</v>
      </c>
      <c r="F660" s="185" t="s">
        <v>24</v>
      </c>
      <c r="G660" s="186" t="s">
        <v>206</v>
      </c>
      <c r="H660" s="191" t="s">
        <v>2912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2913</v>
      </c>
    </row>
    <row r="661" spans="1:20" ht="15" x14ac:dyDescent="0.25">
      <c r="A661" s="137" t="s">
        <v>2686</v>
      </c>
      <c r="B661" s="127">
        <v>2026</v>
      </c>
      <c r="C661" s="127" t="s">
        <v>22</v>
      </c>
      <c r="D661" s="127" t="s">
        <v>2687</v>
      </c>
      <c r="E661" s="128" t="s">
        <v>2138</v>
      </c>
      <c r="F661" s="129" t="s">
        <v>69</v>
      </c>
      <c r="G661" s="130" t="s">
        <v>79</v>
      </c>
      <c r="H661" s="131" t="s">
        <v>2688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2950</v>
      </c>
      <c r="B662" s="127">
        <v>2026</v>
      </c>
      <c r="C662" s="183" t="s">
        <v>2774</v>
      </c>
      <c r="D662" s="183" t="s">
        <v>2951</v>
      </c>
      <c r="E662" s="184" t="s">
        <v>2952</v>
      </c>
      <c r="F662" s="185" t="s">
        <v>69</v>
      </c>
      <c r="G662" s="186" t="s">
        <v>79</v>
      </c>
      <c r="H662" s="191" t="s">
        <v>2777</v>
      </c>
      <c r="I662" s="192" t="s">
        <v>2953</v>
      </c>
      <c r="J662" s="192" t="s">
        <v>2954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2955</v>
      </c>
    </row>
    <row r="663" spans="1:20" ht="30" x14ac:dyDescent="0.25">
      <c r="A663" s="191" t="s">
        <v>2924</v>
      </c>
      <c r="B663" s="127">
        <v>2026</v>
      </c>
      <c r="C663" s="164" t="s">
        <v>2774</v>
      </c>
      <c r="D663" s="127" t="s">
        <v>2925</v>
      </c>
      <c r="E663" s="162" t="s">
        <v>2926</v>
      </c>
      <c r="F663" s="129" t="s">
        <v>88</v>
      </c>
      <c r="G663" s="130" t="s">
        <v>2749</v>
      </c>
      <c r="H663" s="131" t="s">
        <v>2927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2928</v>
      </c>
    </row>
    <row r="664" spans="1:20" ht="15" x14ac:dyDescent="0.25">
      <c r="A664" s="191" t="s">
        <v>2830</v>
      </c>
      <c r="B664" s="127">
        <v>2026</v>
      </c>
      <c r="C664" s="183" t="s">
        <v>22</v>
      </c>
      <c r="D664" s="183" t="s">
        <v>2831</v>
      </c>
      <c r="E664" s="184" t="s">
        <v>2832</v>
      </c>
      <c r="F664" s="185" t="s">
        <v>24</v>
      </c>
      <c r="G664" s="186" t="s">
        <v>25</v>
      </c>
      <c r="H664" s="191" t="s">
        <v>2833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2834</v>
      </c>
    </row>
    <row r="665" spans="1:20" ht="15" x14ac:dyDescent="0.25">
      <c r="A665" s="137" t="s">
        <v>2802</v>
      </c>
      <c r="B665" s="127">
        <v>2026</v>
      </c>
      <c r="C665" s="183" t="s">
        <v>22</v>
      </c>
      <c r="D665" s="183" t="s">
        <v>2803</v>
      </c>
      <c r="E665" s="184" t="s">
        <v>2676</v>
      </c>
      <c r="F665" s="185" t="s">
        <v>24</v>
      </c>
      <c r="G665" s="186" t="s">
        <v>42</v>
      </c>
      <c r="H665" s="191" t="s">
        <v>2804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2769</v>
      </c>
      <c r="B666" s="127">
        <v>2026</v>
      </c>
      <c r="C666" s="183" t="s">
        <v>22</v>
      </c>
      <c r="D666" s="183" t="s">
        <v>2770</v>
      </c>
      <c r="E666" s="184" t="s">
        <v>2771</v>
      </c>
      <c r="F666" s="185" t="s">
        <v>24</v>
      </c>
      <c r="G666" s="186" t="s">
        <v>371</v>
      </c>
      <c r="H666" s="191" t="s">
        <v>2772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2746</v>
      </c>
      <c r="B667" s="127">
        <v>2026</v>
      </c>
      <c r="C667" s="127" t="s">
        <v>22</v>
      </c>
      <c r="D667" s="173" t="s">
        <v>2747</v>
      </c>
      <c r="E667" s="180" t="s">
        <v>2748</v>
      </c>
      <c r="F667" s="129" t="s">
        <v>88</v>
      </c>
      <c r="G667" s="130" t="s">
        <v>2749</v>
      </c>
      <c r="H667" s="175" t="s">
        <v>2750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2860</v>
      </c>
      <c r="B668" s="127">
        <v>2026</v>
      </c>
      <c r="C668" s="216" t="s">
        <v>22</v>
      </c>
      <c r="D668" s="183" t="s">
        <v>2861</v>
      </c>
      <c r="E668" s="184" t="s">
        <v>2862</v>
      </c>
      <c r="F668" s="185" t="s">
        <v>88</v>
      </c>
      <c r="G668" s="186" t="s">
        <v>2749</v>
      </c>
      <c r="H668" s="191" t="s">
        <v>2863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2823</v>
      </c>
      <c r="B669" s="127">
        <v>2026</v>
      </c>
      <c r="C669" s="127" t="s">
        <v>22</v>
      </c>
      <c r="D669" s="173" t="s">
        <v>2824</v>
      </c>
      <c r="E669" s="180" t="s">
        <v>2825</v>
      </c>
      <c r="F669" s="129" t="s">
        <v>69</v>
      </c>
      <c r="G669" s="174" t="s">
        <v>2702</v>
      </c>
      <c r="H669" s="175" t="s">
        <v>2826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2704</v>
      </c>
    </row>
    <row r="670" spans="1:20" ht="30" x14ac:dyDescent="0.25">
      <c r="A670" s="191" t="s">
        <v>2827</v>
      </c>
      <c r="B670" s="127">
        <v>2026</v>
      </c>
      <c r="C670" s="127" t="s">
        <v>22</v>
      </c>
      <c r="D670" s="173" t="s">
        <v>2824</v>
      </c>
      <c r="E670" s="208" t="s">
        <v>2828</v>
      </c>
      <c r="F670" s="129" t="s">
        <v>69</v>
      </c>
      <c r="G670" s="174" t="s">
        <v>2702</v>
      </c>
      <c r="H670" s="175" t="s">
        <v>2829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2704</v>
      </c>
    </row>
    <row r="671" spans="1:20" ht="15" x14ac:dyDescent="0.25">
      <c r="A671" s="191" t="s">
        <v>2919</v>
      </c>
      <c r="B671" s="127">
        <v>2026</v>
      </c>
      <c r="C671" s="183" t="s">
        <v>2774</v>
      </c>
      <c r="D671" s="183" t="s">
        <v>2920</v>
      </c>
      <c r="E671" s="184" t="s">
        <v>2921</v>
      </c>
      <c r="F671" s="185" t="s">
        <v>69</v>
      </c>
      <c r="G671" s="186" t="s">
        <v>79</v>
      </c>
      <c r="H671" s="209" t="s">
        <v>2922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2923</v>
      </c>
    </row>
    <row r="672" spans="1:20" ht="15" x14ac:dyDescent="0.25">
      <c r="A672" s="137" t="s">
        <v>2778</v>
      </c>
      <c r="B672" s="127">
        <v>2026</v>
      </c>
      <c r="C672" s="183" t="s">
        <v>22</v>
      </c>
      <c r="D672" s="183" t="s">
        <v>2779</v>
      </c>
      <c r="E672" s="184" t="s">
        <v>2780</v>
      </c>
      <c r="F672" s="185" t="s">
        <v>24</v>
      </c>
      <c r="G672" s="186" t="s">
        <v>25</v>
      </c>
      <c r="H672" s="191" t="s">
        <v>2781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2782</v>
      </c>
    </row>
    <row r="673" spans="1:20" ht="15" x14ac:dyDescent="0.25">
      <c r="A673" s="137" t="s">
        <v>2720</v>
      </c>
      <c r="B673" s="127">
        <v>2026</v>
      </c>
      <c r="C673" s="127" t="s">
        <v>22</v>
      </c>
      <c r="D673" s="127" t="s">
        <v>2721</v>
      </c>
      <c r="E673" s="128" t="s">
        <v>2722</v>
      </c>
      <c r="F673" s="129" t="s">
        <v>24</v>
      </c>
      <c r="G673" s="144" t="s">
        <v>371</v>
      </c>
      <c r="H673" s="155" t="s">
        <v>2723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2724</v>
      </c>
    </row>
    <row r="674" spans="1:20" ht="15" x14ac:dyDescent="0.25">
      <c r="A674" s="137" t="s">
        <v>2711</v>
      </c>
      <c r="B674" s="127">
        <v>2026</v>
      </c>
      <c r="C674" s="127" t="s">
        <v>22</v>
      </c>
      <c r="D674" s="127" t="s">
        <v>2712</v>
      </c>
      <c r="E674" s="128" t="s">
        <v>2713</v>
      </c>
      <c r="F674" s="129" t="s">
        <v>69</v>
      </c>
      <c r="G674" s="130" t="s">
        <v>2702</v>
      </c>
      <c r="H674" s="172" t="s">
        <v>2714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2715</v>
      </c>
    </row>
    <row r="675" spans="1:20" ht="15" x14ac:dyDescent="0.25">
      <c r="A675" s="137" t="s">
        <v>2742</v>
      </c>
      <c r="B675" s="127">
        <v>2026</v>
      </c>
      <c r="C675" s="127" t="s">
        <v>22</v>
      </c>
      <c r="D675" s="173" t="s">
        <v>2743</v>
      </c>
      <c r="E675" s="128" t="s">
        <v>2744</v>
      </c>
      <c r="F675" s="129" t="s">
        <v>69</v>
      </c>
      <c r="G675" s="174" t="s">
        <v>2702</v>
      </c>
      <c r="H675" s="218" t="s">
        <v>2745</v>
      </c>
      <c r="I675" s="220">
        <v>46120</v>
      </c>
      <c r="J675" s="220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2715</v>
      </c>
    </row>
    <row r="676" spans="1:20" ht="15" x14ac:dyDescent="0.25">
      <c r="A676" s="137" t="s">
        <v>2734</v>
      </c>
      <c r="B676" s="127">
        <v>2026</v>
      </c>
      <c r="C676" s="127" t="s">
        <v>22</v>
      </c>
      <c r="D676" s="127" t="s">
        <v>2735</v>
      </c>
      <c r="E676" s="128" t="s">
        <v>2736</v>
      </c>
      <c r="F676" s="129" t="s">
        <v>69</v>
      </c>
      <c r="G676" s="130" t="s">
        <v>79</v>
      </c>
      <c r="H676" s="127" t="s">
        <v>2737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2794</v>
      </c>
      <c r="B677" s="127">
        <v>2026</v>
      </c>
      <c r="C677" s="193" t="s">
        <v>2774</v>
      </c>
      <c r="D677" s="193" t="s">
        <v>2795</v>
      </c>
      <c r="E677" s="184" t="s">
        <v>2796</v>
      </c>
      <c r="F677" s="185" t="s">
        <v>69</v>
      </c>
      <c r="G677" s="194" t="s">
        <v>2702</v>
      </c>
      <c r="H677" s="195" t="s">
        <v>2777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2704</v>
      </c>
    </row>
    <row r="678" spans="1:20" ht="15" x14ac:dyDescent="0.25">
      <c r="A678" s="191" t="s">
        <v>2892</v>
      </c>
      <c r="B678" s="127">
        <v>2026</v>
      </c>
      <c r="C678" s="193" t="s">
        <v>2774</v>
      </c>
      <c r="D678" s="193" t="s">
        <v>2893</v>
      </c>
      <c r="E678" s="184" t="s">
        <v>2894</v>
      </c>
      <c r="F678" s="185" t="s">
        <v>69</v>
      </c>
      <c r="G678" s="194" t="s">
        <v>79</v>
      </c>
      <c r="H678" s="195" t="s">
        <v>2895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2900</v>
      </c>
      <c r="B679" s="127">
        <v>2026</v>
      </c>
      <c r="C679" s="193" t="s">
        <v>2774</v>
      </c>
      <c r="D679" s="193" t="s">
        <v>2901</v>
      </c>
      <c r="E679" s="203" t="s">
        <v>2902</v>
      </c>
      <c r="F679" s="185" t="s">
        <v>69</v>
      </c>
      <c r="G679" s="186" t="s">
        <v>79</v>
      </c>
      <c r="H679" s="195" t="s">
        <v>2903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2904</v>
      </c>
    </row>
    <row r="680" spans="1:20" ht="15" x14ac:dyDescent="0.25">
      <c r="A680" s="137" t="s">
        <v>2797</v>
      </c>
      <c r="B680" s="127">
        <v>2026</v>
      </c>
      <c r="C680" s="168" t="s">
        <v>2798</v>
      </c>
      <c r="D680" s="152" t="s">
        <v>2799</v>
      </c>
      <c r="E680" s="153" t="s">
        <v>2800</v>
      </c>
      <c r="F680" s="129" t="s">
        <v>24</v>
      </c>
      <c r="G680" s="130" t="s">
        <v>2708</v>
      </c>
      <c r="H680" s="155" t="s">
        <v>2801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2710</v>
      </c>
    </row>
    <row r="681" spans="1:20" ht="15" x14ac:dyDescent="0.25">
      <c r="A681" s="191" t="s">
        <v>2853</v>
      </c>
      <c r="B681" s="127">
        <v>2026</v>
      </c>
      <c r="C681" s="168" t="s">
        <v>22</v>
      </c>
      <c r="D681" s="152" t="s">
        <v>2799</v>
      </c>
      <c r="E681" s="153" t="s">
        <v>2854</v>
      </c>
      <c r="F681" s="129" t="s">
        <v>24</v>
      </c>
      <c r="G681" s="154" t="s">
        <v>2708</v>
      </c>
      <c r="H681" s="155" t="s">
        <v>2855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2710</v>
      </c>
    </row>
    <row r="682" spans="1:20" ht="15" x14ac:dyDescent="0.25">
      <c r="A682" s="191" t="s">
        <v>2873</v>
      </c>
      <c r="B682" s="127">
        <v>2026</v>
      </c>
      <c r="C682" s="193" t="s">
        <v>2798</v>
      </c>
      <c r="D682" s="152" t="s">
        <v>2799</v>
      </c>
      <c r="E682" s="153" t="s">
        <v>2854</v>
      </c>
      <c r="F682" s="185" t="s">
        <v>24</v>
      </c>
      <c r="G682" s="194" t="s">
        <v>2708</v>
      </c>
      <c r="H682" s="195" t="s">
        <v>2874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2710</v>
      </c>
    </row>
    <row r="683" spans="1:20" ht="15" x14ac:dyDescent="0.25">
      <c r="A683" s="137" t="s">
        <v>2694</v>
      </c>
      <c r="B683" s="127">
        <v>2026</v>
      </c>
      <c r="C683" s="152" t="s">
        <v>22</v>
      </c>
      <c r="D683" s="152" t="s">
        <v>2695</v>
      </c>
      <c r="E683" s="153" t="s">
        <v>2696</v>
      </c>
      <c r="F683" s="129" t="s">
        <v>24</v>
      </c>
      <c r="G683" s="130" t="s">
        <v>42</v>
      </c>
      <c r="H683" s="219" t="s">
        <v>2697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2698</v>
      </c>
    </row>
    <row r="684" spans="1:20" ht="15" x14ac:dyDescent="0.25">
      <c r="A684" s="191" t="s">
        <v>2818</v>
      </c>
      <c r="B684" s="152">
        <v>2026</v>
      </c>
      <c r="C684" s="168" t="s">
        <v>22</v>
      </c>
      <c r="D684" s="152" t="s">
        <v>2819</v>
      </c>
      <c r="E684" s="153" t="s">
        <v>2820</v>
      </c>
      <c r="F684" s="161" t="s">
        <v>24</v>
      </c>
      <c r="G684" s="154" t="s">
        <v>25</v>
      </c>
      <c r="H684" s="207" t="s">
        <v>2821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2822</v>
      </c>
    </row>
    <row r="685" spans="1:20" ht="15" x14ac:dyDescent="0.25">
      <c r="A685" s="137" t="s">
        <v>2705</v>
      </c>
      <c r="B685" s="152">
        <v>2026</v>
      </c>
      <c r="C685" s="127" t="s">
        <v>22</v>
      </c>
      <c r="D685" s="131" t="s">
        <v>2706</v>
      </c>
      <c r="E685" s="128" t="s">
        <v>2707</v>
      </c>
      <c r="F685" s="129" t="s">
        <v>24</v>
      </c>
      <c r="G685" s="144" t="s">
        <v>2708</v>
      </c>
      <c r="H685" s="131" t="s">
        <v>2709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2710</v>
      </c>
    </row>
    <row r="686" spans="1:20" ht="15" x14ac:dyDescent="0.25">
      <c r="A686" s="137" t="s">
        <v>2699</v>
      </c>
      <c r="B686" s="152">
        <v>2026</v>
      </c>
      <c r="C686" s="127" t="s">
        <v>22</v>
      </c>
      <c r="D686" s="127" t="s">
        <v>2700</v>
      </c>
      <c r="E686" s="128" t="s">
        <v>2701</v>
      </c>
      <c r="F686" s="129" t="s">
        <v>69</v>
      </c>
      <c r="G686" s="130" t="s">
        <v>2702</v>
      </c>
      <c r="H686" s="131" t="s">
        <v>2703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2704</v>
      </c>
    </row>
    <row r="687" spans="1:20" ht="15" x14ac:dyDescent="0.25">
      <c r="A687" s="191" t="s">
        <v>2805</v>
      </c>
      <c r="B687" s="152">
        <v>2026</v>
      </c>
      <c r="C687" s="127" t="s">
        <v>22</v>
      </c>
      <c r="D687" s="173" t="s">
        <v>2806</v>
      </c>
      <c r="E687" s="180" t="s">
        <v>2807</v>
      </c>
      <c r="F687" s="217" t="s">
        <v>24</v>
      </c>
      <c r="G687" s="174" t="s">
        <v>42</v>
      </c>
      <c r="H687" s="175" t="s">
        <v>2808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2842</v>
      </c>
      <c r="B688" s="152">
        <v>2026</v>
      </c>
      <c r="C688" s="183" t="s">
        <v>22</v>
      </c>
      <c r="D688" s="183" t="s">
        <v>2843</v>
      </c>
      <c r="E688" s="184" t="s">
        <v>2844</v>
      </c>
      <c r="F688" s="185" t="s">
        <v>69</v>
      </c>
      <c r="G688" s="186" t="s">
        <v>79</v>
      </c>
      <c r="H688" s="191" t="s">
        <v>2845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2754</v>
      </c>
    </row>
    <row r="689" spans="1:20" ht="15" x14ac:dyDescent="0.25">
      <c r="A689" s="137" t="s">
        <v>2725</v>
      </c>
      <c r="B689" s="152">
        <v>2026</v>
      </c>
      <c r="C689" s="127" t="s">
        <v>22</v>
      </c>
      <c r="D689" s="127" t="s">
        <v>2726</v>
      </c>
      <c r="E689" s="128" t="s">
        <v>2727</v>
      </c>
      <c r="F689" s="129" t="s">
        <v>24</v>
      </c>
      <c r="G689" s="144" t="s">
        <v>2728</v>
      </c>
      <c r="H689" s="131" t="s">
        <v>2729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2730</v>
      </c>
    </row>
    <row r="690" spans="1:20" ht="15" x14ac:dyDescent="0.25">
      <c r="A690" s="137" t="s">
        <v>2751</v>
      </c>
      <c r="B690" s="152">
        <v>2026</v>
      </c>
      <c r="C690" s="127" t="s">
        <v>22</v>
      </c>
      <c r="D690" s="127" t="s">
        <v>2726</v>
      </c>
      <c r="E690" s="128" t="s">
        <v>2752</v>
      </c>
      <c r="F690" s="129" t="s">
        <v>24</v>
      </c>
      <c r="G690" s="144" t="s">
        <v>2728</v>
      </c>
      <c r="H690" s="131" t="s">
        <v>2753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2754</v>
      </c>
    </row>
    <row r="691" spans="1:20" ht="15" x14ac:dyDescent="0.25">
      <c r="A691" s="137" t="s">
        <v>2790</v>
      </c>
      <c r="B691" s="152">
        <v>2026</v>
      </c>
      <c r="C691" s="183" t="s">
        <v>22</v>
      </c>
      <c r="D691" s="183" t="s">
        <v>2791</v>
      </c>
      <c r="E691" s="184" t="s">
        <v>2792</v>
      </c>
      <c r="F691" s="185" t="s">
        <v>24</v>
      </c>
      <c r="G691" s="186" t="s">
        <v>2728</v>
      </c>
      <c r="H691" s="191" t="s">
        <v>2793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2754</v>
      </c>
    </row>
    <row r="692" spans="1:20" ht="15" x14ac:dyDescent="0.25">
      <c r="A692" s="191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1" t="s">
        <v>2841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2754</v>
      </c>
    </row>
    <row r="693" spans="1:20" ht="15" x14ac:dyDescent="0.25">
      <c r="A693" s="191" t="s">
        <v>2846</v>
      </c>
      <c r="B693" s="152">
        <v>2026</v>
      </c>
      <c r="C693" s="183" t="s">
        <v>2774</v>
      </c>
      <c r="D693" s="183" t="s">
        <v>2847</v>
      </c>
      <c r="E693" s="184" t="s">
        <v>2848</v>
      </c>
      <c r="F693" s="185" t="s">
        <v>24</v>
      </c>
      <c r="G693" s="186" t="s">
        <v>25</v>
      </c>
      <c r="H693" s="191" t="s">
        <v>2777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2941</v>
      </c>
      <c r="B694" s="152">
        <v>2026</v>
      </c>
      <c r="C694" s="127" t="s">
        <v>2774</v>
      </c>
      <c r="D694" s="173" t="s">
        <v>2942</v>
      </c>
      <c r="E694" s="180" t="s">
        <v>2943</v>
      </c>
      <c r="F694" s="129" t="s">
        <v>69</v>
      </c>
      <c r="G694" s="130" t="s">
        <v>79</v>
      </c>
      <c r="H694" s="175" t="s">
        <v>2944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2937</v>
      </c>
      <c r="B695" s="152">
        <v>2026</v>
      </c>
      <c r="C695" s="183" t="s">
        <v>2774</v>
      </c>
      <c r="D695" s="183" t="s">
        <v>2938</v>
      </c>
      <c r="E695" s="184" t="s">
        <v>2939</v>
      </c>
      <c r="F695" s="185" t="s">
        <v>69</v>
      </c>
      <c r="G695" s="186" t="s">
        <v>79</v>
      </c>
      <c r="H695" s="191" t="s">
        <v>2940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2738</v>
      </c>
      <c r="B696" s="152">
        <v>2026</v>
      </c>
      <c r="C696" s="127" t="s">
        <v>22</v>
      </c>
      <c r="D696" s="127" t="s">
        <v>2739</v>
      </c>
      <c r="E696" s="128" t="s">
        <v>2740</v>
      </c>
      <c r="F696" s="129" t="s">
        <v>69</v>
      </c>
      <c r="G696" s="130" t="s">
        <v>79</v>
      </c>
      <c r="H696" s="131" t="s">
        <v>2741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2755</v>
      </c>
      <c r="B697" s="152">
        <v>2026</v>
      </c>
      <c r="C697" s="127" t="s">
        <v>22</v>
      </c>
      <c r="D697" s="173" t="s">
        <v>2756</v>
      </c>
      <c r="E697" s="180" t="s">
        <v>2757</v>
      </c>
      <c r="F697" s="129" t="s">
        <v>24</v>
      </c>
      <c r="G697" s="144" t="s">
        <v>2728</v>
      </c>
      <c r="H697" s="175" t="s">
        <v>2758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2754</v>
      </c>
    </row>
    <row r="698" spans="1:20" ht="15" x14ac:dyDescent="0.25">
      <c r="A698" s="191" t="s">
        <v>2813</v>
      </c>
      <c r="B698" s="152">
        <v>2026</v>
      </c>
      <c r="C698" s="183" t="s">
        <v>2798</v>
      </c>
      <c r="D698" s="183" t="s">
        <v>2814</v>
      </c>
      <c r="E698" s="184" t="s">
        <v>2815</v>
      </c>
      <c r="F698" s="185" t="s">
        <v>24</v>
      </c>
      <c r="G698" s="186" t="s">
        <v>75</v>
      </c>
      <c r="H698" s="191" t="s">
        <v>2816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2817</v>
      </c>
    </row>
    <row r="699" spans="1:20" ht="15" x14ac:dyDescent="0.25">
      <c r="A699" s="137" t="s">
        <v>2759</v>
      </c>
      <c r="B699" s="152">
        <v>2026</v>
      </c>
      <c r="C699" s="127" t="s">
        <v>22</v>
      </c>
      <c r="D699" s="127" t="s">
        <v>2760</v>
      </c>
      <c r="E699" s="128" t="s">
        <v>2761</v>
      </c>
      <c r="F699" s="129" t="s">
        <v>24</v>
      </c>
      <c r="G699" s="130" t="s">
        <v>206</v>
      </c>
      <c r="H699" s="131" t="s">
        <v>2762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2763</v>
      </c>
    </row>
    <row r="700" spans="1:20" ht="15" x14ac:dyDescent="0.25">
      <c r="A700" s="191" t="s">
        <v>2849</v>
      </c>
      <c r="B700" s="152">
        <v>2026</v>
      </c>
      <c r="C700" s="183" t="s">
        <v>22</v>
      </c>
      <c r="D700" s="183" t="s">
        <v>2850</v>
      </c>
      <c r="E700" s="184" t="s">
        <v>2851</v>
      </c>
      <c r="F700" s="185" t="s">
        <v>88</v>
      </c>
      <c r="G700" s="186" t="s">
        <v>2749</v>
      </c>
      <c r="H700" s="191" t="s">
        <v>2852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2856</v>
      </c>
      <c r="B701" s="152">
        <v>2026</v>
      </c>
      <c r="C701" s="183" t="s">
        <v>22</v>
      </c>
      <c r="D701" s="183" t="s">
        <v>2857</v>
      </c>
      <c r="E701" s="184" t="s">
        <v>2858</v>
      </c>
      <c r="F701" s="185" t="s">
        <v>24</v>
      </c>
      <c r="G701" s="186" t="s">
        <v>75</v>
      </c>
      <c r="H701" s="191" t="s">
        <v>2859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2822</v>
      </c>
    </row>
    <row r="702" spans="1:20" ht="15" x14ac:dyDescent="0.25">
      <c r="A702" s="191" t="s">
        <v>2905</v>
      </c>
      <c r="B702" s="152">
        <v>2026</v>
      </c>
      <c r="C702" s="183" t="s">
        <v>2774</v>
      </c>
      <c r="D702" s="183" t="s">
        <v>2906</v>
      </c>
      <c r="E702" s="184" t="s">
        <v>2907</v>
      </c>
      <c r="F702" s="185" t="s">
        <v>69</v>
      </c>
      <c r="G702" s="186" t="s">
        <v>79</v>
      </c>
      <c r="H702" s="191" t="s">
        <v>2903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2908</v>
      </c>
    </row>
    <row r="703" spans="1:20" ht="15" x14ac:dyDescent="0.25">
      <c r="A703" s="191" t="s">
        <v>2896</v>
      </c>
      <c r="B703" s="152">
        <v>2026</v>
      </c>
      <c r="C703" s="183" t="s">
        <v>2774</v>
      </c>
      <c r="D703" s="183" t="s">
        <v>2897</v>
      </c>
      <c r="E703" s="184" t="s">
        <v>2898</v>
      </c>
      <c r="F703" s="185" t="s">
        <v>69</v>
      </c>
      <c r="G703" s="186" t="s">
        <v>79</v>
      </c>
      <c r="H703" s="191" t="s">
        <v>2895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2899</v>
      </c>
    </row>
    <row r="704" spans="1:20" ht="15" x14ac:dyDescent="0.25">
      <c r="A704" s="191" t="s">
        <v>2875</v>
      </c>
      <c r="B704" s="152">
        <v>2026</v>
      </c>
      <c r="C704" s="183" t="s">
        <v>2774</v>
      </c>
      <c r="D704" s="183" t="s">
        <v>2876</v>
      </c>
      <c r="E704" s="184" t="s">
        <v>2877</v>
      </c>
      <c r="F704" s="185" t="s">
        <v>69</v>
      </c>
      <c r="G704" s="186" t="s">
        <v>79</v>
      </c>
      <c r="H704" s="191" t="s">
        <v>2878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2879</v>
      </c>
    </row>
    <row r="705" spans="1:21" ht="15" x14ac:dyDescent="0.25">
      <c r="A705" s="191" t="s">
        <v>2960</v>
      </c>
      <c r="B705" s="152">
        <v>2026</v>
      </c>
      <c r="C705" s="183" t="s">
        <v>2774</v>
      </c>
      <c r="D705" s="183" t="s">
        <v>2961</v>
      </c>
      <c r="E705" s="184" t="s">
        <v>2962</v>
      </c>
      <c r="F705" s="185" t="s">
        <v>69</v>
      </c>
      <c r="G705" s="186" t="s">
        <v>79</v>
      </c>
      <c r="H705" s="191" t="s">
        <v>2912</v>
      </c>
      <c r="I705" s="192" t="s">
        <v>2912</v>
      </c>
      <c r="J705" s="192" t="s">
        <v>2912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2963</v>
      </c>
    </row>
    <row r="706" spans="1:21" ht="15" x14ac:dyDescent="0.25">
      <c r="A706" s="191" t="s">
        <v>2880</v>
      </c>
      <c r="B706" s="152">
        <v>2026</v>
      </c>
      <c r="C706" s="183" t="s">
        <v>2774</v>
      </c>
      <c r="D706" s="183" t="s">
        <v>2881</v>
      </c>
      <c r="E706" s="184" t="s">
        <v>2882</v>
      </c>
      <c r="F706" s="185" t="s">
        <v>69</v>
      </c>
      <c r="G706" s="186" t="s">
        <v>79</v>
      </c>
      <c r="H706" s="191" t="s">
        <v>2883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2888</v>
      </c>
      <c r="B707" s="152">
        <v>2026</v>
      </c>
      <c r="C707" s="183" t="s">
        <v>2774</v>
      </c>
      <c r="D707" s="183" t="s">
        <v>2889</v>
      </c>
      <c r="E707" s="184" t="s">
        <v>2890</v>
      </c>
      <c r="F707" s="185" t="s">
        <v>69</v>
      </c>
      <c r="G707" s="186" t="s">
        <v>79</v>
      </c>
      <c r="H707" s="191" t="s">
        <v>2891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2884</v>
      </c>
      <c r="B708" s="152">
        <v>2026</v>
      </c>
      <c r="C708" s="183" t="s">
        <v>2774</v>
      </c>
      <c r="D708" s="183" t="s">
        <v>2885</v>
      </c>
      <c r="E708" s="184" t="s">
        <v>2886</v>
      </c>
      <c r="F708" s="185" t="s">
        <v>69</v>
      </c>
      <c r="G708" s="186" t="s">
        <v>79</v>
      </c>
      <c r="H708" s="191" t="s">
        <v>2883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2887</v>
      </c>
    </row>
    <row r="709" spans="1:21" ht="15" x14ac:dyDescent="0.25">
      <c r="A709" s="191" t="s">
        <v>2945</v>
      </c>
      <c r="B709" s="152">
        <v>2026</v>
      </c>
      <c r="C709" s="183" t="s">
        <v>2774</v>
      </c>
      <c r="D709" s="183" t="s">
        <v>2946</v>
      </c>
      <c r="E709" s="184" t="s">
        <v>2947</v>
      </c>
      <c r="F709" s="185" t="s">
        <v>24</v>
      </c>
      <c r="G709" s="186" t="s">
        <v>75</v>
      </c>
      <c r="H709" s="191" t="s">
        <v>2948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2949</v>
      </c>
      <c r="U709" s="106"/>
    </row>
    <row r="710" spans="1:21" ht="15" x14ac:dyDescent="0.25">
      <c r="A710" s="191" t="s">
        <v>2864</v>
      </c>
      <c r="B710" s="152">
        <v>2026</v>
      </c>
      <c r="C710" s="183" t="s">
        <v>22</v>
      </c>
      <c r="D710" s="183" t="s">
        <v>2865</v>
      </c>
      <c r="E710" s="184" t="s">
        <v>2866</v>
      </c>
      <c r="F710" s="185" t="s">
        <v>69</v>
      </c>
      <c r="G710" s="186" t="s">
        <v>79</v>
      </c>
      <c r="H710" s="191" t="s">
        <v>2867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2956</v>
      </c>
      <c r="B711" s="152">
        <v>2026</v>
      </c>
      <c r="C711" s="183" t="s">
        <v>2774</v>
      </c>
      <c r="D711" s="183" t="s">
        <v>2957</v>
      </c>
      <c r="E711" s="184" t="s">
        <v>2958</v>
      </c>
      <c r="F711" s="185" t="s">
        <v>24</v>
      </c>
      <c r="G711" s="186" t="s">
        <v>206</v>
      </c>
      <c r="H711" s="191" t="s">
        <v>2883</v>
      </c>
      <c r="I711" s="191" t="s">
        <v>2883</v>
      </c>
      <c r="J711" s="191" t="s">
        <v>2883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2959</v>
      </c>
    </row>
    <row r="712" spans="1:21" ht="15" x14ac:dyDescent="0.25">
      <c r="A712" s="137" t="s">
        <v>2716</v>
      </c>
      <c r="B712" s="152">
        <v>2026</v>
      </c>
      <c r="C712" s="127" t="s">
        <v>22</v>
      </c>
      <c r="D712" s="131" t="s">
        <v>2717</v>
      </c>
      <c r="E712" s="128" t="s">
        <v>2718</v>
      </c>
      <c r="F712" s="129" t="s">
        <v>69</v>
      </c>
      <c r="G712" s="130" t="s">
        <v>79</v>
      </c>
      <c r="H712" s="131" t="s">
        <v>2719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2731</v>
      </c>
      <c r="B713" s="152">
        <v>2026</v>
      </c>
      <c r="C713" s="127" t="s">
        <v>22</v>
      </c>
      <c r="D713" s="131" t="s">
        <v>2717</v>
      </c>
      <c r="E713" s="128" t="s">
        <v>2732</v>
      </c>
      <c r="F713" s="129" t="s">
        <v>69</v>
      </c>
      <c r="G713" s="130" t="s">
        <v>79</v>
      </c>
      <c r="H713" s="131" t="s">
        <v>2733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2914</v>
      </c>
      <c r="B714" s="152">
        <v>2026</v>
      </c>
      <c r="C714" s="183" t="s">
        <v>2774</v>
      </c>
      <c r="D714" s="183" t="s">
        <v>2765</v>
      </c>
      <c r="E714" s="184" t="s">
        <v>2915</v>
      </c>
      <c r="F714" s="185" t="s">
        <v>88</v>
      </c>
      <c r="G714" s="186" t="s">
        <v>2749</v>
      </c>
      <c r="H714" s="191" t="s">
        <v>2916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2917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1" t="s">
        <v>2918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2929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1" t="s">
        <v>2930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2931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1" t="s">
        <v>2932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2933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1" t="s">
        <v>2934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2935</v>
      </c>
      <c r="B719" s="152">
        <v>2026</v>
      </c>
      <c r="C719" s="183" t="s">
        <v>2774</v>
      </c>
      <c r="D719" s="183" t="s">
        <v>2765</v>
      </c>
      <c r="E719" s="184" t="s">
        <v>2915</v>
      </c>
      <c r="F719" s="185" t="s">
        <v>88</v>
      </c>
      <c r="G719" s="186" t="s">
        <v>2749</v>
      </c>
      <c r="H719" s="191" t="s">
        <v>2936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 x14ac:dyDescent="0.25">
      <c r="A720" s="137" t="s">
        <v>2689</v>
      </c>
      <c r="B720" s="152">
        <v>2026</v>
      </c>
      <c r="C720" s="127" t="s">
        <v>22</v>
      </c>
      <c r="D720" s="127" t="s">
        <v>2690</v>
      </c>
      <c r="E720" s="128" t="s">
        <v>2691</v>
      </c>
      <c r="F720" s="129" t="s">
        <v>24</v>
      </c>
      <c r="G720" s="130" t="s">
        <v>206</v>
      </c>
      <c r="H720" s="131" t="s">
        <v>2692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2693</v>
      </c>
    </row>
    <row r="721" spans="1:20" ht="15" x14ac:dyDescent="0.25">
      <c r="A721" s="137" t="s">
        <v>2764</v>
      </c>
      <c r="B721" s="152">
        <v>2026</v>
      </c>
      <c r="C721" s="152" t="s">
        <v>22</v>
      </c>
      <c r="D721" s="152" t="s">
        <v>2765</v>
      </c>
      <c r="E721" s="153" t="s">
        <v>2766</v>
      </c>
      <c r="F721" s="161" t="s">
        <v>88</v>
      </c>
      <c r="G721" s="168" t="s">
        <v>2749</v>
      </c>
      <c r="H721" s="155" t="s">
        <v>2767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2768</v>
      </c>
    </row>
    <row r="722" spans="1:20" ht="15" x14ac:dyDescent="0.25">
      <c r="A722" s="137" t="s">
        <v>2787</v>
      </c>
      <c r="B722" s="127">
        <v>2026</v>
      </c>
      <c r="C722" s="127" t="s">
        <v>22</v>
      </c>
      <c r="D722" s="127" t="s">
        <v>2765</v>
      </c>
      <c r="E722" s="128" t="s">
        <v>2788</v>
      </c>
      <c r="F722" s="129" t="s">
        <v>88</v>
      </c>
      <c r="G722" s="164" t="s">
        <v>2749</v>
      </c>
      <c r="H722" s="131" t="s">
        <v>2789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2768</v>
      </c>
    </row>
    <row r="723" spans="1:20" ht="15" x14ac:dyDescent="0.25">
      <c r="A723" s="137" t="s">
        <v>2783</v>
      </c>
      <c r="B723" s="152">
        <v>2026</v>
      </c>
      <c r="C723" s="183" t="s">
        <v>22</v>
      </c>
      <c r="D723" s="183" t="s">
        <v>2784</v>
      </c>
      <c r="E723" s="184" t="s">
        <v>2785</v>
      </c>
      <c r="F723" s="185" t="s">
        <v>88</v>
      </c>
      <c r="G723" s="186" t="s">
        <v>2749</v>
      </c>
      <c r="H723" s="191" t="s">
        <v>2786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2809</v>
      </c>
      <c r="B724" s="151">
        <v>2026</v>
      </c>
      <c r="C724" s="183" t="s">
        <v>22</v>
      </c>
      <c r="D724" s="183" t="s">
        <v>2810</v>
      </c>
      <c r="E724" s="184" t="s">
        <v>2811</v>
      </c>
      <c r="F724" s="185" t="s">
        <v>88</v>
      </c>
      <c r="G724" s="186" t="s">
        <v>2749</v>
      </c>
      <c r="H724" s="191" t="s">
        <v>2812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2784</v>
      </c>
      <c r="E725" s="184" t="s">
        <v>3183</v>
      </c>
      <c r="F725" s="185"/>
      <c r="G725" s="186" t="s">
        <v>2749</v>
      </c>
      <c r="H725" s="191" t="s">
        <v>3182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2965</v>
      </c>
      <c r="B726" s="183">
        <v>2026</v>
      </c>
      <c r="C726" s="183" t="s">
        <v>2774</v>
      </c>
      <c r="D726" s="212"/>
      <c r="E726" s="184" t="s">
        <v>3165</v>
      </c>
      <c r="F726" s="185"/>
      <c r="G726" s="186" t="s">
        <v>2749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2966</v>
      </c>
      <c r="B727" s="183">
        <v>2026</v>
      </c>
      <c r="C727" s="183" t="s">
        <v>2774</v>
      </c>
      <c r="D727" s="183"/>
      <c r="E727" s="180" t="s">
        <v>3166</v>
      </c>
      <c r="F727" s="185"/>
      <c r="G727" s="186" t="s">
        <v>2749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2967</v>
      </c>
      <c r="B728" s="183">
        <v>2026</v>
      </c>
      <c r="C728" s="183" t="s">
        <v>2774</v>
      </c>
      <c r="D728" s="183"/>
      <c r="E728" s="180" t="s">
        <v>3164</v>
      </c>
      <c r="F728" s="185"/>
      <c r="G728" s="186" t="s">
        <v>2749</v>
      </c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 x14ac:dyDescent="0.25">
      <c r="A729" s="191" t="s">
        <v>2968</v>
      </c>
      <c r="B729" s="183">
        <v>2026</v>
      </c>
      <c r="C729" s="183" t="s">
        <v>2774</v>
      </c>
      <c r="D729" s="183"/>
      <c r="E729" s="180" t="s">
        <v>3167</v>
      </c>
      <c r="F729" s="185"/>
      <c r="G729" s="186" t="s">
        <v>2749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3173</v>
      </c>
      <c r="B730" s="183">
        <v>2026</v>
      </c>
      <c r="C730" s="183" t="s">
        <v>2774</v>
      </c>
      <c r="D730" s="183"/>
      <c r="E730" s="203" t="s">
        <v>3168</v>
      </c>
      <c r="F730" s="185"/>
      <c r="G730" s="186" t="s">
        <v>2749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3174</v>
      </c>
      <c r="B731" s="183">
        <v>2026</v>
      </c>
      <c r="C731" s="183" t="s">
        <v>2774</v>
      </c>
      <c r="D731" s="183"/>
      <c r="E731" s="203" t="s">
        <v>3170</v>
      </c>
      <c r="F731" s="185"/>
      <c r="G731" s="186" t="s">
        <v>2749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3175</v>
      </c>
      <c r="B732" s="183">
        <v>2026</v>
      </c>
      <c r="C732" s="183" t="s">
        <v>2774</v>
      </c>
      <c r="D732" s="183"/>
      <c r="E732" s="184" t="s">
        <v>3169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3176</v>
      </c>
      <c r="B733" s="183">
        <v>2026</v>
      </c>
      <c r="C733" s="183" t="s">
        <v>2774</v>
      </c>
      <c r="D733" s="183"/>
      <c r="E733" s="203" t="s">
        <v>3171</v>
      </c>
      <c r="F733" s="185"/>
      <c r="G733" s="186" t="s">
        <v>2749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3177</v>
      </c>
      <c r="B734" s="183">
        <v>2026</v>
      </c>
      <c r="C734" s="183" t="s">
        <v>2774</v>
      </c>
      <c r="D734" s="183"/>
      <c r="E734" s="184" t="s">
        <v>3172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242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3180</v>
      </c>
      <c r="E735" s="184" t="s">
        <v>3179</v>
      </c>
      <c r="F735" s="185"/>
      <c r="G735" s="186" t="s">
        <v>206</v>
      </c>
      <c r="H735" s="191" t="s">
        <v>3180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3181</v>
      </c>
    </row>
    <row r="736" spans="1:20" ht="15" x14ac:dyDescent="0.25">
      <c r="A736" s="242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2774</v>
      </c>
      <c r="D736" s="183" t="s">
        <v>3184</v>
      </c>
      <c r="E736" s="184" t="s">
        <v>3178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242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x14ac:dyDescent="0.25">
      <c r="A738" s="242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242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242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242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242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242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242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242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242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242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242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242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242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242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242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242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242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242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242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242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242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242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242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242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242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242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242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242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242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242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242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242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242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242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242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242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242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242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242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242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242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242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242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242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242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242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242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242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242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242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242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242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242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242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242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242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242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242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242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242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242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242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242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242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242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242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242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242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242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242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242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242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242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242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242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242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242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242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242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242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242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242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242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242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242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242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242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242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242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242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242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242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242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242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242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242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242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242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242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242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242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242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242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242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242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242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242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242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242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242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242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242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242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242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242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242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242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242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242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242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242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242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242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242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242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242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242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242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242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242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242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242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242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242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242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242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242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242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242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242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242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242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242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242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242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242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242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242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242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242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242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242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242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242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242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242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242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242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242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242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242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242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242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242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242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242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242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242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242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242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242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242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242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242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242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242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242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242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242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242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242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242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242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242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242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242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242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242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242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242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242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242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242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242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242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242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242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242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242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242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242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242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242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242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242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242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242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242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242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242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242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242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242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242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242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242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242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242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242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242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242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242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242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242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242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242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242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242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242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242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242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242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242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242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242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242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242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242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242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242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242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242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242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242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242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242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242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242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242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242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242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242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242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242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242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242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242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242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242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242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242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242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242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242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242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242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242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242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242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242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242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242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242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242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242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242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242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242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242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242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242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242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242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242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242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242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242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242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242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242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242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242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242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242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242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242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242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242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242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242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242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242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242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242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242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242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242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242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242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242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242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242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242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242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242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242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242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242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242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242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242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242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242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242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242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242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242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242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242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242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242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242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242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242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242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242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242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242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242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242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242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242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242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242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242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242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242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242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242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242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242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242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242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242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242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242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242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242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242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242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242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242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242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242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242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242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242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242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242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242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242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242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242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242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242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242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242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242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242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242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242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242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242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242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242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242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242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242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242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242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242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242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242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242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242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242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242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242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242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242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242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242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242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242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242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242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242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242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242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242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242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242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242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242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242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242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242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242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242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242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242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242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242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242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242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242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242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242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242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242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242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242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242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242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242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242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242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242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242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242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242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242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242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242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242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242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242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242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242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242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242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242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242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242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242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242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242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242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242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242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242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242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242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242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242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242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242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242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242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242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242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242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242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242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242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242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242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242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242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242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242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242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242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242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242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242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242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242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242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242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242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242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242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242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242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242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242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242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242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242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242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242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242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242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242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242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242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242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242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242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242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242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242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242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242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242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242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242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242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242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242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242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242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242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242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242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242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242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242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242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242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242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242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242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242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242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242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242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242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242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242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242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242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242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242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242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242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242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242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242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242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242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242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242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242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242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242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242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242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242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242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242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242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242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242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242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242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242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242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242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242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242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242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242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242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242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242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242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242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242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242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242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242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242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242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242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242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242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242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242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242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242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242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242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242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242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242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242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242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242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242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242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242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242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242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242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242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242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242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242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242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242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242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242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242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242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242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242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242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242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242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242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242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242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242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242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242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242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242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242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242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242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242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242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242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242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242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242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242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242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242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242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242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242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242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242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242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242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242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242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242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242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242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242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242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242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242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242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242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242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242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242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242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242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242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242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242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242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242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242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242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242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242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242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242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242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242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242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242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242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242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242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242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242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242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242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242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242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242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242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242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242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242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242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242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242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242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242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242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242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242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242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242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242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242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242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242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242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242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242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242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242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242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242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242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242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242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242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242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242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242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242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242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242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242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242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242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242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242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242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242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242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242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242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242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242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242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242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242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242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242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242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242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242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242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242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242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242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242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242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242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242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242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242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242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242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242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242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242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242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242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242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242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4"/>
      <c r="C2002" s="193"/>
      <c r="D2002" s="193"/>
      <c r="E2002" s="184"/>
      <c r="F2002" s="211"/>
      <c r="G2002" s="194"/>
      <c r="H2002" s="195"/>
      <c r="I2002" s="196"/>
      <c r="J2002" s="196"/>
      <c r="K2002" s="225"/>
      <c r="L2002" s="226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4"/>
      <c r="C2003" s="193"/>
      <c r="D2003" s="193"/>
      <c r="E2003" s="184"/>
      <c r="F2003" s="211"/>
      <c r="G2003" s="194"/>
      <c r="H2003" s="195"/>
      <c r="I2003" s="196"/>
      <c r="J2003" s="196"/>
      <c r="K2003" s="225"/>
      <c r="L2003" s="226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1"/>
      <c r="C2004" s="183"/>
      <c r="D2004" s="183"/>
      <c r="E2004" s="184"/>
      <c r="F2004" s="185"/>
      <c r="G2004" s="186"/>
      <c r="H2004" s="191"/>
      <c r="I2004" s="192"/>
      <c r="J2004" s="192"/>
      <c r="K2004" s="222"/>
      <c r="L2004" s="223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4"/>
      <c r="C2005" s="193"/>
      <c r="D2005" s="193"/>
      <c r="E2005" s="184"/>
      <c r="F2005" s="211"/>
      <c r="G2005" s="194"/>
      <c r="H2005" s="195"/>
      <c r="I2005" s="196"/>
      <c r="J2005" s="196"/>
      <c r="K2005" s="225"/>
      <c r="L2005" s="226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1"/>
      <c r="C2006" s="183"/>
      <c r="D2006" s="183"/>
      <c r="E2006" s="184"/>
      <c r="F2006" s="185"/>
      <c r="G2006" s="186"/>
      <c r="H2006" s="191"/>
      <c r="I2006" s="192"/>
      <c r="J2006" s="192"/>
      <c r="K2006" s="222"/>
      <c r="L2006" s="223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4"/>
      <c r="C2007" s="193"/>
      <c r="D2007" s="193"/>
      <c r="E2007" s="203"/>
      <c r="F2007" s="211"/>
      <c r="G2007" s="194"/>
      <c r="H2007" s="195"/>
      <c r="I2007" s="196"/>
      <c r="J2007" s="196"/>
      <c r="K2007" s="225"/>
      <c r="L2007" s="226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7" priority="3">
      <formula>TRIM(C2)="Realizado"</formula>
    </cfRule>
  </conditionalFormatting>
  <conditionalFormatting sqref="C2:C2007">
    <cfRule type="expression" dxfId="6" priority="4">
      <formula>TRIM(C2)="Cancelado"</formula>
    </cfRule>
  </conditionalFormatting>
  <conditionalFormatting sqref="C2:C2007">
    <cfRule type="expression" dxfId="5" priority="5">
      <formula>TRIM(C2)="Em andamento"</formula>
    </cfRule>
  </conditionalFormatting>
  <conditionalFormatting sqref="C2:C2007">
    <cfRule type="expression" dxfId="4" priority="6">
      <formula>TRIM(C2)="Adiado"</formula>
    </cfRule>
  </conditionalFormatting>
  <conditionalFormatting sqref="A2:A2007">
    <cfRule type="expression" dxfId="3" priority="7">
      <formula>AND($B2&lt;&gt;"",$A2="")</formula>
    </cfRule>
  </conditionalFormatting>
  <conditionalFormatting sqref="L2:M2007">
    <cfRule type="expression" dxfId="2" priority="8">
      <formula>L2=""</formula>
    </cfRule>
  </conditionalFormatting>
  <conditionalFormatting sqref="A727:C727 E727:T727 A2002:A2006 E2007 A2:T726 A728:T2001">
    <cfRule type="expression" dxfId="1" priority="9">
      <formula>MOD(ROW(),2)=0</formula>
    </cfRule>
  </conditionalFormatting>
  <conditionalFormatting sqref="A727:C727 E727:T727 A2002:A2006 E2007 A2:T726 A728:T2001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14" t="s">
        <v>2970</v>
      </c>
    </row>
    <row r="2" spans="1:8" x14ac:dyDescent="0.25">
      <c r="H2" s="213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13" t="s">
        <v>2975</v>
      </c>
    </row>
    <row r="4" spans="1:8" x14ac:dyDescent="0.25">
      <c r="A4">
        <v>1</v>
      </c>
      <c r="B4" t="s">
        <v>2976</v>
      </c>
      <c r="D4" t="s">
        <v>2977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2978</v>
      </c>
    </row>
    <row r="5" spans="1:8" x14ac:dyDescent="0.25">
      <c r="A5">
        <v>2</v>
      </c>
      <c r="B5" t="s">
        <v>2507</v>
      </c>
      <c r="D5" t="s">
        <v>2977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2979</v>
      </c>
    </row>
    <row r="6" spans="1:8" x14ac:dyDescent="0.25">
      <c r="A6">
        <v>3</v>
      </c>
      <c r="B6" t="s">
        <v>1030</v>
      </c>
      <c r="D6" t="s">
        <v>2977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 x14ac:dyDescent="0.25">
      <c r="A7">
        <v>4</v>
      </c>
      <c r="B7" t="s">
        <v>2980</v>
      </c>
      <c r="D7" t="s">
        <v>2977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2981</v>
      </c>
    </row>
    <row r="8" spans="1:8" x14ac:dyDescent="0.25">
      <c r="A8">
        <v>5</v>
      </c>
      <c r="B8" t="s">
        <v>2982</v>
      </c>
      <c r="D8" t="s">
        <v>2977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13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aca="1" ref="A2:J11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A realizar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A realizar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A realizar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8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A realizar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59" ca="1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A realizar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A realizar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A realizar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A realizar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A realizar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A realizar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A realizar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A realizar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A realizar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A realizar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2884</v>
      </c>
      <c r="Y43" s="18" t="s">
        <v>3012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2884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2026-079</v>
      </c>
      <c r="N58" t="str">
        <f ca="1"/>
        <v>Realizado</v>
      </c>
      <c r="O58" t="str">
        <f ca="1"/>
        <v>Café e Tertúlia: Gincana dos Neurotransmissores</v>
      </c>
      <c r="P58">
        <f ca="1"/>
        <v>2</v>
      </c>
      <c r="Q58" t="str">
        <f ca="1"/>
        <v>Isac Mendes Caixeta de Pamplona Araújo; Valéria Feitoza; Cinthia Thais de Carvalho Luz Thomazi</v>
      </c>
      <c r="R58">
        <f ca="1"/>
        <v>3</v>
      </c>
      <c r="S58">
        <f ca="1"/>
        <v>115</v>
      </c>
      <c r="T58">
        <f ca="1"/>
        <v>112</v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R59" t="str">
        <f ca="1"/>
        <v/>
      </c>
      <c r="S59" t="str">
        <f ca="1"/>
        <v/>
      </c>
      <c r="T59">
        <f ca="1"/>
        <v>115</v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2849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2026-046</v>
      </c>
      <c r="C76" t="str">
        <f ca="1"/>
        <v>A realizar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2888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2888</v>
      </c>
      <c r="Y77" t="s">
        <v>3009</v>
      </c>
      <c r="AA77">
        <v>1.2</v>
      </c>
    </row>
    <row r="78" spans="1:27" x14ac:dyDescent="0.25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2896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A realizar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2896</v>
      </c>
      <c r="Y79" t="s">
        <v>3013</v>
      </c>
      <c r="AA79">
        <v>1.2</v>
      </c>
    </row>
    <row r="80" spans="1:27" x14ac:dyDescent="0.25">
      <c r="A80">
        <f ca="1"/>
        <v>2026</v>
      </c>
      <c r="B80" t="str">
        <f ca="1"/>
        <v>2026-047</v>
      </c>
      <c r="C80" t="str">
        <f ca="1"/>
        <v>A realizar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2900</v>
      </c>
      <c r="Y80" t="s">
        <v>3010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2905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2905</v>
      </c>
      <c r="Y82" t="s">
        <v>3014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A realizar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2026-048</v>
      </c>
      <c r="C84" t="str">
        <f ca="1"/>
        <v>A realizar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2026-079</v>
      </c>
      <c r="C114" t="str">
        <f ca="1"/>
        <v>Realizado</v>
      </c>
      <c r="D114" t="str">
        <f ca="1"/>
        <v>Café e Tertúlia: Gincana dos Neurotransmissores</v>
      </c>
      <c r="E114">
        <f ca="1"/>
        <v>2</v>
      </c>
      <c r="F114" t="str">
        <f ca="1"/>
        <v>Isac Mendes Caixeta de Pamplona Araújo</v>
      </c>
      <c r="G114">
        <f ca="1"/>
        <v>3</v>
      </c>
      <c r="H114">
        <f ca="1"/>
        <v>2</v>
      </c>
      <c r="I114">
        <f ca="1"/>
        <v>0.6</v>
      </c>
      <c r="J114">
        <f ca="1"/>
        <v>2.6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Valéria Feitoza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Cinthia Thais de Carvalho Luz Thomazi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R117" t="str">
        <f ca="1"/>
        <v/>
      </c>
      <c r="S117" t="str">
        <f ca="1"/>
        <v/>
      </c>
    </row>
    <row r="118" spans="1:19" x14ac:dyDescent="0.25"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3056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3057</v>
      </c>
      <c r="B4" s="231"/>
      <c r="D4" s="232" t="s">
        <v>3058</v>
      </c>
      <c r="E4" s="233"/>
      <c r="G4" s="45" t="s">
        <v>3059</v>
      </c>
    </row>
    <row r="5" spans="1:7" ht="54.95" customHeight="1" thickBot="1" x14ac:dyDescent="0.75">
      <c r="A5" s="35">
        <f>COUNTIF('Ações InCompany'!B:B,2026)</f>
        <v>80</v>
      </c>
      <c r="B5" s="36" t="s">
        <v>3060</v>
      </c>
      <c r="D5" s="43">
        <f>COUNTIFS('Ações InCompany'!B:B,2026,'Ações InCompany'!C:C,"Realizado")</f>
        <v>40</v>
      </c>
      <c r="E5" s="44" t="s">
        <v>3060</v>
      </c>
      <c r="G5" s="46">
        <f>COUNTIFS('Ações InCompany'!B:B,2026,'Ações InCompany'!C:C,"A realizar")</f>
        <v>37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3061</v>
      </c>
      <c r="B8" s="227"/>
      <c r="D8" s="227" t="s">
        <v>3062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1848</v>
      </c>
    </row>
    <row r="30" spans="1:5" ht="17.25" x14ac:dyDescent="0.3">
      <c r="A30" s="227" t="s">
        <v>3071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40</v>
      </c>
      <c r="C45" s="41">
        <f>SUM(C33:C44)</f>
        <v>37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3122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3123</v>
      </c>
    </row>
    <row r="4" spans="1:8" ht="21.95" customHeight="1" x14ac:dyDescent="0.25">
      <c r="A4" s="235" t="s">
        <v>3124</v>
      </c>
      <c r="B4" s="236"/>
      <c r="D4" s="235" t="s">
        <v>3125</v>
      </c>
      <c r="E4" s="236"/>
      <c r="G4" s="235" t="s">
        <v>3126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3132</v>
      </c>
      <c r="B1" s="240"/>
      <c r="C1" s="240"/>
      <c r="D1" s="240"/>
      <c r="E1" s="240"/>
      <c r="F1" s="240"/>
    </row>
    <row r="2" spans="1:7" x14ac:dyDescent="0.25">
      <c r="A2" s="241" t="s">
        <v>3133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18</v>
      </c>
      <c r="C24" s="26">
        <f ca="1">IF($A24="","",SUMIFS('GECC 2026'!I$2:I$200,'GECC 2026'!F$2:F$200,$A24))</f>
        <v>5.4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23.4</v>
      </c>
      <c r="F24" s="24">
        <f ca="1">IF($A24="","",COUNTIFS('GECC 2026'!F$2:F$200,$A24))</f>
        <v>5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6</v>
      </c>
      <c r="C53" s="26">
        <f ca="1">IF($A53="","",SUMIFS('GECC 2026'!I$2:I$200,'GECC 2026'!F$2:F$200,$A53))</f>
        <v>1.7999999999999998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7.8</v>
      </c>
      <c r="F53" s="24">
        <f ca="1">IF($A53="","",COUNTIFS('GECC 2026'!F$2:F$200,$A53))</f>
        <v>2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 ca="1">SUM(B5:B100)</f>
        <v>691</v>
      </c>
      <c r="C105" s="95">
        <f ca="1">SUM(C5:C100)</f>
        <v>378.14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11" priority="1">
      <formula>$J2="CORRIGIR"</formula>
    </cfRule>
  </conditionalFormatting>
  <conditionalFormatting sqref="A2:L65">
    <cfRule type="expression" dxfId="10" priority="2">
      <formula>$J2="REVISAR"</formula>
    </cfRule>
  </conditionalFormatting>
  <conditionalFormatting sqref="A2:L65">
    <cfRule type="expression" dxfId="9" priority="3">
      <formula>$J2="OK"</formula>
    </cfRule>
  </conditionalFormatting>
  <conditionalFormatting sqref="I2:I65">
    <cfRule type="containsText" dxfId="8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e686eaa-0658-4f15-b230-9e46c4d089fd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2026-08-05T16:58:07Z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