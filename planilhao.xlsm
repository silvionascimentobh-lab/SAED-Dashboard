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55" documentId="8_{454372C2-A99E-4E47-A759-72B38925853E}" xr6:coauthVersionLast="47" xr6:coauthVersionMax="47" xr10:uidLastSave="{54FA7668-AAB2-40E9-8BD9-DF15F7AEF996}"/>
  <bookViews>
    <workbookView minimized="1"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/>
  <c r="O4" i="29"/>
  <c r="P4" i="29"/>
  <c r="Q4" i="29"/>
  <c r="R4" i="29"/>
  <c r="O5" i="29"/>
  <c r="P5" i="29"/>
  <c r="Q5" i="29"/>
  <c r="R5" i="29"/>
  <c r="O6" i="29"/>
  <c r="P6" i="29"/>
  <c r="Q6" i="29"/>
  <c r="R6" i="29"/>
  <c r="O7" i="29"/>
  <c r="P7" i="29"/>
  <c r="Q7" i="29"/>
  <c r="R7" i="29"/>
  <c r="O8" i="29"/>
  <c r="P8" i="29"/>
  <c r="Q8" i="29"/>
  <c r="R8" i="29"/>
  <c r="L65" i="29"/>
  <c r="A65" i="29"/>
  <c r="B65" i="29"/>
  <c r="C65" i="29"/>
  <c r="D65" i="29"/>
  <c r="E65" i="29"/>
  <c r="F65" i="29"/>
  <c r="G65" i="29"/>
  <c r="H65" i="29"/>
  <c r="I65" i="29"/>
  <c r="L64" i="29"/>
  <c r="A64" i="29"/>
  <c r="B64" i="29"/>
  <c r="C64" i="29"/>
  <c r="D64" i="29"/>
  <c r="E64" i="29"/>
  <c r="F64" i="29"/>
  <c r="G64" i="29"/>
  <c r="H64" i="29"/>
  <c r="I64" i="29"/>
  <c r="L63" i="29"/>
  <c r="A63" i="29"/>
  <c r="B63" i="29"/>
  <c r="C63" i="29"/>
  <c r="D63" i="29"/>
  <c r="E63" i="29"/>
  <c r="F63" i="29"/>
  <c r="G63" i="29"/>
  <c r="H63" i="29"/>
  <c r="I63" i="29"/>
  <c r="L62" i="29"/>
  <c r="A62" i="29"/>
  <c r="B62" i="29"/>
  <c r="C62" i="29"/>
  <c r="D62" i="29"/>
  <c r="E62" i="29"/>
  <c r="F62" i="29"/>
  <c r="G62" i="29"/>
  <c r="H62" i="29"/>
  <c r="I62" i="29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/>
  <c r="L58" i="29"/>
  <c r="A58" i="29"/>
  <c r="B58" i="29"/>
  <c r="C58" i="29"/>
  <c r="D58" i="29"/>
  <c r="E58" i="29"/>
  <c r="F58" i="29"/>
  <c r="G58" i="29"/>
  <c r="H58" i="29"/>
  <c r="I58" i="29"/>
  <c r="L57" i="29"/>
  <c r="A57" i="29"/>
  <c r="B57" i="29"/>
  <c r="C57" i="29"/>
  <c r="D57" i="29"/>
  <c r="E57" i="29"/>
  <c r="F57" i="29"/>
  <c r="G57" i="29"/>
  <c r="H57" i="29"/>
  <c r="I57" i="29"/>
  <c r="L56" i="29"/>
  <c r="A56" i="29"/>
  <c r="B56" i="29"/>
  <c r="C56" i="29"/>
  <c r="D56" i="29"/>
  <c r="E56" i="29"/>
  <c r="F56" i="29"/>
  <c r="G56" i="29"/>
  <c r="H56" i="29"/>
  <c r="I56" i="29"/>
  <c r="L55" i="29"/>
  <c r="A55" i="29"/>
  <c r="B55" i="29"/>
  <c r="C55" i="29"/>
  <c r="D55" i="29"/>
  <c r="E55" i="29"/>
  <c r="F55" i="29"/>
  <c r="G55" i="29"/>
  <c r="H55" i="29"/>
  <c r="I55" i="29"/>
  <c r="L54" i="29"/>
  <c r="A54" i="29"/>
  <c r="B54" i="29"/>
  <c r="C54" i="29"/>
  <c r="D54" i="29"/>
  <c r="E54" i="29"/>
  <c r="F54" i="29"/>
  <c r="G54" i="29"/>
  <c r="H54" i="29"/>
  <c r="I54" i="29"/>
  <c r="L53" i="29"/>
  <c r="A53" i="29"/>
  <c r="B53" i="29"/>
  <c r="C53" i="29"/>
  <c r="D53" i="29"/>
  <c r="E53" i="29"/>
  <c r="F53" i="29"/>
  <c r="G53" i="29"/>
  <c r="H53" i="29"/>
  <c r="I53" i="29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/>
  <c r="L49" i="29"/>
  <c r="A49" i="29"/>
  <c r="B49" i="29"/>
  <c r="C49" i="29"/>
  <c r="D49" i="29"/>
  <c r="E49" i="29"/>
  <c r="F49" i="29"/>
  <c r="G49" i="29"/>
  <c r="H49" i="29"/>
  <c r="I49" i="29"/>
  <c r="L48" i="29"/>
  <c r="A48" i="29"/>
  <c r="B48" i="29"/>
  <c r="C48" i="29"/>
  <c r="D48" i="29"/>
  <c r="E48" i="29"/>
  <c r="F48" i="29"/>
  <c r="G48" i="29"/>
  <c r="H48" i="29"/>
  <c r="I48" i="29"/>
  <c r="L47" i="29"/>
  <c r="A47" i="29"/>
  <c r="B47" i="29"/>
  <c r="C47" i="29"/>
  <c r="D47" i="29"/>
  <c r="E47" i="29"/>
  <c r="F47" i="29"/>
  <c r="G47" i="29"/>
  <c r="H47" i="29"/>
  <c r="I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/>
  <c r="L39" i="29"/>
  <c r="A39" i="29"/>
  <c r="B39" i="29"/>
  <c r="C39" i="29"/>
  <c r="D39" i="29"/>
  <c r="E39" i="29"/>
  <c r="F39" i="29"/>
  <c r="G39" i="29"/>
  <c r="H39" i="29"/>
  <c r="I39" i="29"/>
  <c r="L38" i="29"/>
  <c r="A38" i="29"/>
  <c r="B38" i="29"/>
  <c r="C38" i="29"/>
  <c r="D38" i="29"/>
  <c r="E38" i="29"/>
  <c r="F38" i="29"/>
  <c r="G38" i="29"/>
  <c r="H38" i="29"/>
  <c r="I38" i="29"/>
  <c r="L37" i="29"/>
  <c r="A37" i="29"/>
  <c r="B37" i="29"/>
  <c r="C37" i="29"/>
  <c r="D37" i="29"/>
  <c r="E37" i="29"/>
  <c r="F37" i="29"/>
  <c r="G37" i="29"/>
  <c r="H37" i="29"/>
  <c r="I37" i="29"/>
  <c r="L36" i="29"/>
  <c r="A36" i="29"/>
  <c r="B36" i="29"/>
  <c r="C36" i="29"/>
  <c r="D36" i="29"/>
  <c r="E36" i="29"/>
  <c r="F36" i="29"/>
  <c r="G36" i="29"/>
  <c r="H36" i="29"/>
  <c r="I36" i="29"/>
  <c r="L35" i="29"/>
  <c r="A35" i="29"/>
  <c r="B35" i="29"/>
  <c r="C35" i="29"/>
  <c r="D35" i="29"/>
  <c r="E35" i="29"/>
  <c r="F35" i="29"/>
  <c r="G35" i="29"/>
  <c r="H35" i="29"/>
  <c r="I35" i="29"/>
  <c r="L34" i="29"/>
  <c r="A34" i="29"/>
  <c r="B34" i="29"/>
  <c r="C34" i="29"/>
  <c r="D34" i="29"/>
  <c r="E34" i="29"/>
  <c r="F34" i="29"/>
  <c r="G34" i="29"/>
  <c r="H34" i="29"/>
  <c r="I34" i="29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/>
  <c r="L30" i="29"/>
  <c r="A30" i="29"/>
  <c r="B30" i="29"/>
  <c r="C30" i="29"/>
  <c r="D30" i="29"/>
  <c r="E30" i="29"/>
  <c r="F30" i="29"/>
  <c r="G30" i="29"/>
  <c r="H30" i="29"/>
  <c r="I30" i="29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/>
  <c r="L14" i="29"/>
  <c r="A14" i="29"/>
  <c r="B14" i="29"/>
  <c r="C14" i="29"/>
  <c r="D14" i="29"/>
  <c r="E14" i="29"/>
  <c r="F14" i="29"/>
  <c r="G14" i="29"/>
  <c r="H14" i="29"/>
  <c r="I14" i="29"/>
  <c r="L13" i="29"/>
  <c r="A13" i="29"/>
  <c r="B13" i="29"/>
  <c r="C13" i="29"/>
  <c r="D13" i="29"/>
  <c r="E13" i="29"/>
  <c r="F13" i="29"/>
  <c r="G13" i="29"/>
  <c r="H13" i="29"/>
  <c r="I13" i="29"/>
  <c r="L12" i="29"/>
  <c r="A12" i="29"/>
  <c r="B12" i="29"/>
  <c r="C12" i="29"/>
  <c r="D12" i="29"/>
  <c r="E12" i="29"/>
  <c r="F12" i="29"/>
  <c r="G12" i="29"/>
  <c r="H12" i="29"/>
  <c r="I12" i="29"/>
  <c r="L11" i="29"/>
  <c r="A11" i="29"/>
  <c r="B11" i="29"/>
  <c r="C11" i="29"/>
  <c r="D11" i="29"/>
  <c r="E11" i="29"/>
  <c r="F11" i="29"/>
  <c r="G11" i="29"/>
  <c r="H11" i="29"/>
  <c r="I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7" i="29"/>
  <c r="S8" i="29"/>
  <c r="S3" i="29"/>
  <c r="S4" i="29"/>
  <c r="S5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l="1" a="1"/>
  <c r="E105" i="23"/>
  <c r="D5" i="23" l="1"/>
  <c r="B5" i="23"/>
  <c r="F5" i="23"/>
  <c r="E5" i="23"/>
  <c r="G5" i="23"/>
  <c r="C5" i="23"/>
  <c r="E18" i="23"/>
  <c r="C51" i="23"/>
  <c r="B39" i="23"/>
  <c r="F26" i="23"/>
  <c r="F35" i="23"/>
  <c r="E52" i="23"/>
  <c r="F43" i="23"/>
  <c r="C24" i="23"/>
  <c r="F45" i="23"/>
  <c r="E39" i="23"/>
  <c r="D11" i="23"/>
  <c r="D37" i="23"/>
  <c r="C36" i="23"/>
  <c r="D12" i="23"/>
  <c r="F48" i="23"/>
  <c r="B17" i="23"/>
  <c r="C29" i="23"/>
  <c r="B33" i="23"/>
  <c r="E28" i="23"/>
  <c r="B13" i="23"/>
  <c r="C6" i="23"/>
  <c r="B44" i="23"/>
  <c r="C49" i="23"/>
  <c r="F41" i="23"/>
  <c r="B51" i="23"/>
  <c r="C46" i="23"/>
  <c r="C12" i="23"/>
  <c r="E50" i="23"/>
  <c r="C27" i="23"/>
  <c r="B10" i="23"/>
  <c r="D16" i="23"/>
  <c r="E16" i="23"/>
  <c r="C54" i="23"/>
  <c r="E45" i="23"/>
  <c r="F24" i="23"/>
  <c r="F34" i="23"/>
  <c r="F56" i="23"/>
  <c r="E47" i="23"/>
  <c r="B28" i="23"/>
  <c r="D56" i="23"/>
  <c r="D28" i="23"/>
  <c r="D53" i="23"/>
  <c r="F27" i="23"/>
  <c r="D20" i="23"/>
  <c r="C50" i="23"/>
  <c r="C40" i="23"/>
  <c r="D24" i="23"/>
  <c r="F14" i="23"/>
  <c r="C41" i="23"/>
  <c r="F22" i="23"/>
  <c r="B37" i="23"/>
  <c r="E7" i="23"/>
  <c r="E49" i="23"/>
  <c r="C43" i="23"/>
  <c r="E53" i="23"/>
  <c r="C48" i="23"/>
  <c r="E12" i="23"/>
  <c r="F18" i="23"/>
  <c r="D40" i="23"/>
  <c r="B6" i="23"/>
  <c r="B26" i="23"/>
  <c r="F7" i="23"/>
  <c r="F31" i="23"/>
  <c r="B41" i="23"/>
  <c r="D51" i="23"/>
  <c r="E22" i="23"/>
  <c r="F13" i="23"/>
  <c r="F28" i="23"/>
  <c r="C21" i="23"/>
  <c r="F49" i="23"/>
  <c r="E35" i="23"/>
  <c r="E42" i="23"/>
  <c r="B47" i="23"/>
  <c r="D15" i="23"/>
  <c r="B34" i="23"/>
  <c r="D41" i="23"/>
  <c r="B22" i="23"/>
  <c r="B12" i="23"/>
  <c r="C15" i="23"/>
  <c r="D8" i="23"/>
  <c r="B45" i="23"/>
  <c r="B19" i="23"/>
  <c r="C28" i="23"/>
  <c r="C45" i="23"/>
  <c r="F47" i="23"/>
  <c r="C37" i="23"/>
  <c r="D18" i="23"/>
  <c r="D26" i="23"/>
  <c r="C39" i="23"/>
  <c r="F15" i="23"/>
  <c r="E54" i="23"/>
  <c r="B30" i="23"/>
  <c r="F16" i="23"/>
  <c r="D7" i="23"/>
  <c r="B38" i="23"/>
  <c r="E26" i="23"/>
  <c r="B55" i="23"/>
  <c r="D45" i="23"/>
  <c r="B32" i="23"/>
  <c r="B53" i="23"/>
  <c r="C38" i="23"/>
  <c r="F9" i="23"/>
  <c r="D34" i="23"/>
  <c r="D31" i="23"/>
  <c r="B29" i="23"/>
  <c r="F21" i="23"/>
  <c r="D33" i="23"/>
  <c r="C14" i="23"/>
  <c r="C23" i="23"/>
  <c r="B49" i="23"/>
  <c r="D6" i="23"/>
  <c r="F38" i="23"/>
  <c r="E9" i="23"/>
  <c r="B35" i="23"/>
  <c r="B31" i="23"/>
  <c r="E44" i="23"/>
  <c r="B43" i="23"/>
  <c r="C34" i="23"/>
  <c r="E32" i="23"/>
  <c r="C19" i="23"/>
  <c r="F54" i="23"/>
  <c r="D48" i="23"/>
  <c r="E48" i="23"/>
  <c r="D43" i="23"/>
  <c r="D36" i="23"/>
  <c r="D23" i="23"/>
  <c r="E10" i="23"/>
  <c r="F30" i="23"/>
  <c r="F37" i="23"/>
  <c r="F52" i="23"/>
  <c r="F36" i="23"/>
  <c r="C10" i="23"/>
  <c r="B54" i="23"/>
  <c r="D21" i="23"/>
  <c r="B20" i="23"/>
  <c r="D27" i="23"/>
  <c r="F46" i="23"/>
  <c r="D22" i="23"/>
  <c r="C32" i="23"/>
  <c r="D13" i="23"/>
  <c r="B15" i="23"/>
  <c r="B42" i="23"/>
  <c r="D29" i="23"/>
  <c r="F11" i="23"/>
  <c r="F55" i="23"/>
  <c r="E24" i="23"/>
  <c r="E36" i="23"/>
  <c r="C20" i="23"/>
  <c r="E43" i="23"/>
  <c r="F39" i="23"/>
  <c r="F42" i="23"/>
  <c r="F50" i="23"/>
  <c r="B14" i="23"/>
  <c r="E20" i="23"/>
  <c r="E55" i="23"/>
  <c r="C8" i="23"/>
  <c r="C31" i="23"/>
  <c r="F51" i="23"/>
  <c r="C53" i="23"/>
  <c r="F40" i="23"/>
  <c r="B52" i="23"/>
  <c r="E21" i="23"/>
  <c r="C52" i="23"/>
  <c r="E38" i="23"/>
  <c r="F19" i="23"/>
  <c r="D9" i="23"/>
  <c r="F25" i="23"/>
  <c r="D25" i="23"/>
  <c r="C16" i="23"/>
  <c r="B56" i="23"/>
  <c r="B9" i="23"/>
  <c r="E29" i="23"/>
  <c r="F20" i="23"/>
  <c r="D54" i="23"/>
  <c r="B21" i="23"/>
  <c r="F23" i="23"/>
  <c r="D17" i="23"/>
  <c r="E30" i="23"/>
  <c r="C44" i="23"/>
  <c r="D44" i="23"/>
  <c r="C42" i="23"/>
  <c r="E25" i="23"/>
  <c r="E23" i="23"/>
  <c r="E40" i="23"/>
  <c r="C13" i="23"/>
  <c r="F53" i="23"/>
  <c r="C56" i="23"/>
  <c r="D49" i="23"/>
  <c r="E6" i="23"/>
  <c r="E13" i="23"/>
  <c r="F6" i="23"/>
  <c r="C47" i="23"/>
  <c r="C33" i="23"/>
  <c r="B8" i="23"/>
  <c r="E15" i="23"/>
  <c r="C30" i="23"/>
  <c r="F12" i="23"/>
  <c r="D50" i="23"/>
  <c r="C22" i="23"/>
  <c r="B50" i="23"/>
  <c r="B24" i="23"/>
  <c r="E56" i="23"/>
  <c r="F10" i="23"/>
  <c r="E17" i="23"/>
  <c r="B27" i="23"/>
  <c r="B11" i="23"/>
  <c r="E37" i="23"/>
  <c r="D46" i="23"/>
  <c r="F17" i="23"/>
  <c r="E46" i="23"/>
  <c r="E41" i="23"/>
  <c r="D47" i="23"/>
  <c r="F29" i="23"/>
  <c r="D19" i="23"/>
  <c r="B18" i="23"/>
  <c r="D30" i="23"/>
  <c r="F8" i="23"/>
  <c r="F32" i="23"/>
  <c r="C35" i="23"/>
  <c r="E27" i="23"/>
  <c r="B40" i="23"/>
  <c r="C7" i="23"/>
  <c r="D42" i="23"/>
  <c r="F33" i="23"/>
  <c r="D14" i="23"/>
  <c r="E51" i="23"/>
  <c r="D52" i="23"/>
  <c r="E8" i="23"/>
  <c r="E31" i="23"/>
  <c r="C9" i="23"/>
  <c r="E33" i="23"/>
  <c r="B46" i="23"/>
  <c r="B16" i="23"/>
  <c r="E19" i="23"/>
  <c r="C25" i="23"/>
  <c r="C55" i="23"/>
  <c r="D32" i="23"/>
  <c r="B23" i="23"/>
  <c r="E34" i="23"/>
  <c r="D39" i="23"/>
  <c r="E11" i="23"/>
  <c r="C17" i="23"/>
  <c r="C26" i="23"/>
  <c r="B7" i="23"/>
  <c r="B48" i="23"/>
  <c r="D10" i="23"/>
  <c r="C11" i="23"/>
  <c r="B25" i="23"/>
  <c r="F44" i="23"/>
  <c r="D35" i="23"/>
  <c r="B36" i="23"/>
  <c r="D38" i="23"/>
  <c r="D55" i="23"/>
  <c r="C18" i="23"/>
  <c r="E14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<sst xmlns="http://schemas.openxmlformats.org/spreadsheetml/2006/main" count="7171" uniqueCount="3166">
  <si>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</si>
  <si>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</si>
  <si>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</si>
  <si>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</si>
  <si>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</si>
  <si>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</si>
  <si>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</si>
  <si>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</si>
  <si>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</si>
  <si>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</si>
  <si>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</si>
  <si>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</si>
  <si>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</si>
  <si>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</si>
  <si>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</si>
  <si>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</si>
  <si>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</si>
  <si>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</si>
  <si>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</si>
  <si>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</si>
  <si>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</si>
  <si>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</si>
  <si>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</si>
  <si>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</si>
  <si>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</si>
  <si>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</si>
  <si>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</si>
  <si>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</si>
  <si>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</si>
  <si>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</si>
  <si>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</si>
  <si>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</si>
  <si>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</si>
  <si>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</si>
  <si>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</si>
  <si>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</si>
  <si>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</si>
  <si>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</si>
  <si>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</si>
  <si>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</si>
  <si>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</si>
  <si>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</si>
  <si>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</si>
  <si>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</si>
  <si>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</si>
  <si>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</si>
  <si>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</si>
  <si>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</si>
  <si>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</si>
  <si>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</si>
  <si>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</si>
  <si>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</si>
  <si>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</si>
  <si>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</si>
  <si>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</si>
  <si>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</si>
  <si>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</si>
  <si>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</si>
  <si>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</si>
  <si>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</si>
  <si>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</si>
  <si>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</si>
  <si>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</si>
  <si>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</si>
  <si>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</si>
  <si>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</si>
  <si>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</si>
  <si>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</si>
  <si>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</si>
  <si>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</si>
  <si>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</si>
  <si>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</si>
  <si>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</si>
  <si>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</si>
  <si>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</si>
  <si>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</si>
  <si>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</si>
  <si>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</si>
  <si>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</si>
  <si>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</si>
  <si>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</si>
  <si>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</si>
  <si>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</si>
  <si>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</si>
  <si>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</si>
  <si>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</si>
  <si>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</si>
  <si>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</si>
  <si>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</si>
  <si>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</si>
  <si>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</si>
  <si>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</si>
  <si>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</si>
  <si>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</si>
  <si>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</si>
  <si>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</si>
  <si>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</si>
  <si>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</si>
  <si>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</si>
  <si>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</si>
  <si>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</si>
  <si>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</si>
  <si>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</si>
  <si>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</si>
  <si>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</si>
  <si>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</si>
  <si>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</si>
  <si>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</si>
  <si>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</si>
  <si>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</si>
  <si>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</si>
  <si>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</si>
  <si>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</si>
  <si>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</si>
  <si>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</si>
  <si>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</si>
  <si>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</si>
  <si>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</si>
  <si>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</si>
  <si>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</si>
  <si>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</si>
  <si>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</si>
  <si>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</si>
  <si>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</si>
  <si>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</si>
  <si>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</si>
  <si>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</si>
  <si>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</si>
  <si>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</si>
  <si>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</si>
  <si>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</si>
  <si>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</si>
  <si>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</si>
  <si>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</si>
  <si>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</si>
  <si>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</si>
  <si>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</si>
  <si>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</si>
  <si>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</si>
  <si>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</si>
  <si>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</si>
  <si>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</si>
  <si>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</si>
  <si>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</si>
  <si>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</si>
  <si>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</si>
  <si>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</si>
  <si>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</si>
  <si>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</si>
  <si>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</si>
  <si>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</si>
  <si>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</si>
  <si>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</si>
  <si>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</si>
  <si>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</si>
  <si>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</si>
  <si>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</si>
  <si>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</si>
  <si>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</si>
  <si>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</si>
  <si>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</si>
  <si>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</si>
  <si>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</si>
  <si>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</si>
  <si>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</si>
  <si>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</si>
  <si>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</si>
  <si>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</si>
  <si>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</si>
  <si>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</si>
  <si>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</si>
  <si>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</si>
  <si>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</si>
  <si>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</si>
  <si>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</si>
  <si>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</si>
  <si>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</si>
  <si>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</si>
  <si>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</si>
  <si>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</si>
  <si>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</si>
  <si>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</si>
  <si>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</si>
  <si>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</si>
  <si>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</si>
  <si>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</si>
  <si>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</si>
  <si>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</si>
  <si>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</si>
  <si>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</si>
  <si>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</si>
  <si>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</si>
  <si>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</si>
  <si>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</si>
  <si>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</si>
  <si>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</si>
  <si>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</si>
  <si>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</si>
  <si>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</si>
  <si>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</si>
  <si>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</si>
  <si>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</si>
  <si>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</si>
  <si>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</si>
  <si>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</si>
  <si>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</si>
  <si>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</si>
  <si>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</si>
  <si>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</si>
  <si>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</si>
  <si>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</si>
  <si>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</si>
  <si>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</si>
  <si>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</si>
  <si>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</si>
  <si>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</si>
  <si>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</si>
  <si>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</si>
  <si>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</si>
  <si>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</si>
  <si>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</si>
  <si>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</si>
  <si>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</si>
  <si>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</si>
  <si>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</si>
  <si>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</si>
  <si>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</si>
  <si>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</si>
  <si>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</si>
  <si>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</si>
  <si>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</si>
  <si>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</si>
  <si>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</si>
  <si>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</si>
  <si>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</si>
  <si>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</si>
  <si>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</si>
  <si>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</si>
  <si>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</si>
  <si>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</si>
  <si>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</si>
  <si>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</si>
  <si>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</si>
  <si>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</si>
  <si>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</si>
  <si>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</si>
  <si>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</si>
  <si>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</si>
  <si>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</si>
  <si>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</si>
  <si>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</si>
  <si>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</si>
  <si>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</si>
  <si>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</si>
  <si>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</si>
  <si>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</si>
  <si>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</si>
  <si>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</si>
  <si>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</si>
  <si>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</si>
  <si>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</si>
  <si>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</si>
  <si>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</si>
  <si>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</si>
  <si>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</si>
  <si>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</si>
  <si>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</si>
  <si>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</si>
  <si>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</si>
  <si>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</si>
  <si>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</si>
  <si>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</si>
  <si>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</si>
  <si>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</si>
  <si>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</si>
  <si>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</si>
  <si>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</si>
  <si>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</si>
  <si>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</si>
  <si>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</si>
  <si>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</si>
  <si>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</si>
  <si>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</si>
  <si>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</si>
  <si>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</si>
  <si>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</si>
  <si>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</si>
  <si>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</si>
  <si>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</si>
  <si>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</si>
  <si>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</si>
  <si>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</si>
  <si>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</si>
  <si>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</si>
  <si>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</si>
  <si>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</si>
  <si>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</si>
  <si>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</si>
  <si>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</si>
  <si>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</si>
  <si>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</si>
  <si>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</si>
  <si>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</si>
  <si>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</si>
  <si>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</si>
  <si>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</si>
  <si>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</si>
  <si>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</si>
  <si>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</si>
  <si>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</si>
  <si>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</si>
  <si>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</si>
  <si>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</si>
  <si>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</si>
  <si>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</si>
  <si>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</si>
  <si>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</si>
  <si>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</si>
  <si>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</si>
  <si>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</si>
  <si>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</si>
  <si>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</si>
  <si>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</si>
  <si>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</si>
  <si>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</si>
  <si>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</si>
  <si>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</si>
  <si>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</si>
  <si>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</si>
  <si>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</si>
  <si>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</si>
  <si>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</si>
  <si>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</si>
  <si>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</si>
  <si>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</si>
  <si>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</si>
  <si>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</si>
  <si>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</si>
  <si>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</si>
  <si>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</si>
  <si>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</si>
  <si>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</si>
  <si>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</si>
  <si>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</si>
  <si>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</si>
  <si>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</si>
  <si>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</si>
  <si>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</si>
  <si>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</si>
  <si>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</si>
  <si>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</si>
  <si>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</si>
  <si>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</si>
  <si>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</si>
  <si>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</si>
  <si>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</si>
  <si>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</si>
  <si>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</si>
  <si>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</si>
  <si>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</si>
  <si>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</si>
  <si>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</si>
  <si>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</si>
  <si>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</si>
  <si>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</si>
  <si>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</si>
  <si>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</si>
  <si>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</si>
  <si>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</si>
  <si>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</si>
  <si>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</si>
  <si>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</si>
  <si>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</si>
  <si>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</si>
  <si>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</si>
  <si>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</si>
  <si>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</si>
  <si>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</si>
  <si>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</si>
  <si>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</si>
  <si>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</si>
  <si>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</si>
  <si>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</si>
  <si>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</si>
  <si>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</si>
  <si>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</si>
  <si>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</si>
  <si>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</si>
  <si>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</si>
  <si>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</si>
  <si>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</si>
  <si>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</si>
  <si>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</si>
  <si>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</si>
  <si>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</si>
  <si>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</si>
  <si>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</si>
  <si>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</si>
  <si>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</si>
  <si>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</si>
  <si>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</si>
  <si>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</si>
  <si>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</si>
  <si>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</si>
  <si>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</si>
  <si>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</si>
  <si>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</si>
  <si>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</si>
  <si>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</si>
  <si>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</si>
  <si>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</si>
  <si>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</si>
  <si>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</si>
  <si>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</si>
  <si>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</si>
  <si>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</si>
  <si>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</si>
  <si>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</si>
  <si>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</si>
  <si>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</si>
  <si>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</si>
  <si>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</si>
  <si>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</si>
  <si>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</si>
  <si>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</si>
  <si>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</si>
  <si>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</si>
  <si>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</si>
  <si>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</si>
  <si>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</si>
  <si>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</si>
  <si>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</si>
  <si>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</si>
  <si>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</si>
  <si>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</si>
  <si>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</si>
  <si>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</si>
  <si>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</si>
  <si>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</si>
  <si>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</si>
  <si>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</si>
  <si>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</si>
  <si>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</si>
  <si>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</si>
  <si>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</si>
  <si>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</si>
  <si>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</si>
  <si>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</si>
  <si>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</si>
  <si>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</si>
  <si>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</si>
  <si>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</si>
  <si>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</si>
  <si>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</si>
  <si>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</si>
  <si>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</si>
  <si>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</si>
  <si>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</si>
  <si>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</si>
  <si>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</si>
  <si>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</si>
  <si>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</si>
  <si>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</si>
  <si>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</si>
  <si>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</si>
  <si>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</si>
  <si>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</si>
  <si>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</si>
  <si>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</si>
  <si>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</si>
  <si>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</si>
  <si>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</si>
  <si>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</si>
  <si>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</si>
  <si>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</si>
  <si>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</si>
  <si>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</si>
  <si>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</si>
  <si>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</si>
  <si>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</si>
  <si>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</si>
  <si>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</si>
  <si>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</si>
  <si>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</si>
  <si>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</si>
  <si>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</si>
  <si>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</si>
  <si>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</si>
  <si>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</si>
  <si>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</si>
  <si>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</si>
  <si>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</si>
  <si>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</si>
  <si>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</si>
  <si>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</si>
  <si>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</si>
  <si>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</si>
  <si>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</si>
  <si>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</si>
  <si>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</si>
  <si>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</si>
  <si>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</si>
  <si>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</si>
  <si>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</si>
  <si>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</si>
  <si>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</si>
  <si>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</si>
  <si>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</si>
  <si>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</si>
  <si>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</si>
  <si>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</si>
  <si>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</si>
  <si>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</si>
  <si>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</si>
  <si>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</si>
  <si>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</si>
  <si>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</si>
  <si>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</si>
  <si>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</si>
  <si>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</si>
  <si>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</si>
  <si>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</si>
  <si>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</si>
  <si>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</si>
  <si>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</si>
  <si>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</si>
  <si>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</si>
  <si>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</si>
  <si>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</si>
  <si>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</si>
  <si>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</si>
  <si>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</si>
  <si>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</si>
  <si>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</si>
  <si>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</si>
  <si>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</si>
  <si>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</si>
  <si>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</si>
  <si>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</si>
  <si>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</si>
  <si>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</si>
  <si>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</si>
  <si>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</si>
  <si>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</si>
  <si>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</si>
  <si>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</si>
  <si>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</si>
  <si>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</si>
  <si>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</si>
  <si>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</si>
  <si>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</si>
  <si>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</si>
  <si>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</si>
  <si>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</si>
  <si>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</si>
  <si>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</si>
  <si>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</si>
  <si>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</si>
  <si>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</si>
  <si>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</si>
  <si>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</si>
  <si>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</si>
  <si>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</si>
  <si>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</si>
  <si>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</si>
  <si>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</si>
  <si>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</si>
  <si>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</si>
  <si>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</si>
  <si>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</si>
  <si>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</si>
  <si>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</si>
  <si>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</si>
  <si>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</si>
  <si>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</si>
  <si>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</si>
  <si>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</si>
  <si>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</si>
  <si>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</si>
  <si>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</si>
  <si>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</si>
  <si>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</si>
  <si>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</si>
  <si>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</si>
  <si>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</si>
  <si>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</si>
  <si>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</si>
  <si>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</si>
  <si>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</si>
  <si>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</si>
  <si>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</si>
  <si>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</si>
  <si>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</si>
  <si>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</si>
  <si>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</si>
  <si>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</si>
  <si>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</si>
  <si>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</si>
  <si>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</si>
  <si>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</si>
  <si>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</si>
  <si>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</si>
  <si>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</si>
  <si>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</si>
  <si>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</si>
  <si>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</si>
  <si>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</si>
  <si>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</si>
  <si>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</si>
  <si>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</si>
  <si>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</si>
  <si>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</si>
  <si>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</si>
  <si>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</si>
  <si>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</si>
  <si>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</si>
  <si>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</si>
  <si>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</si>
  <si>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</si>
  <si>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</si>
  <si>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</si>
  <si>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</si>
  <si>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</si>
  <si>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</si>
  <si>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</si>
  <si>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</si>
  <si>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</si>
  <si>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</si>
  <si>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</si>
  <si>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</si>
  <si>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</si>
  <si>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</si>
  <si>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</si>
  <si>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</si>
  <si>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</si>
  <si>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</si>
  <si>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</si>
  <si>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</si>
  <si>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</si>
  <si>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</si>
  <si>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</si>
  <si>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</si>
  <si>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</si>
  <si>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</si>
  <si>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</si>
  <si>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</si>
  <si>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</si>
  <si>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</si>
  <si>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</si>
  <si>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</si>
  <si>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</si>
  <si>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</si>
  <si>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</si>
  <si>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</si>
  <si>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</si>
  <si>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</si>
  <si>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</si>
  <si>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</si>
  <si>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</si>
  <si>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</si>
  <si>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</si>
  <si>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</si>
  <si>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</si>
  <si>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</si>
  <si>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</si>
  <si>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</si>
  <si>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</si>
  <si>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</si>
  <si>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</si>
  <si>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</si>
  <si>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</si>
  <si>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</si>
  <si>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</si>
  <si>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</si>
  <si>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</si>
  <si>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</si>
  <si>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</si>
  <si>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</si>
  <si>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</si>
  <si>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</si>
  <si>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</si>
  <si>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</si>
  <si>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</si>
  <si>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</si>
  <si>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</si>
  <si>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</si>
  <si>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</si>
  <si>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</si>
  <si>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</si>
  <si>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</si>
  <si>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</si>
  <si>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</si>
  <si>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</si>
  <si>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</si>
  <si>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</si>
  <si>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</si>
  <si>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</si>
  <si>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</si>
  <si>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</si>
  <si>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</si>
  <si>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</si>
  <si>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</si>
  <si>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</si>
  <si>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</si>
  <si>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</si>
  <si>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</si>
  <si>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</si>
  <si>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</si>
  <si>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</si>
  <si>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</si>
  <si>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</si>
  <si>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</si>
  <si>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</si>
  <si>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</si>
  <si>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</si>
  <si>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</si>
  <si>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</si>
  <si>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</si>
  <si>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</si>
  <si>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</si>
  <si>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</si>
  <si>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</si>
  <si>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</si>
  <si>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</si>
  <si>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</si>
  <si>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</si>
  <si>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</si>
  <si>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</si>
  <si>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</si>
  <si>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</si>
  <si>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</si>
  <si>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</si>
  <si>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</si>
  <si>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</si>
  <si>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</si>
  <si>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</si>
  <si>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</si>
  <si>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</si>
  <si>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</si>
  <si>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</si>
  <si>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</si>
  <si>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</si>
  <si>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</si>
  <si>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</si>
  <si>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</si>
  <si>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</si>
  <si>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</si>
  <si>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</si>
  <si>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</si>
  <si>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</si>
  <si>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</si>
  <si>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</si>
  <si>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</si>
  <si>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</si>
  <si>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</si>
  <si>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</si>
  <si>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</si>
  <si>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</si>
  <si>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</si>
  <si>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</si>
  <si>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</si>
  <si>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</si>
  <si>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</si>
  <si>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</si>
  <si>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</si>
  <si>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</si>
  <si>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</si>
  <si>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</si>
  <si>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</si>
  <si>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</si>
  <si>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</si>
  <si>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</si>
  <si>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</si>
  <si>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</si>
  <si>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</si>
  <si>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</si>
  <si>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</si>
  <si>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</si>
  <si>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</si>
  <si>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</si>
  <si>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</si>
  <si>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</si>
  <si>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</si>
  <si>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</si>
  <si>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</si>
  <si>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</si>
  <si>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</si>
  <si>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</si>
  <si>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</si>
  <si>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</si>
  <si>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</si>
  <si>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</si>
  <si>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</si>
  <si>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</si>
  <si>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</si>
  <si>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</si>
  <si>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</si>
  <si>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</si>
  <si>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</si>
  <si>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</si>
  <si>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</si>
  <si>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</si>
  <si>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</si>
  <si>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</si>
  <si>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</si>
  <si>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</si>
  <si>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</si>
  <si>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</si>
  <si>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</si>
  <si>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</si>
  <si>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</si>
  <si>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</si>
  <si>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</si>
  <si>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</si>
  <si>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</si>
  <si>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</si>
  <si>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</si>
  <si>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</si>
  <si>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</si>
  <si>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</si>
  <si>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</si>
  <si>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</si>
  <si>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</si>
  <si>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</si>
  <si>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</si>
  <si>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</si>
  <si>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</si>
  <si>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</si>
  <si>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</si>
  <si>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</si>
  <si>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</si>
  <si>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</si>
  <si>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</si>
  <si>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</si>
  <si>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</si>
  <si>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</si>
  <si>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</si>
  <si>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</si>
  <si>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</si>
  <si>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</si>
  <si>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</si>
  <si>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</si>
  <si>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</si>
  <si>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</si>
  <si>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</si>
  <si>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</si>
  <si>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</si>
  <si>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</si>
  <si>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</si>
  <si>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</si>
  <si>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</si>
  <si>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</si>
  <si>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</si>
  <si>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</si>
  <si>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</si>
  <si>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</si>
  <si>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</si>
  <si>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</si>
  <si>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</si>
  <si>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</si>
  <si>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</si>
  <si>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</si>
  <si>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</si>
  <si>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</si>
  <si>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</si>
  <si>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</si>
  <si>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</si>
  <si>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</si>
  <si>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</si>
  <si>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</si>
  <si>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</si>
  <si>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</si>
  <si>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</si>
  <si>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</si>
  <si>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</si>
  <si>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</si>
  <si>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</si>
  <si>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</si>
  <si>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</si>
  <si>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</si>
  <si>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</si>
  <si>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</si>
  <si>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</si>
  <si>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</si>
  <si>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</si>
  <si>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</si>
  <si>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</si>
  <si>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</si>
  <si>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</si>
  <si>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</si>
  <si>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</si>
  <si>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</si>
  <si>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</si>
  <si>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</si>
  <si>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</si>
  <si>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</si>
  <si>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</si>
  <si>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</si>
  <si>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</si>
  <si>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</si>
  <si>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</si>
  <si>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</si>
  <si>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</si>
  <si>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</si>
  <si>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</si>
  <si>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</si>
  <si>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</si>
  <si>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</si>
  <si>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</si>
  <si>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</si>
  <si>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</si>
  <si>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</si>
  <si>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</si>
  <si>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</si>
  <si>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</si>
  <si>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</si>
  <si>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</si>
  <si>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</si>
  <si>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</si>
  <si>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</si>
  <si>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</si>
  <si>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</si>
  <si>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</si>
  <si>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</si>
  <si>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</si>
  <si>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</si>
  <si>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</si>
  <si>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</si>
  <si>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</si>
  <si>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</si>
  <si>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</si>
  <si>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</si>
  <si>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</si>
  <si>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</si>
  <si>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</si>
  <si>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</si>
  <si>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</si>
  <si>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</si>
  <si>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</si>
  <si>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</si>
  <si>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</si>
  <si>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</si>
  <si>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</si>
  <si>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</si>
  <si>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</si>
  <si>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</si>
  <si>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</si>
  <si>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</si>
  <si>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</si>
  <si>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</si>
  <si>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</si>
  <si>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</si>
  <si>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</si>
  <si>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</si>
  <si>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</si>
  <si>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</si>
  <si>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</si>
  <si>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</si>
  <si>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</si>
  <si>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</si>
  <si>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</si>
  <si>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</si>
  <si>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</si>
  <si>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</si>
  <si>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</si>
  <si>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</si>
  <si>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</si>
  <si>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</si>
  <si>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</si>
  <si>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</si>
  <si>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</si>
  <si>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</si>
  <si>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</si>
  <si>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</si>
  <si>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</si>
  <si>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</si>
  <si>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</si>
  <si>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</si>
  <si>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</si>
  <si>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</si>
  <si>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</si>
  <si>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</si>
  <si>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</si>
  <si>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</si>
  <si>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</si>
  <si>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</si>
  <si>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</si>
  <si>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</si>
  <si>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</si>
  <si>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</si>
  <si>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</si>
  <si>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</si>
  <si>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</si>
  <si>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</si>
  <si>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</si>
  <si>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</si>
  <si>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</si>
  <si>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</si>
  <si>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</si>
  <si>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</si>
  <si>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</si>
  <si>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</si>
  <si>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</si>
  <si>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</si>
  <si>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</si>
  <si>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</si>
  <si>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</si>
  <si>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</si>
  <si>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</si>
  <si>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</si>
  <si>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</si>
  <si>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</si>
  <si>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</si>
  <si>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</si>
  <si>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</si>
  <si>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</si>
  <si>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</si>
  <si>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</si>
  <si>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</si>
  <si>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</si>
  <si>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</si>
  <si>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</si>
  <si>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</si>
  <si>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</si>
  <si>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</si>
  <si>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</si>
  <si>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</si>
  <si>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</si>
  <si>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</si>
  <si>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</si>
  <si>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</si>
  <si>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</si>
  <si>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</si>
  <si>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</si>
  <si>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</si>
  <si>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</si>
  <si>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</si>
  <si>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</si>
  <si>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</si>
  <si>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</si>
  <si>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</si>
  <si>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</si>
  <si>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</si>
  <si>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</si>
  <si>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</si>
  <si>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</si>
  <si>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</si>
  <si>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</si>
  <si>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</si>
  <si>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</si>
  <si>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</si>
  <si>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</si>
  <si>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</si>
  <si>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</si>
  <si>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</si>
  <si>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</si>
  <si>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</si>
  <si>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</si>
  <si>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</si>
  <si>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</si>
  <si>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</si>
  <si>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</si>
  <si>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</si>
  <si>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</si>
  <si>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</si>
  <si>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</si>
  <si>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</si>
  <si>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</si>
  <si>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</si>
  <si>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</si>
  <si>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</si>
  <si>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</si>
  <si>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</si>
  <si>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</si>
  <si>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</si>
  <si>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</si>
  <si>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</si>
  <si>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</si>
  <si>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</si>
  <si>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</si>
  <si>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</si>
  <si>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</si>
  <si>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</si>
  <si>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</si>
  <si>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</si>
  <si>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</si>
  <si>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</si>
  <si>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</si>
  <si>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</si>
  <si>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</si>
  <si>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</si>
  <si>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</si>
  <si>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</si>
  <si>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</si>
  <si>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</si>
  <si>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</si>
  <si>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</si>
  <si>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</si>
  <si>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</si>
  <si>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</si>
  <si>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</si>
  <si>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</si>
  <si>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</si>
  <si>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</si>
  <si>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</si>
  <si>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</si>
  <si>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</si>
  <si>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</si>
  <si>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</si>
  <si>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</si>
  <si>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</si>
  <si>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</si>
  <si>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</si>
  <si>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</si>
  <si>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</si>
  <si>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</si>
  <si>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</si>
  <si>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</si>
  <si>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</si>
  <si>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</si>
  <si>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</si>
  <si>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</si>
  <si>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</si>
  <si>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</si>
  <si>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</si>
  <si>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</si>
  <si>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</si>
  <si>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</si>
  <si>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</si>
  <si>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</si>
  <si>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</si>
  <si>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</si>
  <si>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</si>
  <si>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</si>
  <si>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</si>
  <si>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</si>
  <si>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</si>
  <si>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</si>
  <si>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</si>
  <si>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</si>
  <si>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</si>
  <si>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</si>
  <si>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</si>
  <si>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</si>
  <si>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</si>
  <si>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</si>
  <si>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</si>
  <si>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</si>
  <si>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</si>
  <si>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</si>
  <si>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</si>
  <si>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</si>
  <si>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</si>
  <si>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</si>
  <si>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</si>
  <si>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</si>
  <si>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</si>
  <si>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</si>
  <si>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</si>
  <si>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</si>
  <si>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</si>
  <si>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</si>
  <si>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</si>
  <si>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</si>
  <si>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</si>
  <si>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</si>
  <si>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</si>
  <si>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</si>
  <si>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</si>
  <si>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</si>
  <si>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</si>
  <si>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</si>
  <si>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</si>
  <si>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</si>
  <si>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</si>
  <si>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</si>
  <si>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</si>
  <si>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</si>
  <si>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</si>
  <si>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</si>
  <si>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</si>
  <si>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</si>
  <si>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</si>
  <si>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</si>
  <si>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</si>
  <si>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</si>
  <si>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</si>
  <si>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</si>
  <si>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</si>
  <si>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</si>
  <si>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</si>
  <si>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</si>
  <si>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</si>
  <si>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</si>
  <si>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</si>
  <si>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</si>
  <si>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</si>
  <si>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</si>
  <si>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</si>
  <si>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</si>
  <si>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</si>
  <si>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</si>
  <si>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</si>
  <si>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</si>
  <si>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</si>
  <si>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</si>
  <si>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</si>
  <si>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</si>
  <si>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</si>
  <si>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</si>
  <si>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</si>
  <si>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</si>
  <si>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</si>
  <si>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</si>
  <si>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</si>
  <si>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</si>
  <si>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</si>
  <si>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</si>
  <si>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</si>
  <si>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</si>
  <si>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</si>
  <si>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</si>
  <si>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</si>
  <si>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</si>
  <si>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</si>
  <si>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</si>
  <si>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</si>
  <si>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</si>
  <si>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</si>
  <si>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</si>
  <si>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</si>
  <si>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</si>
  <si>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</si>
  <si>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</si>
  <si>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</si>
  <si>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</si>
  <si>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</si>
  <si>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</si>
  <si>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</si>
  <si>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</si>
  <si>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</si>
  <si>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</si>
  <si>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</si>
  <si>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</si>
  <si>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</si>
  <si>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</si>
  <si>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</si>
  <si>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</si>
  <si>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</si>
  <si>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</si>
  <si>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</si>
  <si>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</si>
  <si>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</si>
  <si>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</si>
  <si>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</si>
  <si>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</si>
  <si>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</si>
  <si>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</si>
  <si>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</si>
  <si>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</si>
  <si>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</si>
  <si>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</si>
  <si>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</si>
  <si>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</si>
  <si>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</si>
  <si>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</si>
  <si>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</si>
  <si>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</si>
  <si>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</si>
  <si>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</si>
  <si>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</si>
  <si>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</si>
  <si>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</si>
  <si>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</si>
  <si>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</si>
  <si>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</si>
  <si>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</si>
  <si>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</si>
  <si>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</si>
  <si>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</si>
  <si>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</si>
  <si>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</si>
  <si>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</si>
  <si>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</si>
  <si>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</si>
  <si>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</si>
  <si>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</si>
  <si>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</si>
  <si>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</si>
  <si>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</si>
  <si>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</si>
  <si>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</si>
  <si>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</si>
  <si>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</si>
  <si>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</si>
  <si>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</si>
  <si>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</si>
  <si>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</si>
  <si>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</si>
  <si>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</si>
  <si>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</si>
  <si>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</si>
  <si>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</si>
  <si>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</si>
  <si>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</si>
  <si>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</si>
  <si>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</si>
  <si>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</si>
  <si>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</si>
  <si>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</si>
  <si>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</si>
  <si>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</si>
  <si>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</si>
  <si>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</si>
  <si>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</si>
  <si>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</si>
  <si>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</si>
  <si>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</si>
  <si>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</si>
  <si>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</si>
  <si>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</si>
  <si>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</si>
  <si>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</si>
  <si>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</si>
  <si>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</si>
  <si>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</si>
  <si>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</si>
  <si>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</si>
  <si>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</si>
  <si>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</si>
  <si>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</si>
  <si>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</si>
  <si>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</si>
  <si>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</si>
  <si>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</si>
  <si>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</si>
  <si>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</si>
  <si>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</si>
  <si>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</si>
  <si>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</si>
  <si>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</si>
  <si>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</si>
  <si>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</si>
  <si>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</si>
  <si>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</si>
  <si>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</si>
  <si>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</si>
  <si>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</si>
  <si>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</si>
  <si>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</si>
  <si>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</si>
  <si>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</si>
  <si>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</si>
  <si>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</si>
  <si>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</si>
  <si>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</si>
  <si>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</si>
  <si>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</si>
  <si>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</si>
  <si>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</si>
  <si>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</si>
  <si>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</si>
  <si>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</si>
  <si>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</si>
  <si>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</si>
  <si>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</si>
  <si>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</si>
  <si>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</si>
  <si>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</si>
  <si>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</si>
  <si>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</si>
  <si>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</si>
  <si>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</si>
  <si>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</si>
  <si>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</si>
  <si>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</si>
  <si>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</si>
  <si>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</si>
  <si>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</si>
  <si>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</si>
  <si>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</si>
  <si>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</si>
  <si>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</si>
  <si>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</si>
  <si>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</si>
  <si>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</si>
  <si>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</si>
  <si>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</si>
  <si>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</si>
  <si>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</si>
  <si>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</si>
  <si>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</si>
  <si>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</si>
  <si>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</si>
  <si>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</si>
  <si>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</si>
  <si>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</si>
  <si>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</si>
  <si>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</si>
  <si>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</si>
  <si>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</si>
  <si>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</si>
  <si>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</si>
  <si>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</si>
  <si>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</si>
  <si>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</si>
  <si>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</si>
  <si>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</si>
  <si>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</si>
  <si>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</si>
  <si>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</si>
  <si>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</si>
  <si>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</si>
  <si>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</si>
  <si>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</si>
  <si>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</si>
  <si>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</si>
  <si>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</si>
  <si>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</si>
  <si>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</si>
  <si>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</si>
  <si>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</si>
  <si>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</si>
  <si>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</si>
  <si>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</si>
  <si>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</si>
  <si>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</si>
  <si>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</si>
  <si>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</si>
  <si>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</si>
  <si>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</si>
  <si>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</si>
  <si>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</si>
  <si>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</si>
  <si>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</si>
  <si>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</si>
  <si>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</si>
  <si>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</si>
  <si>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</si>
  <si>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</si>
  <si>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</si>
  <si>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</si>
  <si>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</si>
  <si>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</si>
  <si>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</si>
  <si>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</si>
  <si>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</si>
  <si>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</si>
  <si>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</si>
  <si>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</si>
  <si>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</si>
  <si>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</si>
  <si>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</si>
  <si>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</si>
  <si>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</si>
  <si>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</si>
  <si>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</si>
  <si>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</si>
  <si>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</si>
  <si>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</si>
  <si>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</si>
  <si>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</si>
  <si>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</si>
  <si>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</si>
  <si>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</si>
  <si>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</si>
  <si>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</si>
  <si>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</si>
  <si>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</si>
  <si>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</si>
  <si>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</si>
  <si>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</si>
  <si>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</si>
  <si>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</si>
  <si>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</si>
  <si>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</si>
  <si>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</si>
  <si>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</si>
  <si>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</si>
  <si>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</si>
  <si>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</si>
  <si>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</si>
  <si>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</si>
  <si>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</si>
  <si>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</si>
  <si>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</si>
  <si>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</si>
  <si>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</si>
  <si>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</si>
  <si>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</si>
  <si>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</si>
  <si>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</si>
  <si>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</si>
  <si>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</si>
  <si>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</si>
  <si>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</si>
  <si>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</si>
  <si>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</si>
  <si>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</si>
  <si>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</si>
  <si>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</si>
  <si>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</si>
  <si>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</si>
  <si>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</si>
  <si>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</si>
  <si>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</si>
  <si>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</si>
  <si>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</si>
  <si>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</si>
  <si>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</si>
  <si>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</si>
  <si>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</si>
  <si>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</si>
  <si>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</si>
  <si>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</si>
  <si>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</si>
  <si>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</si>
  <si>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</si>
  <si>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</si>
  <si>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</si>
  <si>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</si>
  <si>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</si>
  <si>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</si>
  <si>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</si>
  <si>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</si>
  <si>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</si>
  <si>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</si>
  <si>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</si>
  <si>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</si>
  <si>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</si>
  <si>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</si>
  <si>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</si>
  <si>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</si>
  <si>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</si>
  <si>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</si>
  <si>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</si>
  <si>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</si>
  <si>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</si>
  <si>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</si>
  <si>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</si>
  <si>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</si>
  <si>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</si>
  <si>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</si>
  <si>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</si>
  <si>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</si>
  <si>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</si>
  <si>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</si>
  <si>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</si>
  <si>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</si>
  <si>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</si>
  <si>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</si>
  <si>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</si>
  <si>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</si>
  <si>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</si>
  <si>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</si>
  <si>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</si>
  <si>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</si>
  <si>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</si>
  <si>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</si>
  <si>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</si>
  <si>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</si>
  <si>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</si>
  <si>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</si>
  <si>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</si>
  <si>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</si>
  <si>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</si>
  <si>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</si>
  <si>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</si>
  <si>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</si>
  <si>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</si>
  <si>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</si>
  <si>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</si>
  <si>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</si>
  <si>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</si>
  <si>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</si>
  <si>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</si>
  <si>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</si>
  <si>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</si>
  <si>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</si>
  <si>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</si>
  <si>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</si>
  <si>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</si>
  <si>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</si>
  <si>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</si>
  <si>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</si>
  <si>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</si>
  <si>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</si>
  <si>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</si>
  <si>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</si>
  <si>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</si>
  <si>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</si>
  <si>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</si>
  <si>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</si>
  <si>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</si>
  <si>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</si>
  <si>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</si>
  <si>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</si>
  <si>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</si>
  <si>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</si>
  <si>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</si>
  <si>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</si>
  <si>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</si>
  <si>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</si>
  <si>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</si>
  <si>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</si>
  <si>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</si>
  <si>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</si>
  <si>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</si>
  <si>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</si>
  <si>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</si>
  <si>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</si>
  <si>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</si>
  <si>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</si>
  <si>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</si>
  <si>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</si>
  <si>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</si>
  <si>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</si>
  <si>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</si>
  <si>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</si>
  <si>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</si>
  <si>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</si>
  <si>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</si>
  <si>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</si>
  <si>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</si>
  <si>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</si>
  <si>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</si>
  <si>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</si>
  <si>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</si>
  <si>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</si>
  <si>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</si>
  <si>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</si>
  <si>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</si>
  <si>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</si>
  <si>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</si>
  <si>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</si>
  <si>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</si>
  <si>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</si>
  <si>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</si>
  <si>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</si>
  <si>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</si>
  <si>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</si>
  <si>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</si>
  <si>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</si>
  <si>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</si>
  <si>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</si>
  <si>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</si>
  <si>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</si>
  <si>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</si>
  <si>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</si>
  <si>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</si>
  <si>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</si>
  <si>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</si>
  <si>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</si>
  <si>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</si>
  <si>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</si>
  <si>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</si>
  <si>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</si>
  <si>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</si>
  <si>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</si>
  <si>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</si>
  <si>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</si>
  <si>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</si>
  <si>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</si>
  <si>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</si>
  <si>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</si>
  <si>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</si>
  <si>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</si>
  <si>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</si>
  <si>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</si>
  <si>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</si>
  <si>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</si>
  <si>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</si>
  <si>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</si>
  <si>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</si>
  <si>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</si>
  <si>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</si>
  <si>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</si>
  <si>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</si>
  <si>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</si>
  <si>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</si>
  <si>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</si>
  <si>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</si>
  <si>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</si>
  <si>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</si>
  <si>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</si>
  <si>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</si>
  <si>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</si>
  <si>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</si>
  <si>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</si>
  <si>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</si>
  <si>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</si>
  <si>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</si>
  <si>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</si>
  <si>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</si>
  <si>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</si>
  <si>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</si>
  <si>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</si>
  <si>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</si>
  <si>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</si>
  <si>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</si>
  <si>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</si>
  <si>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</si>
  <si>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</si>
  <si>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</si>
  <si>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</si>
  <si>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</si>
  <si>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</si>
  <si>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</si>
  <si>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</si>
  <si>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</si>
  <si>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</si>
  <si>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</si>
  <si>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</si>
  <si>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</si>
  <si>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</si>
  <si>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</si>
  <si>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</si>
  <si>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</si>
  <si>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</si>
  <si>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</si>
  <si>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</si>
  <si>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</si>
  <si>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</si>
  <si>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</si>
  <si>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</si>
  <si>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</si>
  <si>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</si>
  <si>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</si>
  <si>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</si>
  <si>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</si>
  <si>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</si>
  <si>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</si>
  <si>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</si>
  <si>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</si>
  <si>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</si>
  <si>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</si>
  <si>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</si>
  <si>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</si>
  <si>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</si>
  <si>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</si>
  <si>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</si>
  <si>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</si>
  <si>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</si>
  <si>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</si>
  <si>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</si>
  <si>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</si>
  <si>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</si>
  <si>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</si>
  <si>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</si>
  <si>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</si>
  <si>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</si>
  <si>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</si>
  <si>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</si>
  <si>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</si>
  <si>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</si>
  <si>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</si>
  <si>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</si>
  <si>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</si>
  <si>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</si>
  <si>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</si>
  <si>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</si>
  <si>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</si>
  <si>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</si>
  <si>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</si>
  <si>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</si>
  <si>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</si>
  <si>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</si>
  <si>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</si>
  <si>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</si>
  <si>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</si>
  <si>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</si>
  <si>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</si>
  <si>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</si>
  <si>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</si>
  <si>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</si>
  <si>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</si>
  <si>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</si>
  <si>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</si>
  <si>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</si>
  <si>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</si>
  <si>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</si>
  <si>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</si>
  <si>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</si>
  <si>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</si>
  <si>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</si>
  <si>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</si>
  <si>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</si>
  <si>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</si>
  <si>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</si>
  <si>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</si>
  <si>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</si>
  <si>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</si>
  <si>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</si>
  <si>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</si>
  <si>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</si>
  <si>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</si>
  <si>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</si>
  <si>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</si>
  <si>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</si>
  <si>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</si>
  <si>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</si>
  <si>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</si>
  <si>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</si>
  <si>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</si>
  <si>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</si>
  <si>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</si>
  <si>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</si>
  <si>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</si>
  <si>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</si>
  <si>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</si>
  <si>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</si>
  <si>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</si>
  <si>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</si>
  <si>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</si>
  <si>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</si>
  <si>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</si>
  <si>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</si>
  <si>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</si>
  <si>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</si>
  <si>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</si>
  <si>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</si>
  <si>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</si>
  <si>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</si>
  <si>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</si>
  <si>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</si>
  <si>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</si>
  <si>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</si>
  <si>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</si>
  <si>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</si>
  <si>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</si>
  <si>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</si>
  <si>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</si>
  <si>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</si>
  <si>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</si>
  <si>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</si>
  <si>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</si>
  <si>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</si>
  <si>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</si>
  <si>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</si>
  <si>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</si>
  <si>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</si>
  <si>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</si>
  <si>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</si>
  <si>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</si>
  <si>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</si>
  <si>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</si>
  <si>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</si>
  <si>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</si>
  <si>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</si>
  <si>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</si>
  <si>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</si>
  <si>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</si>
  <si>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</si>
  <si>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</si>
  <si>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</si>
  <si>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</si>
  <si>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</si>
  <si>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</si>
  <si>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</si>
  <si>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</si>
  <si>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</si>
  <si>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</si>
  <si>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</si>
  <si>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</si>
  <si>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</si>
  <si>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</si>
  <si>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</si>
  <si>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</si>
  <si>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</si>
  <si>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</si>
  <si>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</si>
  <si>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</si>
  <si>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</si>
  <si>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</si>
  <si>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</si>
  <si>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</si>
  <si>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</si>
  <si>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</si>
  <si>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</si>
  <si>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</si>
  <si>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</si>
  <si>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</si>
  <si>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</si>
  <si>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</si>
  <si>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</si>
  <si>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</si>
  <si>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</si>
  <si>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</si>
  <si>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</si>
  <si>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</si>
  <si>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</si>
  <si>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</si>
  <si>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</si>
  <si>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</si>
  <si>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</si>
  <si>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</si>
  <si>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</si>
  <si>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</si>
  <si>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</si>
  <si>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</si>
  <si>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</si>
  <si>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</si>
  <si>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</si>
  <si>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</si>
  <si>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</si>
  <si>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</si>
  <si>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</si>
  <si>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</si>
  <si>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</si>
  <si>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</si>
  <si>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</si>
  <si>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</si>
  <si>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</si>
  <si>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</si>
  <si>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</si>
  <si>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</si>
  <si>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</si>
  <si>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</si>
  <si>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</si>
  <si>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</si>
  <si>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</si>
  <si>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</si>
  <si>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</si>
  <si>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</si>
  <si>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</si>
  <si>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</si>
  <si>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</si>
  <si>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</si>
  <si>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</si>
  <si>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</si>
  <si>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</si>
  <si>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</si>
  <si>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</si>
  <si>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</si>
  <si>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</si>
  <si>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</si>
  <si>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</si>
  <si>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</si>
  <si>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</si>
  <si>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</si>
  <si>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</si>
  <si>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</si>
  <si>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</si>
  <si>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</si>
  <si>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</si>
  <si>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</si>
  <si>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</si>
  <si>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</si>
  <si>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</si>
  <si>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</si>
  <si>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</si>
  <si>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</si>
  <si>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</si>
  <si>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</si>
  <si>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</si>
  <si>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</si>
  <si>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</si>
  <si>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</si>
  <si>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</si>
  <si>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</si>
  <si>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</si>
  <si>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</si>
  <si>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</si>
  <si>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</si>
  <si>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</si>
  <si>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</si>
  <si>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</si>
  <si>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</si>
  <si>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</si>
  <si>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</si>
  <si>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</si>
  <si>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</si>
  <si>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</si>
  <si>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</si>
  <si>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</si>
  <si>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</si>
  <si>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</si>
  <si>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</si>
  <si>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</si>
  <si>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</si>
  <si>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</si>
  <si>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</si>
  <si>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</si>
  <si>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</si>
  <si>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</si>
  <si>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</si>
  <si>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</si>
  <si>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</si>
  <si>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</si>
  <si>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</si>
  <si>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</si>
  <si>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</si>
  <si>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</si>
  <si>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</si>
  <si>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</si>
  <si>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</si>
  <si>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</si>
  <si>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</si>
  <si>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</si>
  <si>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</si>
  <si>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</si>
  <si>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</si>
  <si>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</si>
  <si>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</si>
  <si>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</si>
  <si>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</si>
  <si>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</si>
  <si>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</si>
  <si>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</si>
  <si>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</si>
  <si>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</si>
  <si>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</si>
  <si>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</si>
  <si>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</si>
  <si>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</si>
  <si>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</si>
  <si>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</si>
  <si>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</si>
  <si>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</si>
  <si>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</si>
  <si>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</si>
  <si>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</si>
  <si>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</si>
  <si>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</si>
  <si>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</si>
  <si>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</si>
  <si>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</si>
  <si>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</si>
  <si>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</si>
  <si>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</si>
  <si>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</si>
  <si>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</si>
  <si>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</si>
  <si>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</si>
  <si>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</si>
  <si>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</si>
  <si>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</si>
  <si>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</si>
  <si>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</si>
  <si>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</si>
  <si>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</si>
  <si>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</si>
  <si>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</si>
  <si>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</si>
  <si>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</si>
  <si>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</si>
  <si>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</si>
  <si>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</si>
  <si>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</si>
  <si>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</si>
  <si>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</si>
  <si>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</si>
  <si>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</si>
  <si>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</si>
  <si>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</si>
  <si>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</si>
  <si>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</si>
  <si>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</si>
  <si>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</si>
  <si>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</si>
  <si>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</si>
  <si>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</si>
  <si>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</si>
  <si>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</si>
  <si>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</si>
  <si>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</si>
  <si>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</si>
  <si>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</si>
  <si>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</si>
  <si>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</si>
  <si>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</si>
  <si>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</si>
  <si>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</si>
  <si>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</si>
  <si>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</si>
  <si>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</si>
  <si>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</si>
  <si>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</si>
  <si>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</si>
  <si>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</si>
  <si>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</si>
  <si>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</si>
  <si>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</si>
  <si>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</si>
  <si>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</si>
  <si>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</si>
  <si>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</si>
  <si>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</si>
  <si>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</si>
  <si>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</si>
  <si>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</si>
  <si>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</si>
  <si>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</si>
  <si>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</si>
  <si>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</si>
  <si>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</si>
  <si>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</si>
  <si>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</si>
  <si>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</si>
  <si>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</si>
  <si>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</si>
  <si>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</si>
  <si>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</si>
  <si>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</si>
  <si>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</si>
  <si>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</si>
  <si>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</si>
  <si>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</si>
  <si>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</si>
  <si>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</si>
  <si>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</si>
  <si>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</si>
  <si>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</si>
  <si>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</si>
  <si>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</si>
  <si>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</si>
  <si>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</si>
  <si>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</si>
  <si>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</si>
  <si>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</si>
  <si>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</si>
  <si>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</si>
  <si>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</si>
  <si>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</si>
  <si>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</si>
  <si>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</si>
  <si>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</si>
  <si>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</si>
  <si>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</si>
  <si>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</si>
  <si>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</si>
  <si>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</si>
  <si>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</si>
  <si>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</si>
  <si>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</si>
  <si>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</si>
  <si>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</si>
  <si>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</si>
  <si>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</si>
  <si>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</si>
  <si>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</si>
  <si>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</si>
  <si>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</si>
  <si>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</si>
  <si>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</si>
  <si>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</si>
  <si>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</si>
  <si>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</si>
  <si>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</si>
  <si>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</si>
  <si>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</si>
  <si>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</si>
  <si>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</si>
  <si>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</si>
  <si>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</si>
  <si>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</si>
  <si>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</si>
  <si>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</si>
  <si>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</si>
  <si>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</si>
  <si>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</si>
  <si>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</si>
  <si>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</si>
  <si>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</si>
  <si>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</si>
  <si>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</si>
  <si>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</si>
  <si>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</si>
  <si>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</si>
  <si>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</si>
  <si>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</si>
  <si>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</si>
  <si>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</si>
  <si>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</si>
  <si>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</si>
  <si>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</si>
  <si>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</si>
  <si>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</si>
  <si>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</si>
  <si>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</si>
  <si>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</si>
  <si>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</si>
  <si>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</si>
  <si>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</si>
  <si>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</si>
  <si>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</si>
  <si>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</si>
  <si>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</si>
  <si>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</si>
  <si>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</si>
  <si>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</si>
  <si>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</si>
  <si>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</si>
  <si>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</si>
  <si>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</si>
  <si>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</si>
  <si>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</si>
  <si>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</si>
  <si>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</si>
  <si>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</si>
  <si>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</si>
  <si>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</si>
  <si>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</si>
  <si>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</si>
  <si>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</si>
  <si>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</si>
  <si>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</si>
  <si>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</si>
  <si>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</si>
  <si>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</si>
  <si>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</si>
  <si>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</si>
  <si>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</si>
  <si>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</si>
  <si>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</si>
  <si>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</si>
  <si>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</si>
  <si>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</si>
  <si>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</si>
  <si>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</si>
  <si>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</si>
  <si>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</si>
  <si>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</si>
  <si>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</si>
  <si>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</si>
  <si>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</si>
  <si>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</si>
  <si>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</si>
  <si>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</si>
  <si>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</si>
  <si>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</si>
  <si>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</si>
  <si>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</si>
  <si>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</si>
  <si>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</si>
  <si>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</si>
  <si>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</si>
  <si>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</si>
  <si>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</si>
  <si>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</si>
  <si>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</si>
  <si>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</si>
  <si>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</si>
  <si>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</si>
  <si>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</si>
  <si>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</si>
  <si>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</si>
  <si>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</si>
  <si>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</si>
  <si>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</si>
  <si>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</si>
  <si>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</si>
  <si>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</si>
  <si>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</si>
  <si>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</si>
  <si>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</si>
  <si>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</si>
  <si>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</si>
  <si>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</si>
  <si>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</si>
  <si>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</si>
  <si>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</si>
  <si>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</si>
  <si>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</si>
  <si>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</si>
  <si>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</si>
  <si>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</si>
  <si>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</si>
  <si>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</si>
  <si>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</si>
  <si>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</si>
  <si>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</si>
  <si>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</si>
  <si>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</si>
  <si>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</si>
  <si>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</si>
  <si>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</si>
  <si>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</si>
  <si>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</si>
  <si>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</si>
  <si>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</si>
  <si>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</si>
  <si>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</si>
  <si>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</si>
  <si>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</si>
  <si>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</si>
  <si>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</si>
  <si>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</si>
  <si>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</si>
  <si>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</si>
  <si>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</si>
  <si>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</si>
  <si>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</si>
  <si>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</si>
  <si>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</si>
  <si>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</si>
  <si>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</si>
  <si>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</si>
  <si>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</si>
  <si>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</si>
  <si>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</si>
  <si>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</si>
  <si>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</si>
  <si>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</si>
  <si>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</si>
  <si>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</si>
  <si>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</si>
  <si>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</si>
  <si>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</si>
  <si>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</si>
  <si>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</si>
  <si>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</si>
  <si>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</si>
  <si>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</si>
  <si>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</si>
  <si>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</si>
  <si>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</si>
  <si>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</si>
  <si>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</si>
  <si>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</si>
  <si>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</si>
  <si>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</si>
  <si>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</si>
  <si>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</si>
  <si>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</si>
  <si>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</si>
  <si>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</si>
  <si>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</si>
  <si>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</si>
  <si>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</si>
  <si>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</si>
  <si>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</si>
  <si>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</si>
  <si>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</si>
  <si>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</si>
  <si>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</si>
  <si>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</si>
  <si>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</si>
  <si>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</si>
  <si>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</si>
  <si>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</si>
  <si>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</si>
  <si>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</si>
  <si>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</si>
  <si>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</si>
  <si>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</si>
  <si>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</si>
  <si>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</si>
  <si>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</si>
  <si>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</si>
  <si>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</si>
  <si>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</si>
  <si>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</si>
  <si>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</si>
  <si>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</si>
  <si>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</si>
  <si>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</si>
  <si>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</si>
  <si>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</si>
  <si>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</si>
  <si>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</si>
  <si>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</si>
  <si>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</si>
  <si>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</si>
  <si>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</si>
  <si>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</si>
  <si>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</si>
  <si>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</si>
  <si>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</si>
  <si>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</si>
  <si>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</si>
  <si>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</si>
  <si>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</si>
  <si>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</si>
  <si>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</si>
  <si>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</si>
  <si>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</si>
  <si>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</si>
  <si>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</si>
  <si>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</si>
  <si>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</si>
  <si>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</si>
  <si>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</si>
  <si>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</si>
  <si>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</si>
  <si>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</si>
  <si>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</si>
  <si>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</si>
  <si>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</si>
  <si>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</si>
  <si>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</si>
  <si>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</si>
  <si>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</si>
  <si>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</si>
  <si>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</si>
  <si>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</si>
  <si>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</si>
  <si>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</si>
  <si>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</si>
  <si>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</si>
  <si>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</si>
  <si>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</si>
  <si>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</si>
  <si>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</si>
  <si>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</si>
  <si>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</si>
  <si>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</si>
  <si>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</si>
  <si>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</si>
  <si>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</si>
  <si>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</si>
  <si>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</si>
  <si>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</si>
  <si>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</si>
  <si>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</si>
  <si>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</si>
  <si>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</si>
  <si>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</si>
  <si>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</si>
  <si>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</si>
  <si>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</si>
  <si>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</si>
  <si>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</si>
  <si>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</si>
  <si>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</si>
  <si>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</si>
  <si>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</si>
  <si>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</si>
  <si>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</si>
  <si>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</si>
  <si>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</si>
  <si>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</si>
  <si>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</si>
  <si>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</si>
  <si>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</si>
  <si>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</si>
  <si>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</si>
  <si>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</si>
  <si>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</si>
  <si>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</si>
  <si>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</si>
  <si>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</si>
  <si>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</si>
  <si>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</si>
  <si>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</si>
  <si>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</si>
  <si>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</si>
  <si>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</si>
  <si>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</si>
  <si>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</si>
  <si>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</si>
  <si>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</si>
  <si>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</si>
  <si>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</si>
  <si>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</si>
  <si>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</si>
  <si>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</si>
  <si>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</si>
  <si>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</si>
  <si>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</si>
  <si>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</si>
  <si>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</si>
  <si>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</si>
  <si>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</si>
  <si>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</si>
  <si>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</si>
  <si>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</si>
  <si>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</si>
  <si>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</si>
  <si>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</si>
  <si>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</si>
  <si>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</si>
  <si>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</si>
  <si>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</si>
  <si>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</si>
  <si>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</si>
  <si>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</si>
  <si>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</si>
  <si>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</si>
  <si>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</si>
  <si>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</si>
  <si>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</si>
  <si>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</si>
  <si>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</si>
  <si>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</si>
  <si>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</si>
  <si>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</si>
  <si>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</si>
  <si>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</si>
  <si>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</si>
  <si>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</si>
  <si>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</si>
  <si>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</si>
  <si>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</si>
  <si>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</si>
  <si>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</si>
  <si>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</si>
  <si>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</si>
  <si>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</si>
  <si>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</si>
  <si>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</si>
  <si>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</si>
  <si>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</si>
  <si>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</si>
  <si>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</si>
  <si>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</si>
  <si>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</si>
  <si>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</si>
  <si>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</si>
  <si>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</si>
  <si>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</si>
  <si>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</si>
  <si>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</si>
  <si>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</si>
  <si>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</si>
  <si>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</si>
  <si>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</si>
  <si>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</si>
  <si>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</si>
  <si>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</si>
  <si>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</si>
  <si>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</si>
  <si>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</si>
  <si>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</si>
  <si>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</si>
  <si>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</si>
  <si>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</si>
  <si>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</si>
  <si>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</si>
  <si>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</si>
  <si>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</si>
  <si>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</si>
  <si>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</si>
  <si>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</si>
  <si>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</si>
  <si>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</si>
  <si>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</si>
  <si>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</si>
  <si>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</si>
  <si>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</si>
  <si>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</si>
  <si>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</si>
  <si>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</si>
  <si>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</si>
  <si>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</si>
  <si>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</si>
  <si>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</si>
  <si>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</si>
  <si>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</si>
  <si>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</si>
  <si>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</si>
  <si>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</si>
  <si>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</si>
  <si>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</si>
  <si>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</si>
  <si>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</si>
  <si>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</si>
  <si>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</si>
  <si>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</si>
  <si>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</si>
  <si>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</si>
  <si>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</si>
  <si>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</si>
  <si>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</si>
  <si>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</si>
  <si>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</si>
  <si>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</si>
  <si>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</si>
  <si>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</si>
  <si>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</si>
  <si>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</si>
  <si>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</si>
  <si>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</si>
  <si>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</si>
  <si>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</si>
  <si>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</si>
  <si>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</si>
  <si>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</si>
  <si>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</si>
  <si>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</si>
  <si>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</si>
  <si>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</si>
  <si>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</si>
  <si>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</si>
  <si>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</si>
  <si>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</si>
  <si>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</si>
  <si>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</si>
  <si>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</si>
  <si>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</si>
  <si>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</si>
  <si>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</si>
  <si>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</si>
  <si>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</si>
  <si>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</si>
  <si>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</si>
  <si>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</si>
  <si>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</si>
  <si>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</si>
  <si>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</si>
  <si>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</si>
  <si>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</si>
  <si>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</si>
  <si>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</si>
  <si>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</si>
  <si>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</si>
  <si>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</si>
  <si>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</si>
  <si>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</si>
  <si>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</si>
  <si>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</si>
  <si>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</si>
  <si>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</si>
  <si>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</si>
  <si>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</si>
  <si>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</si>
  <si>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</si>
  <si>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</si>
  <si>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</si>
  <si>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</si>
  <si>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</si>
  <si>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</si>
  <si>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</si>
  <si>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</si>
  <si>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</si>
  <si>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</si>
  <si>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</si>
  <si>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</si>
  <si>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</si>
  <si>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</si>
  <si>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</si>
  <si>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</si>
  <si>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</si>
  <si>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</si>
  <si>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</si>
  <si>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</si>
  <si>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</si>
  <si>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</si>
  <si>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</si>
  <si>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</si>
  <si>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</si>
  <si>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</si>
  <si>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</si>
  <si>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</si>
  <si>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</si>
  <si>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</si>
  <si>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</si>
  <si>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</si>
  <si>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</si>
  <si>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</si>
  <si>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</si>
  <si>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</si>
  <si>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</si>
  <si>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</si>
  <si>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</si>
  <si>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</si>
  <si>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</si>
  <si>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</si>
  <si>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</si>
  <si>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</si>
  <si>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</si>
  <si>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</si>
  <si>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</si>
  <si>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</si>
  <si>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</si>
  <si>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</si>
  <si>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</si>
  <si>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</si>
  <si>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</si>
  <si>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</si>
  <si>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</si>
  <si>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</si>
  <si>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</si>
  <si>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</si>
  <si>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</si>
  <si>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</si>
  <si>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</si>
  <si>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</si>
  <si>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</si>
  <si>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</si>
  <si>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</si>
  <si>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</si>
  <si>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</si>
  <si>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</si>
  <si>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</si>
  <si>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</si>
  <si>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</si>
  <si>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</si>
  <si>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</si>
  <si>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</si>
  <si>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</si>
  <si>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</si>
  <si>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</si>
  <si>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</si>
  <si>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</si>
  <si>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</si>
  <si>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</si>
  <si>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</si>
  <si>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</si>
  <si>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</si>
  <si>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</si>
  <si>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</si>
  <si>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</si>
  <si>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</si>
  <si>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</si>
  <si>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</si>
  <si>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</si>
  <si>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</si>
  <si>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</si>
  <si>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</si>
  <si>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</si>
  <si>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</si>
  <si>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</si>
  <si>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</si>
  <si>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</si>
  <si>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</si>
  <si>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</si>
  <si>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</si>
  <si>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</si>
  <si>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</si>
  <si>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</si>
  <si>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</si>
  <si>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</si>
  <si>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</si>
  <si>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</si>
  <si>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</si>
  <si>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</si>
  <si>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</si>
  <si>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</si>
  <si>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</si>
  <si>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</si>
  <si>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</si>
  <si>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</si>
  <si>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</si>
  <si>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</si>
  <si>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</si>
  <si>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</si>
  <si>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</si>
  <si>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</si>
  <si>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</si>
  <si>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</si>
  <si>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</si>
  <si>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</si>
  <si>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</si>
  <si>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</si>
  <si>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</si>
  <si>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</si>
  <si>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</si>
  <si>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</si>
  <si>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</si>
  <si>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</si>
  <si>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</si>
  <si>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</si>
  <si>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</si>
  <si>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</si>
  <si>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</si>
  <si>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</si>
  <si>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</si>
  <si>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</si>
  <si>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</si>
  <si>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</si>
  <si>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</si>
  <si>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</si>
  <si>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</si>
  <si>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</si>
  <si>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</si>
  <si>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</si>
  <si>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</si>
  <si>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</si>
  <si>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</si>
  <si>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</si>
  <si>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</si>
  <si>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</si>
  <si>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</si>
  <si>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</si>
  <si>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</si>
  <si>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</si>
  <si>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</si>
  <si>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</si>
  <si>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</si>
  <si>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</si>
  <si>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</si>
  <si>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</si>
  <si>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</si>
  <si>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</si>
  <si>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</si>
  <si>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</si>
  <si>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</si>
  <si>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</si>
  <si>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</si>
  <si>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</si>
  <si>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</si>
  <si>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</si>
  <si>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</si>
  <si>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</si>
  <si>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</si>
  <si>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</si>
  <si>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</si>
  <si>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</si>
  <si>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</si>
  <si>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</si>
  <si>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</si>
  <si>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</si>
  <si>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</si>
  <si>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</si>
  <si>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</si>
  <si>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</si>
  <si>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</si>
  <si>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</si>
  <si>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</si>
  <si>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</si>
  <si>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</si>
  <si>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</si>
  <si>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</si>
  <si>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</si>
  <si>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</si>
  <si>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</si>
  <si>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</si>
  <si>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</si>
  <si>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</si>
  <si>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</si>
  <si>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</si>
  <si>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</si>
  <si>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</si>
  <si>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</si>
  <si>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</si>
  <si>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</si>
  <si>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</si>
  <si>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</si>
  <si>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</si>
  <si>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</si>
  <si>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</si>
  <si>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</si>
  <si>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</si>
  <si>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</si>
  <si>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</si>
  <si>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</si>
  <si>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</si>
  <si>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</si>
  <si>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</si>
  <si>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</si>
  <si>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</si>
  <si>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</si>
  <si>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</si>
  <si>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</si>
  <si>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</si>
  <si>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</si>
  <si>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</si>
  <si>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</si>
  <si>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</si>
  <si>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</si>
  <si>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</si>
  <si>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</si>
  <si>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</si>
  <si>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</si>
  <si>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</si>
  <si>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</si>
  <si>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</si>
  <si>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</si>
  <si>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</si>
  <si>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</si>
  <si>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</si>
  <si>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</si>
  <si>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</si>
  <si>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</si>
  <si>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</si>
  <si>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</si>
  <si>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</si>
  <si>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</si>
  <si>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</si>
  <si>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</si>
  <si>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</si>
  <si>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</si>
  <si>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</si>
  <si>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</si>
  <si>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</si>
  <si>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</si>
  <si>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</si>
  <si>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</si>
  <si>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</si>
  <si>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</si>
  <si>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</si>
  <si>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</si>
  <si>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</si>
  <si>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</si>
  <si>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</si>
  <si>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</si>
  <si>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</si>
  <si>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</si>
  <si>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</si>
  <si>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</si>
  <si>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</si>
  <si>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</si>
  <si>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</si>
  <si>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</si>
  <si>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</si>
  <si>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</si>
  <si>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</si>
  <si>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</si>
  <si>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</si>
  <si>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</si>
  <si>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</si>
  <si>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</si>
  <si>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</si>
  <si>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</si>
  <si>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</si>
  <si>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</si>
  <si>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</si>
  <si>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</si>
  <si>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</si>
  <si>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</si>
  <si>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</si>
  <si>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</si>
  <si>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</si>
  <si>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</si>
  <si>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</si>
  <si>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</si>
  <si>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</si>
  <si>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</si>
  <si>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</si>
  <si>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Adriana Cuoco Portugal; Cinthia Thais de Carvalho Luz Thomazi; Fernanda Viana de Souza; Luiz Felipe Tenório de Lima Gondim; Priscila Nolasco de Oliveira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</si>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</sst>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6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5"/>
      <tableStyleElement type="firstRowStripe" dxfId="64"/>
      <tableStyleElement type="secondRowStripe" dxfId="63"/>
    </tableStyle>
    <tableStyle name="Ações InCompany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Coffee Break-style" pivot="0" count="3" xr9:uid="{00000000-0011-0000-FFFF-FFFF02000000}">
      <tableStyleElement type="headerRow" dxfId="59"/>
      <tableStyleElement type="firstRowStripe" dxfId="58"/>
      <tableStyleElement type="secondRowStripe" dxfId="57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zoomScaleNormal="100" workbookViewId="0">
      <pane ySplit="1" topLeftCell="A694" activePane="bottomLeft" state="frozen"/>
      <selection pane="bottomLeft" activeCell="E727" sqref="E727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15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15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15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15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15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15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15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15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15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15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15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15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15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15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15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15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15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15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15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15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15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15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15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15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15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15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15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15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15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15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15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15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15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15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15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15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15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15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15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15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15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15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15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15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15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15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15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15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15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15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15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15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15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15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15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15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15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15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15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15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15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15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15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15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15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15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15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15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15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15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15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15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15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15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15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15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15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15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15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15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15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15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15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15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15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15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15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15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15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15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15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15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15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15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15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15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15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15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15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15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15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15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15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15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15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15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15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15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15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15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15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15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15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15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15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15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15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15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15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15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15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15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15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15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15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15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15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15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15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15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15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15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15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15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15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15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15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15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15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15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15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15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15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15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15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15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15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15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15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15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15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15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15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15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15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15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15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15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15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15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15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15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15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15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15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15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15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15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15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15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15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15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15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15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15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15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15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15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15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15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15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15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15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15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15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15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15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15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15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15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15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15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15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15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15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15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15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15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15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15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15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15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15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15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15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15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15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15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15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15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15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15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15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15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15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15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15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15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15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15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15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15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15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15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15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15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15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15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15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15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15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15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15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15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15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15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15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15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15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15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15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15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15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15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15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15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15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15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15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15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15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15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15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15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15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15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15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15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15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15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15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15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15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15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15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15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15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15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15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15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15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15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15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15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15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15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15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15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15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15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15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15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15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15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15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15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15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15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15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15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15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15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15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15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15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15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15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15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15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15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15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15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15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15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15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15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15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15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45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15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15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15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15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15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15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15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15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15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15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15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15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15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15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15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30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15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15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15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15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15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15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15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15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15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15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15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15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15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15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15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15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15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15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15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15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15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15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15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15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15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15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15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15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15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15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15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15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15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15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15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15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15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15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15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15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15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15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15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15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15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15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15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15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15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15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15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15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15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15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15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15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15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15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15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15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15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15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15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15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15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15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15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15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15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15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15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15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15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15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15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15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15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15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15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15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15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15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15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15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15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15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15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15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15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15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15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15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15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15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15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15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15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15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15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15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15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15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15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15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15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15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15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15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15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15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15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15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15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15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15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15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15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15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15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15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15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15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15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15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15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15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15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15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15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15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15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15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15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15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15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15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15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1921</v>
      </c>
    </row>
    <row r="466" spans="1:20" ht="15" x14ac:dyDescent="0.25">
      <c r="A466" s="139" t="s">
        <v>1922</v>
      </c>
      <c r="B466" s="129">
        <v>2024</v>
      </c>
      <c r="C466" s="129" t="s">
        <v>22</v>
      </c>
      <c r="D466" s="129" t="s">
        <v>1923</v>
      </c>
      <c r="E466" s="130" t="s">
        <v>1924</v>
      </c>
      <c r="F466" s="131" t="s">
        <v>88</v>
      </c>
      <c r="G466" s="132" t="s">
        <v>75</v>
      </c>
      <c r="H466" s="133" t="s">
        <v>1925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15" x14ac:dyDescent="0.25">
      <c r="A467" s="139" t="s">
        <v>1926</v>
      </c>
      <c r="B467" s="129">
        <v>2024</v>
      </c>
      <c r="C467" s="129" t="s">
        <v>22</v>
      </c>
      <c r="D467" s="129" t="s">
        <v>1923</v>
      </c>
      <c r="E467" s="130" t="s">
        <v>1927</v>
      </c>
      <c r="F467" s="152" t="s">
        <v>24</v>
      </c>
      <c r="G467" s="132" t="s">
        <v>75</v>
      </c>
      <c r="H467" s="133" t="s">
        <v>1928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15" x14ac:dyDescent="0.25">
      <c r="A468" s="139" t="s">
        <v>1929</v>
      </c>
      <c r="B468" s="129">
        <v>2024</v>
      </c>
      <c r="C468" s="129" t="s">
        <v>22</v>
      </c>
      <c r="D468" s="129" t="s">
        <v>1930</v>
      </c>
      <c r="E468" s="130" t="s">
        <v>1931</v>
      </c>
      <c r="F468" s="131" t="s">
        <v>24</v>
      </c>
      <c r="G468" s="132" t="s">
        <v>42</v>
      </c>
      <c r="H468" s="133" t="s">
        <v>1932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1933</v>
      </c>
    </row>
    <row r="469" spans="1:20" ht="15" x14ac:dyDescent="0.25">
      <c r="A469" s="139" t="s">
        <v>1934</v>
      </c>
      <c r="B469" s="129">
        <v>2024</v>
      </c>
      <c r="C469" s="129" t="s">
        <v>22</v>
      </c>
      <c r="D469" s="129" t="s">
        <v>1784</v>
      </c>
      <c r="E469" s="130" t="s">
        <v>1935</v>
      </c>
      <c r="F469" s="131" t="s">
        <v>24</v>
      </c>
      <c r="G469" s="132" t="s">
        <v>464</v>
      </c>
      <c r="H469" s="133" t="s">
        <v>1936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15" x14ac:dyDescent="0.25">
      <c r="A470" s="139" t="s">
        <v>1937</v>
      </c>
      <c r="B470" s="129">
        <v>2024</v>
      </c>
      <c r="C470" s="129" t="s">
        <v>22</v>
      </c>
      <c r="D470" s="129" t="s">
        <v>1784</v>
      </c>
      <c r="E470" s="130" t="s">
        <v>1938</v>
      </c>
      <c r="F470" s="131" t="s">
        <v>24</v>
      </c>
      <c r="G470" s="132" t="s">
        <v>464</v>
      </c>
      <c r="H470" s="133" t="s">
        <v>1939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15" x14ac:dyDescent="0.25">
      <c r="A471" s="139" t="s">
        <v>1940</v>
      </c>
      <c r="B471" s="129">
        <v>2024</v>
      </c>
      <c r="C471" s="129" t="s">
        <v>22</v>
      </c>
      <c r="D471" s="129" t="s">
        <v>1941</v>
      </c>
      <c r="E471" s="130" t="s">
        <v>1942</v>
      </c>
      <c r="F471" s="131" t="s">
        <v>69</v>
      </c>
      <c r="G471" s="132" t="s">
        <v>79</v>
      </c>
      <c r="H471" s="133" t="s">
        <v>1943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15" x14ac:dyDescent="0.25">
      <c r="A472" s="139" t="s">
        <v>1944</v>
      </c>
      <c r="B472" s="129">
        <v>2024</v>
      </c>
      <c r="C472" s="129" t="s">
        <v>22</v>
      </c>
      <c r="D472" s="129" t="s">
        <v>1945</v>
      </c>
      <c r="E472" s="130" t="s">
        <v>1946</v>
      </c>
      <c r="F472" s="131" t="s">
        <v>69</v>
      </c>
      <c r="G472" s="132" t="s">
        <v>79</v>
      </c>
      <c r="H472" s="133" t="s">
        <v>1947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1948</v>
      </c>
    </row>
    <row r="473" spans="1:20" ht="15" x14ac:dyDescent="0.25">
      <c r="A473" s="139" t="s">
        <v>1949</v>
      </c>
      <c r="B473" s="129">
        <v>2024</v>
      </c>
      <c r="C473" s="129" t="s">
        <v>22</v>
      </c>
      <c r="D473" s="129" t="s">
        <v>1950</v>
      </c>
      <c r="E473" s="130" t="s">
        <v>1951</v>
      </c>
      <c r="F473" s="131" t="s">
        <v>69</v>
      </c>
      <c r="G473" s="132" t="s">
        <v>79</v>
      </c>
      <c r="H473" s="133" t="s">
        <v>1952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1953</v>
      </c>
    </row>
    <row r="474" spans="1:20" ht="15" x14ac:dyDescent="0.25">
      <c r="A474" s="139" t="s">
        <v>1954</v>
      </c>
      <c r="B474" s="129">
        <v>2024</v>
      </c>
      <c r="C474" s="129" t="s">
        <v>22</v>
      </c>
      <c r="D474" s="129" t="s">
        <v>1955</v>
      </c>
      <c r="E474" s="130" t="s">
        <v>1956</v>
      </c>
      <c r="F474" s="131" t="s">
        <v>69</v>
      </c>
      <c r="G474" s="132" t="s">
        <v>79</v>
      </c>
      <c r="H474" s="133" t="s">
        <v>1957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1958</v>
      </c>
    </row>
    <row r="475" spans="1:20" ht="15" x14ac:dyDescent="0.25">
      <c r="A475" s="139" t="s">
        <v>1959</v>
      </c>
      <c r="B475" s="129">
        <v>2024</v>
      </c>
      <c r="C475" s="129" t="s">
        <v>22</v>
      </c>
      <c r="D475" s="129" t="s">
        <v>1960</v>
      </c>
      <c r="E475" s="130" t="s">
        <v>1961</v>
      </c>
      <c r="F475" s="131" t="s">
        <v>24</v>
      </c>
      <c r="G475" s="132" t="s">
        <v>42</v>
      </c>
      <c r="H475" s="133" t="s">
        <v>1962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1963</v>
      </c>
    </row>
    <row r="476" spans="1:20" ht="15" x14ac:dyDescent="0.25">
      <c r="A476" s="139" t="s">
        <v>1964</v>
      </c>
      <c r="B476" s="129">
        <v>2024</v>
      </c>
      <c r="C476" s="129" t="s">
        <v>22</v>
      </c>
      <c r="D476" s="129" t="s">
        <v>1965</v>
      </c>
      <c r="E476" s="130" t="s">
        <v>1966</v>
      </c>
      <c r="F476" s="131" t="s">
        <v>69</v>
      </c>
      <c r="G476" s="132" t="s">
        <v>79</v>
      </c>
      <c r="H476" s="133" t="s">
        <v>1967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1968</v>
      </c>
    </row>
    <row r="477" spans="1:20" ht="15" x14ac:dyDescent="0.25">
      <c r="A477" s="139" t="s">
        <v>1969</v>
      </c>
      <c r="B477" s="129">
        <v>2024</v>
      </c>
      <c r="C477" s="129" t="s">
        <v>22</v>
      </c>
      <c r="D477" s="129" t="s">
        <v>1970</v>
      </c>
      <c r="E477" s="130" t="s">
        <v>1971</v>
      </c>
      <c r="F477" s="131" t="s">
        <v>69</v>
      </c>
      <c r="G477" s="132" t="s">
        <v>79</v>
      </c>
      <c r="H477" s="133" t="s">
        <v>1972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15" x14ac:dyDescent="0.25">
      <c r="A478" s="139" t="s">
        <v>1973</v>
      </c>
      <c r="B478" s="129">
        <v>2024</v>
      </c>
      <c r="C478" s="129" t="s">
        <v>22</v>
      </c>
      <c r="D478" s="129" t="s">
        <v>1974</v>
      </c>
      <c r="E478" s="130" t="s">
        <v>1975</v>
      </c>
      <c r="F478" s="131" t="s">
        <v>24</v>
      </c>
      <c r="G478" s="132" t="s">
        <v>25</v>
      </c>
      <c r="H478" s="133" t="s">
        <v>1976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1921</v>
      </c>
    </row>
    <row r="479" spans="1:20" ht="15" x14ac:dyDescent="0.25">
      <c r="A479" s="139" t="s">
        <v>1977</v>
      </c>
      <c r="B479" s="129">
        <v>2024</v>
      </c>
      <c r="C479" s="129" t="s">
        <v>22</v>
      </c>
      <c r="D479" s="129" t="s">
        <v>1978</v>
      </c>
      <c r="E479" s="130" t="s">
        <v>1979</v>
      </c>
      <c r="F479" s="131" t="s">
        <v>88</v>
      </c>
      <c r="G479" s="132" t="s">
        <v>79</v>
      </c>
      <c r="H479" s="133" t="s">
        <v>1980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1981</v>
      </c>
    </row>
    <row r="480" spans="1:20" ht="15" x14ac:dyDescent="0.25">
      <c r="A480" s="139" t="s">
        <v>1982</v>
      </c>
      <c r="B480" s="129">
        <v>2024</v>
      </c>
      <c r="C480" s="129" t="s">
        <v>22</v>
      </c>
      <c r="D480" s="129" t="s">
        <v>1983</v>
      </c>
      <c r="E480" s="130" t="s">
        <v>1984</v>
      </c>
      <c r="F480" s="131" t="s">
        <v>69</v>
      </c>
      <c r="G480" s="132" t="s">
        <v>79</v>
      </c>
      <c r="H480" s="133" t="s">
        <v>1985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15" x14ac:dyDescent="0.25">
      <c r="A481" s="139" t="s">
        <v>1986</v>
      </c>
      <c r="B481" s="129">
        <v>2024</v>
      </c>
      <c r="C481" s="129" t="s">
        <v>22</v>
      </c>
      <c r="D481" s="129" t="s">
        <v>1789</v>
      </c>
      <c r="E481" s="130" t="s">
        <v>1987</v>
      </c>
      <c r="F481" s="131" t="s">
        <v>24</v>
      </c>
      <c r="G481" s="132" t="s">
        <v>42</v>
      </c>
      <c r="H481" s="133" t="s">
        <v>1988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1989</v>
      </c>
    </row>
    <row r="482" spans="1:20" ht="15" x14ac:dyDescent="0.25">
      <c r="A482" s="139" t="s">
        <v>1990</v>
      </c>
      <c r="B482" s="129">
        <v>2024</v>
      </c>
      <c r="C482" s="129" t="s">
        <v>22</v>
      </c>
      <c r="D482" s="129" t="s">
        <v>1991</v>
      </c>
      <c r="E482" s="130" t="s">
        <v>1992</v>
      </c>
      <c r="F482" s="131" t="s">
        <v>24</v>
      </c>
      <c r="G482" s="132" t="s">
        <v>42</v>
      </c>
      <c r="H482" s="133" t="s">
        <v>1993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1994</v>
      </c>
    </row>
    <row r="483" spans="1:20" ht="15" x14ac:dyDescent="0.25">
      <c r="A483" s="139" t="s">
        <v>1995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1996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15" x14ac:dyDescent="0.25">
      <c r="A484" s="139" t="s">
        <v>1997</v>
      </c>
      <c r="B484" s="129">
        <v>2024</v>
      </c>
      <c r="C484" s="129" t="s">
        <v>22</v>
      </c>
      <c r="D484" s="129" t="s">
        <v>1970</v>
      </c>
      <c r="E484" s="130" t="s">
        <v>1998</v>
      </c>
      <c r="F484" s="131" t="s">
        <v>69</v>
      </c>
      <c r="G484" s="132" t="s">
        <v>79</v>
      </c>
      <c r="H484" s="133" t="s">
        <v>1999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15" x14ac:dyDescent="0.25">
      <c r="A485" s="139" t="s">
        <v>2000</v>
      </c>
      <c r="B485" s="129">
        <v>2024</v>
      </c>
      <c r="C485" s="129" t="s">
        <v>22</v>
      </c>
      <c r="D485" s="129" t="s">
        <v>1784</v>
      </c>
      <c r="E485" s="130" t="s">
        <v>2001</v>
      </c>
      <c r="F485" s="131" t="s">
        <v>24</v>
      </c>
      <c r="G485" s="132" t="s">
        <v>464</v>
      </c>
      <c r="H485" s="133" t="s">
        <v>2002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15" x14ac:dyDescent="0.25">
      <c r="A486" s="139" t="s">
        <v>2003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2004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15" x14ac:dyDescent="0.25">
      <c r="A487" s="139" t="s">
        <v>2005</v>
      </c>
      <c r="B487" s="129">
        <v>2024</v>
      </c>
      <c r="C487" s="129" t="s">
        <v>22</v>
      </c>
      <c r="D487" s="129" t="s">
        <v>2006</v>
      </c>
      <c r="E487" s="130" t="s">
        <v>2007</v>
      </c>
      <c r="F487" s="131" t="s">
        <v>24</v>
      </c>
      <c r="G487" s="132" t="s">
        <v>36</v>
      </c>
      <c r="H487" s="133" t="s">
        <v>2008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15" x14ac:dyDescent="0.25">
      <c r="A488" s="139" t="s">
        <v>2009</v>
      </c>
      <c r="B488" s="129">
        <v>2024</v>
      </c>
      <c r="C488" s="129" t="s">
        <v>22</v>
      </c>
      <c r="D488" s="129" t="s">
        <v>1784</v>
      </c>
      <c r="E488" s="130" t="s">
        <v>2010</v>
      </c>
      <c r="F488" s="131" t="s">
        <v>24</v>
      </c>
      <c r="G488" s="132" t="s">
        <v>464</v>
      </c>
      <c r="H488" s="133" t="s">
        <v>2011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15" x14ac:dyDescent="0.25">
      <c r="A489" s="139" t="s">
        <v>2012</v>
      </c>
      <c r="B489" s="153">
        <v>2024</v>
      </c>
      <c r="C489" s="154" t="s">
        <v>22</v>
      </c>
      <c r="D489" s="154" t="s">
        <v>1703</v>
      </c>
      <c r="E489" s="155" t="s">
        <v>2013</v>
      </c>
      <c r="F489" s="131" t="s">
        <v>69</v>
      </c>
      <c r="G489" s="156" t="s">
        <v>79</v>
      </c>
      <c r="H489" s="157" t="s">
        <v>2014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15" x14ac:dyDescent="0.25">
      <c r="A490" s="139" t="s">
        <v>2015</v>
      </c>
      <c r="B490" s="129">
        <v>2024</v>
      </c>
      <c r="C490" s="154" t="s">
        <v>22</v>
      </c>
      <c r="D490" s="154" t="s">
        <v>1978</v>
      </c>
      <c r="E490" s="155" t="s">
        <v>2016</v>
      </c>
      <c r="F490" s="163" t="s">
        <v>88</v>
      </c>
      <c r="G490" s="156" t="s">
        <v>79</v>
      </c>
      <c r="H490" s="157" t="s">
        <v>2014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1981</v>
      </c>
    </row>
    <row r="491" spans="1:20" ht="15" x14ac:dyDescent="0.25">
      <c r="A491" s="139" t="s">
        <v>2017</v>
      </c>
      <c r="B491" s="129">
        <v>2024</v>
      </c>
      <c r="C491" s="154" t="s">
        <v>22</v>
      </c>
      <c r="D491" s="154" t="s">
        <v>2018</v>
      </c>
      <c r="E491" s="155" t="s">
        <v>2019</v>
      </c>
      <c r="F491" s="163" t="s">
        <v>24</v>
      </c>
      <c r="G491" s="156" t="s">
        <v>75</v>
      </c>
      <c r="H491" s="157" t="s">
        <v>2020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2021</v>
      </c>
    </row>
    <row r="492" spans="1:20" ht="15" x14ac:dyDescent="0.25">
      <c r="A492" s="139" t="s">
        <v>2022</v>
      </c>
      <c r="B492" s="129">
        <v>2024</v>
      </c>
      <c r="C492" s="154" t="s">
        <v>22</v>
      </c>
      <c r="D492" s="154" t="s">
        <v>2023</v>
      </c>
      <c r="E492" s="155" t="s">
        <v>2024</v>
      </c>
      <c r="F492" s="163" t="s">
        <v>69</v>
      </c>
      <c r="G492" s="156" t="s">
        <v>79</v>
      </c>
      <c r="H492" s="157" t="s">
        <v>2025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2026</v>
      </c>
    </row>
    <row r="493" spans="1:20" ht="15" x14ac:dyDescent="0.25">
      <c r="A493" s="139" t="s">
        <v>2027</v>
      </c>
      <c r="B493" s="129">
        <v>2024</v>
      </c>
      <c r="C493" s="154" t="s">
        <v>22</v>
      </c>
      <c r="D493" s="154" t="s">
        <v>2028</v>
      </c>
      <c r="E493" s="155" t="s">
        <v>2029</v>
      </c>
      <c r="F493" s="163" t="s">
        <v>24</v>
      </c>
      <c r="G493" s="156" t="s">
        <v>371</v>
      </c>
      <c r="H493" s="157" t="s">
        <v>2030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15" x14ac:dyDescent="0.25">
      <c r="A494" s="139" t="s">
        <v>2031</v>
      </c>
      <c r="B494" s="129">
        <v>2024</v>
      </c>
      <c r="C494" s="154" t="s">
        <v>22</v>
      </c>
      <c r="D494" s="154" t="s">
        <v>2032</v>
      </c>
      <c r="E494" s="155" t="s">
        <v>2033</v>
      </c>
      <c r="F494" s="163" t="s">
        <v>24</v>
      </c>
      <c r="G494" s="156" t="s">
        <v>206</v>
      </c>
      <c r="H494" s="157" t="s">
        <v>2034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2035</v>
      </c>
    </row>
    <row r="495" spans="1:20" ht="15" x14ac:dyDescent="0.25">
      <c r="A495" s="139" t="s">
        <v>2036</v>
      </c>
      <c r="B495" s="129">
        <v>2024</v>
      </c>
      <c r="C495" s="154" t="s">
        <v>22</v>
      </c>
      <c r="D495" s="154" t="s">
        <v>2037</v>
      </c>
      <c r="E495" s="155" t="s">
        <v>2038</v>
      </c>
      <c r="F495" s="163" t="s">
        <v>24</v>
      </c>
      <c r="G495" s="156" t="s">
        <v>206</v>
      </c>
      <c r="H495" s="157" t="s">
        <v>2039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15" x14ac:dyDescent="0.25">
      <c r="A496" s="139" t="s">
        <v>2040</v>
      </c>
      <c r="B496" s="129">
        <v>2024</v>
      </c>
      <c r="C496" s="154" t="s">
        <v>22</v>
      </c>
      <c r="D496" s="154" t="s">
        <v>2041</v>
      </c>
      <c r="E496" s="155" t="s">
        <v>2042</v>
      </c>
      <c r="F496" s="163" t="s">
        <v>24</v>
      </c>
      <c r="G496" s="156" t="s">
        <v>206</v>
      </c>
      <c r="H496" s="157" t="s">
        <v>2043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2044</v>
      </c>
    </row>
    <row r="497" spans="1:20" ht="15" x14ac:dyDescent="0.25">
      <c r="A497" s="139" t="s">
        <v>2045</v>
      </c>
      <c r="B497" s="129">
        <v>2024</v>
      </c>
      <c r="C497" s="129" t="s">
        <v>22</v>
      </c>
      <c r="D497" s="154" t="s">
        <v>1930</v>
      </c>
      <c r="E497" s="155" t="s">
        <v>2046</v>
      </c>
      <c r="F497" s="163" t="s">
        <v>69</v>
      </c>
      <c r="G497" s="156" t="s">
        <v>79</v>
      </c>
      <c r="H497" s="157" t="s">
        <v>2047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1933</v>
      </c>
    </row>
    <row r="498" spans="1:20" ht="15" x14ac:dyDescent="0.25">
      <c r="A498" s="139" t="s">
        <v>2048</v>
      </c>
      <c r="B498" s="129">
        <v>2024</v>
      </c>
      <c r="C498" s="129" t="s">
        <v>22</v>
      </c>
      <c r="D498" s="154" t="s">
        <v>1789</v>
      </c>
      <c r="E498" s="155" t="s">
        <v>2049</v>
      </c>
      <c r="F498" s="163" t="s">
        <v>24</v>
      </c>
      <c r="G498" s="156" t="s">
        <v>42</v>
      </c>
      <c r="H498" s="157" t="s">
        <v>2050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15" x14ac:dyDescent="0.25">
      <c r="A499" s="139" t="s">
        <v>2051</v>
      </c>
      <c r="B499" s="129">
        <v>2024</v>
      </c>
      <c r="C499" s="129" t="s">
        <v>22</v>
      </c>
      <c r="D499" s="154" t="s">
        <v>2052</v>
      </c>
      <c r="E499" s="155" t="s">
        <v>2053</v>
      </c>
      <c r="F499" s="163" t="s">
        <v>88</v>
      </c>
      <c r="G499" s="156" t="s">
        <v>79</v>
      </c>
      <c r="H499" s="157" t="s">
        <v>2054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2055</v>
      </c>
    </row>
    <row r="500" spans="1:20" ht="15" x14ac:dyDescent="0.25">
      <c r="A500" s="139" t="s">
        <v>2056</v>
      </c>
      <c r="B500" s="129">
        <v>2024</v>
      </c>
      <c r="C500" s="129" t="s">
        <v>22</v>
      </c>
      <c r="D500" s="154" t="s">
        <v>2057</v>
      </c>
      <c r="E500" s="155" t="s">
        <v>2058</v>
      </c>
      <c r="F500" s="163" t="s">
        <v>24</v>
      </c>
      <c r="G500" s="156" t="s">
        <v>206</v>
      </c>
      <c r="H500" s="157" t="s">
        <v>2059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2060</v>
      </c>
    </row>
    <row r="501" spans="1:20" ht="15" x14ac:dyDescent="0.25">
      <c r="A501" s="139" t="s">
        <v>2061</v>
      </c>
      <c r="B501" s="129">
        <v>2024</v>
      </c>
      <c r="C501" s="129" t="s">
        <v>22</v>
      </c>
      <c r="D501" s="154" t="s">
        <v>1784</v>
      </c>
      <c r="E501" s="155" t="s">
        <v>2062</v>
      </c>
      <c r="F501" s="163" t="s">
        <v>24</v>
      </c>
      <c r="G501" s="156" t="s">
        <v>464</v>
      </c>
      <c r="H501" s="157" t="s">
        <v>2063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15" x14ac:dyDescent="0.25">
      <c r="A502" s="139" t="s">
        <v>2064</v>
      </c>
      <c r="B502" s="129">
        <v>2024</v>
      </c>
      <c r="C502" s="129" t="s">
        <v>22</v>
      </c>
      <c r="D502" s="154" t="s">
        <v>2065</v>
      </c>
      <c r="E502" s="155" t="s">
        <v>2066</v>
      </c>
      <c r="F502" s="163" t="s">
        <v>69</v>
      </c>
      <c r="G502" s="156" t="s">
        <v>79</v>
      </c>
      <c r="H502" s="157" t="s">
        <v>2067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2068</v>
      </c>
    </row>
    <row r="503" spans="1:20" ht="15" x14ac:dyDescent="0.25">
      <c r="A503" s="139" t="s">
        <v>2069</v>
      </c>
      <c r="B503" s="129">
        <v>2024</v>
      </c>
      <c r="C503" s="129" t="s">
        <v>22</v>
      </c>
      <c r="D503" s="153" t="s">
        <v>2070</v>
      </c>
      <c r="E503" s="155" t="s">
        <v>2071</v>
      </c>
      <c r="F503" s="163" t="s">
        <v>69</v>
      </c>
      <c r="G503" s="156" t="s">
        <v>79</v>
      </c>
      <c r="H503" s="157" t="s">
        <v>2072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15" x14ac:dyDescent="0.25">
      <c r="A504" s="139" t="s">
        <v>2073</v>
      </c>
      <c r="B504" s="129">
        <v>2024</v>
      </c>
      <c r="C504" s="129" t="s">
        <v>22</v>
      </c>
      <c r="D504" s="154" t="s">
        <v>2074</v>
      </c>
      <c r="E504" s="155" t="s">
        <v>2075</v>
      </c>
      <c r="F504" s="163" t="s">
        <v>24</v>
      </c>
      <c r="G504" s="156" t="s">
        <v>36</v>
      </c>
      <c r="H504" s="157" t="s">
        <v>2076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15" x14ac:dyDescent="0.25">
      <c r="A505" s="139" t="s">
        <v>2077</v>
      </c>
      <c r="B505" s="129">
        <v>2024</v>
      </c>
      <c r="C505" s="129" t="s">
        <v>22</v>
      </c>
      <c r="D505" s="129" t="s">
        <v>2078</v>
      </c>
      <c r="E505" s="155" t="s">
        <v>2079</v>
      </c>
      <c r="F505" s="163" t="s">
        <v>24</v>
      </c>
      <c r="G505" s="156" t="s">
        <v>206</v>
      </c>
      <c r="H505" s="133" t="s">
        <v>2080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2081</v>
      </c>
    </row>
    <row r="506" spans="1:20" ht="15" x14ac:dyDescent="0.25">
      <c r="A506" s="139" t="s">
        <v>2082</v>
      </c>
      <c r="B506" s="129">
        <v>2024</v>
      </c>
      <c r="C506" s="129" t="s">
        <v>22</v>
      </c>
      <c r="D506" s="129" t="s">
        <v>1784</v>
      </c>
      <c r="E506" s="130" t="s">
        <v>2083</v>
      </c>
      <c r="F506" s="131" t="s">
        <v>24</v>
      </c>
      <c r="G506" s="132" t="s">
        <v>464</v>
      </c>
      <c r="H506" s="133" t="s">
        <v>2084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15" x14ac:dyDescent="0.25">
      <c r="A507" s="139" t="s">
        <v>2085</v>
      </c>
      <c r="B507" s="129">
        <v>2024</v>
      </c>
      <c r="C507" s="129" t="s">
        <v>22</v>
      </c>
      <c r="D507" s="129" t="s">
        <v>2086</v>
      </c>
      <c r="E507" s="130" t="s">
        <v>2087</v>
      </c>
      <c r="F507" s="163" t="s">
        <v>24</v>
      </c>
      <c r="G507" s="156" t="s">
        <v>42</v>
      </c>
      <c r="H507" s="133" t="s">
        <v>2088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2089</v>
      </c>
    </row>
    <row r="508" spans="1:20" ht="15" x14ac:dyDescent="0.25">
      <c r="A508" s="139" t="s">
        <v>2090</v>
      </c>
      <c r="B508" s="129">
        <v>2024</v>
      </c>
      <c r="C508" s="129" t="s">
        <v>22</v>
      </c>
      <c r="D508" s="129" t="s">
        <v>2091</v>
      </c>
      <c r="E508" s="130" t="s">
        <v>2092</v>
      </c>
      <c r="F508" s="131" t="s">
        <v>24</v>
      </c>
      <c r="G508" s="132" t="s">
        <v>464</v>
      </c>
      <c r="H508" s="133" t="s">
        <v>2088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30" x14ac:dyDescent="0.25">
      <c r="A509" s="139" t="s">
        <v>2093</v>
      </c>
      <c r="B509" s="129">
        <v>2024</v>
      </c>
      <c r="C509" s="129" t="s">
        <v>22</v>
      </c>
      <c r="D509" s="129" t="s">
        <v>2094</v>
      </c>
      <c r="E509" s="164" t="s">
        <v>2095</v>
      </c>
      <c r="F509" s="131" t="s">
        <v>24</v>
      </c>
      <c r="G509" s="132" t="s">
        <v>206</v>
      </c>
      <c r="H509" s="133" t="s">
        <v>2088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2096</v>
      </c>
    </row>
    <row r="510" spans="1:20" ht="15" x14ac:dyDescent="0.25">
      <c r="A510" s="139" t="s">
        <v>2097</v>
      </c>
      <c r="B510" s="129">
        <v>2024</v>
      </c>
      <c r="C510" s="129" t="s">
        <v>22</v>
      </c>
      <c r="D510" s="129" t="s">
        <v>1978</v>
      </c>
      <c r="E510" s="130" t="s">
        <v>2098</v>
      </c>
      <c r="F510" s="131" t="s">
        <v>88</v>
      </c>
      <c r="G510" s="132" t="s">
        <v>79</v>
      </c>
      <c r="H510" s="133" t="s">
        <v>2099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1981</v>
      </c>
    </row>
    <row r="511" spans="1:20" ht="30" x14ac:dyDescent="0.25">
      <c r="A511" s="139" t="s">
        <v>2100</v>
      </c>
      <c r="B511" s="129">
        <v>2024</v>
      </c>
      <c r="C511" s="129" t="s">
        <v>22</v>
      </c>
      <c r="D511" s="129" t="s">
        <v>2101</v>
      </c>
      <c r="E511" s="164" t="s">
        <v>2102</v>
      </c>
      <c r="F511" s="131" t="s">
        <v>24</v>
      </c>
      <c r="G511" s="132" t="s">
        <v>206</v>
      </c>
      <c r="H511" s="133" t="s">
        <v>2103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2104</v>
      </c>
    </row>
    <row r="512" spans="1:20" ht="15" x14ac:dyDescent="0.25">
      <c r="A512" s="139" t="s">
        <v>2105</v>
      </c>
      <c r="B512" s="129">
        <v>2024</v>
      </c>
      <c r="C512" s="129" t="s">
        <v>22</v>
      </c>
      <c r="D512" s="129" t="s">
        <v>2106</v>
      </c>
      <c r="E512" s="130" t="s">
        <v>2107</v>
      </c>
      <c r="F512" s="163" t="s">
        <v>69</v>
      </c>
      <c r="G512" s="132" t="s">
        <v>79</v>
      </c>
      <c r="H512" s="133" t="s">
        <v>2108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2109</v>
      </c>
    </row>
    <row r="513" spans="1:20" ht="15" x14ac:dyDescent="0.25">
      <c r="A513" s="139" t="s">
        <v>2110</v>
      </c>
      <c r="B513" s="129">
        <v>2024</v>
      </c>
      <c r="C513" s="129" t="s">
        <v>22</v>
      </c>
      <c r="D513" s="129" t="s">
        <v>2111</v>
      </c>
      <c r="E513" s="130" t="s">
        <v>2112</v>
      </c>
      <c r="F513" s="163" t="s">
        <v>24</v>
      </c>
      <c r="G513" s="156" t="s">
        <v>42</v>
      </c>
      <c r="H513" s="133" t="s">
        <v>2113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2114</v>
      </c>
    </row>
    <row r="514" spans="1:20" ht="15" x14ac:dyDescent="0.25">
      <c r="A514" s="139" t="s">
        <v>2115</v>
      </c>
      <c r="B514" s="129">
        <v>2024</v>
      </c>
      <c r="C514" s="129" t="s">
        <v>22</v>
      </c>
      <c r="D514" s="129" t="s">
        <v>2006</v>
      </c>
      <c r="E514" s="130" t="s">
        <v>2116</v>
      </c>
      <c r="F514" s="163" t="s">
        <v>24</v>
      </c>
      <c r="G514" s="156" t="s">
        <v>36</v>
      </c>
      <c r="H514" s="133" t="s">
        <v>2117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15" x14ac:dyDescent="0.25">
      <c r="A515" s="139" t="s">
        <v>2118</v>
      </c>
      <c r="B515" s="129">
        <v>2024</v>
      </c>
      <c r="C515" s="129" t="s">
        <v>22</v>
      </c>
      <c r="D515" s="129" t="s">
        <v>2119</v>
      </c>
      <c r="E515" s="130" t="s">
        <v>2120</v>
      </c>
      <c r="F515" s="163" t="s">
        <v>88</v>
      </c>
      <c r="G515" s="156" t="s">
        <v>79</v>
      </c>
      <c r="H515" s="133" t="s">
        <v>2121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2122</v>
      </c>
    </row>
    <row r="516" spans="1:20" ht="15" x14ac:dyDescent="0.25">
      <c r="A516" s="139" t="s">
        <v>2123</v>
      </c>
      <c r="B516" s="129">
        <v>2024</v>
      </c>
      <c r="C516" s="129" t="s">
        <v>22</v>
      </c>
      <c r="D516" s="129" t="s">
        <v>2124</v>
      </c>
      <c r="E516" s="130" t="s">
        <v>2125</v>
      </c>
      <c r="F516" s="163" t="s">
        <v>24</v>
      </c>
      <c r="G516" s="156" t="s">
        <v>42</v>
      </c>
      <c r="H516" s="133" t="s">
        <v>2126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15" x14ac:dyDescent="0.25">
      <c r="A517" s="139" t="s">
        <v>2127</v>
      </c>
      <c r="B517" s="129">
        <v>2024</v>
      </c>
      <c r="C517" s="129" t="s">
        <v>22</v>
      </c>
      <c r="D517" s="129" t="s">
        <v>1784</v>
      </c>
      <c r="E517" s="130" t="s">
        <v>2128</v>
      </c>
      <c r="F517" s="163" t="s">
        <v>24</v>
      </c>
      <c r="G517" s="156" t="s">
        <v>464</v>
      </c>
      <c r="H517" s="133" t="s">
        <v>2129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2130</v>
      </c>
    </row>
    <row r="518" spans="1:20" ht="15" x14ac:dyDescent="0.25">
      <c r="A518" s="139" t="s">
        <v>2131</v>
      </c>
      <c r="B518" s="129">
        <v>2024</v>
      </c>
      <c r="C518" s="129" t="s">
        <v>22</v>
      </c>
      <c r="D518" s="129" t="s">
        <v>2132</v>
      </c>
      <c r="E518" s="130" t="s">
        <v>2133</v>
      </c>
      <c r="F518" s="131" t="s">
        <v>69</v>
      </c>
      <c r="G518" s="156" t="s">
        <v>79</v>
      </c>
      <c r="H518" s="133" t="s">
        <v>2134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2135</v>
      </c>
    </row>
    <row r="519" spans="1:20" ht="15" x14ac:dyDescent="0.25">
      <c r="A519" s="139" t="s">
        <v>2136</v>
      </c>
      <c r="B519" s="129">
        <v>2024</v>
      </c>
      <c r="C519" s="129" t="s">
        <v>22</v>
      </c>
      <c r="D519" s="129" t="s">
        <v>2137</v>
      </c>
      <c r="E519" s="130" t="s">
        <v>2138</v>
      </c>
      <c r="F519" s="163" t="s">
        <v>69</v>
      </c>
      <c r="G519" s="156" t="s">
        <v>79</v>
      </c>
      <c r="H519" s="133" t="s">
        <v>2139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15" x14ac:dyDescent="0.25">
      <c r="A520" s="139" t="s">
        <v>2140</v>
      </c>
      <c r="B520" s="129">
        <v>2024</v>
      </c>
      <c r="C520" s="129" t="s">
        <v>22</v>
      </c>
      <c r="D520" s="129" t="s">
        <v>2141</v>
      </c>
      <c r="E520" s="130" t="s">
        <v>2142</v>
      </c>
      <c r="F520" s="163" t="s">
        <v>24</v>
      </c>
      <c r="G520" s="132" t="s">
        <v>42</v>
      </c>
      <c r="H520" s="133" t="s">
        <v>2143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15" x14ac:dyDescent="0.25">
      <c r="A521" s="139" t="s">
        <v>2144</v>
      </c>
      <c r="B521" s="129">
        <v>2024</v>
      </c>
      <c r="C521" s="129" t="s">
        <v>22</v>
      </c>
      <c r="D521" s="129" t="s">
        <v>2145</v>
      </c>
      <c r="E521" s="130" t="s">
        <v>2146</v>
      </c>
      <c r="F521" s="163" t="s">
        <v>69</v>
      </c>
      <c r="G521" s="132" t="s">
        <v>79</v>
      </c>
      <c r="H521" s="133" t="s">
        <v>2147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15" x14ac:dyDescent="0.25">
      <c r="A522" s="139" t="s">
        <v>2148</v>
      </c>
      <c r="B522" s="129">
        <v>2024</v>
      </c>
      <c r="C522" s="154" t="s">
        <v>22</v>
      </c>
      <c r="D522" s="129" t="s">
        <v>2149</v>
      </c>
      <c r="E522" s="130" t="s">
        <v>2150</v>
      </c>
      <c r="F522" s="131" t="s">
        <v>24</v>
      </c>
      <c r="G522" s="132" t="s">
        <v>42</v>
      </c>
      <c r="H522" s="133" t="s">
        <v>2151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15" x14ac:dyDescent="0.25">
      <c r="A523" s="139" t="s">
        <v>2152</v>
      </c>
      <c r="B523" s="129">
        <v>2024</v>
      </c>
      <c r="C523" s="154" t="s">
        <v>22</v>
      </c>
      <c r="D523" s="129" t="s">
        <v>2124</v>
      </c>
      <c r="E523" s="130" t="s">
        <v>2153</v>
      </c>
      <c r="F523" s="163" t="s">
        <v>24</v>
      </c>
      <c r="G523" s="132" t="s">
        <v>42</v>
      </c>
      <c r="H523" s="133" t="s">
        <v>2151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2154</v>
      </c>
    </row>
    <row r="524" spans="1:20" ht="15" x14ac:dyDescent="0.25">
      <c r="A524" s="139" t="s">
        <v>2155</v>
      </c>
      <c r="B524" s="129">
        <v>2024</v>
      </c>
      <c r="C524" s="129" t="s">
        <v>22</v>
      </c>
      <c r="D524" s="129" t="s">
        <v>1784</v>
      </c>
      <c r="E524" s="130" t="s">
        <v>2156</v>
      </c>
      <c r="F524" s="131" t="s">
        <v>24</v>
      </c>
      <c r="G524" s="132" t="s">
        <v>464</v>
      </c>
      <c r="H524" s="133" t="s">
        <v>2157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15" x14ac:dyDescent="0.25">
      <c r="A525" s="139" t="s">
        <v>2158</v>
      </c>
      <c r="B525" s="129">
        <v>2024</v>
      </c>
      <c r="C525" s="129" t="s">
        <v>22</v>
      </c>
      <c r="D525" s="129" t="s">
        <v>2065</v>
      </c>
      <c r="E525" s="130" t="s">
        <v>2159</v>
      </c>
      <c r="F525" s="163" t="s">
        <v>69</v>
      </c>
      <c r="G525" s="132" t="s">
        <v>79</v>
      </c>
      <c r="H525" s="133" t="s">
        <v>2160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2161</v>
      </c>
    </row>
    <row r="526" spans="1:20" ht="15" x14ac:dyDescent="0.25">
      <c r="A526" s="139" t="s">
        <v>2162</v>
      </c>
      <c r="B526" s="129">
        <v>2024</v>
      </c>
      <c r="C526" s="129" t="s">
        <v>22</v>
      </c>
      <c r="D526" s="129" t="s">
        <v>2070</v>
      </c>
      <c r="E526" s="130" t="s">
        <v>2163</v>
      </c>
      <c r="F526" s="131" t="s">
        <v>69</v>
      </c>
      <c r="G526" s="132" t="s">
        <v>79</v>
      </c>
      <c r="H526" s="133" t="s">
        <v>2160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15" x14ac:dyDescent="0.25">
      <c r="A527" s="139" t="s">
        <v>2164</v>
      </c>
      <c r="B527" s="129">
        <v>2024</v>
      </c>
      <c r="C527" s="129" t="s">
        <v>22</v>
      </c>
      <c r="D527" s="129"/>
      <c r="E527" s="130" t="s">
        <v>2165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2166</v>
      </c>
    </row>
    <row r="528" spans="1:20" ht="15" x14ac:dyDescent="0.25">
      <c r="A528" s="139" t="s">
        <v>2167</v>
      </c>
      <c r="B528" s="129">
        <v>2024</v>
      </c>
      <c r="C528" s="129" t="s">
        <v>22</v>
      </c>
      <c r="D528" s="129" t="s">
        <v>2168</v>
      </c>
      <c r="E528" s="130" t="s">
        <v>2169</v>
      </c>
      <c r="F528" s="131" t="s">
        <v>24</v>
      </c>
      <c r="G528" s="132" t="s">
        <v>42</v>
      </c>
      <c r="H528" s="133" t="s">
        <v>2170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2171</v>
      </c>
    </row>
    <row r="529" spans="1:20" ht="15" x14ac:dyDescent="0.25">
      <c r="A529" s="139" t="s">
        <v>2172</v>
      </c>
      <c r="B529" s="129">
        <v>2024</v>
      </c>
      <c r="C529" s="129" t="s">
        <v>22</v>
      </c>
      <c r="D529" s="129" t="s">
        <v>2173</v>
      </c>
      <c r="E529" s="130" t="s">
        <v>2174</v>
      </c>
      <c r="F529" s="131" t="s">
        <v>24</v>
      </c>
      <c r="G529" s="132" t="s">
        <v>25</v>
      </c>
      <c r="H529" s="133" t="s">
        <v>2175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15" x14ac:dyDescent="0.25">
      <c r="A530" s="139" t="s">
        <v>2176</v>
      </c>
      <c r="B530" s="129">
        <v>2024</v>
      </c>
      <c r="C530" s="129" t="s">
        <v>22</v>
      </c>
      <c r="D530" s="129" t="s">
        <v>2177</v>
      </c>
      <c r="E530" s="130" t="s">
        <v>2178</v>
      </c>
      <c r="F530" s="131" t="s">
        <v>69</v>
      </c>
      <c r="G530" s="132" t="s">
        <v>79</v>
      </c>
      <c r="H530" s="133" t="s">
        <v>2179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15" x14ac:dyDescent="0.25">
      <c r="A531" s="139" t="s">
        <v>2180</v>
      </c>
      <c r="B531" s="129">
        <v>2024</v>
      </c>
      <c r="C531" s="129" t="s">
        <v>22</v>
      </c>
      <c r="D531" s="129" t="s">
        <v>1894</v>
      </c>
      <c r="E531" s="130" t="s">
        <v>2181</v>
      </c>
      <c r="F531" s="131" t="s">
        <v>69</v>
      </c>
      <c r="G531" s="132" t="s">
        <v>79</v>
      </c>
      <c r="H531" s="133" t="s">
        <v>2182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15" x14ac:dyDescent="0.25">
      <c r="A532" s="139" t="s">
        <v>2183</v>
      </c>
      <c r="B532" s="129">
        <v>2024</v>
      </c>
      <c r="C532" s="129" t="s">
        <v>22</v>
      </c>
      <c r="D532" s="129" t="s">
        <v>2184</v>
      </c>
      <c r="E532" s="130" t="s">
        <v>2185</v>
      </c>
      <c r="F532" s="131" t="s">
        <v>24</v>
      </c>
      <c r="G532" s="132" t="s">
        <v>206</v>
      </c>
      <c r="H532" s="133" t="s">
        <v>2186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2187</v>
      </c>
    </row>
    <row r="533" spans="1:20" ht="15" x14ac:dyDescent="0.25">
      <c r="A533" s="139" t="s">
        <v>2188</v>
      </c>
      <c r="B533" s="129">
        <v>2024</v>
      </c>
      <c r="C533" s="129" t="s">
        <v>22</v>
      </c>
      <c r="D533" s="129" t="s">
        <v>1784</v>
      </c>
      <c r="E533" s="130" t="s">
        <v>2189</v>
      </c>
      <c r="F533" s="131" t="s">
        <v>24</v>
      </c>
      <c r="G533" s="132" t="s">
        <v>464</v>
      </c>
      <c r="H533" s="133" t="s">
        <v>2190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15" x14ac:dyDescent="0.25">
      <c r="A534" s="139" t="s">
        <v>2191</v>
      </c>
      <c r="B534" s="129">
        <v>2024</v>
      </c>
      <c r="C534" s="129" t="s">
        <v>22</v>
      </c>
      <c r="D534" s="129" t="s">
        <v>2192</v>
      </c>
      <c r="E534" s="130" t="s">
        <v>2193</v>
      </c>
      <c r="F534" s="131" t="s">
        <v>88</v>
      </c>
      <c r="G534" s="132" t="s">
        <v>79</v>
      </c>
      <c r="H534" s="133" t="s">
        <v>2190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2194</v>
      </c>
    </row>
    <row r="535" spans="1:20" ht="15" x14ac:dyDescent="0.25">
      <c r="A535" s="139" t="s">
        <v>2195</v>
      </c>
      <c r="B535" s="129">
        <v>2024</v>
      </c>
      <c r="C535" s="129" t="s">
        <v>22</v>
      </c>
      <c r="D535" s="129" t="s">
        <v>1978</v>
      </c>
      <c r="E535" s="130" t="s">
        <v>2196</v>
      </c>
      <c r="F535" s="131" t="s">
        <v>88</v>
      </c>
      <c r="G535" s="132" t="s">
        <v>79</v>
      </c>
      <c r="H535" s="133" t="s">
        <v>2197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1981</v>
      </c>
    </row>
    <row r="536" spans="1:20" ht="15" x14ac:dyDescent="0.25">
      <c r="A536" s="139" t="s">
        <v>2198</v>
      </c>
      <c r="B536" s="129">
        <v>2024</v>
      </c>
      <c r="C536" s="129" t="s">
        <v>22</v>
      </c>
      <c r="D536" s="129" t="s">
        <v>2199</v>
      </c>
      <c r="E536" s="130" t="s">
        <v>2200</v>
      </c>
      <c r="F536" s="131" t="s">
        <v>24</v>
      </c>
      <c r="G536" s="132" t="s">
        <v>36</v>
      </c>
      <c r="H536" s="133" t="s">
        <v>2201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15" x14ac:dyDescent="0.25">
      <c r="A537" s="139" t="s">
        <v>2202</v>
      </c>
      <c r="B537" s="129">
        <v>2025</v>
      </c>
      <c r="C537" s="129" t="s">
        <v>22</v>
      </c>
      <c r="D537" s="129" t="s">
        <v>2203</v>
      </c>
      <c r="E537" s="130" t="s">
        <v>2204</v>
      </c>
      <c r="F537" s="131" t="s">
        <v>69</v>
      </c>
      <c r="G537" s="132" t="s">
        <v>79</v>
      </c>
      <c r="H537" s="129" t="s">
        <v>2205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15" x14ac:dyDescent="0.25">
      <c r="A538" s="139" t="s">
        <v>2206</v>
      </c>
      <c r="B538" s="129">
        <v>2025</v>
      </c>
      <c r="C538" s="129" t="s">
        <v>22</v>
      </c>
      <c r="D538" s="129" t="s">
        <v>2207</v>
      </c>
      <c r="E538" s="130" t="s">
        <v>2200</v>
      </c>
      <c r="F538" s="131" t="s">
        <v>24</v>
      </c>
      <c r="G538" s="132" t="s">
        <v>36</v>
      </c>
      <c r="H538" s="133" t="s">
        <v>2208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15" x14ac:dyDescent="0.25">
      <c r="A539" s="139" t="s">
        <v>2209</v>
      </c>
      <c r="B539" s="129">
        <v>2025</v>
      </c>
      <c r="C539" s="166" t="s">
        <v>22</v>
      </c>
      <c r="D539" s="129" t="s">
        <v>2210</v>
      </c>
      <c r="E539" s="130" t="s">
        <v>2211</v>
      </c>
      <c r="F539" s="131" t="s">
        <v>69</v>
      </c>
      <c r="G539" s="132" t="s">
        <v>79</v>
      </c>
      <c r="H539" s="133" t="s">
        <v>2212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15" x14ac:dyDescent="0.25">
      <c r="A540" s="139" t="s">
        <v>2213</v>
      </c>
      <c r="B540" s="129">
        <v>2025</v>
      </c>
      <c r="C540" s="129" t="s">
        <v>22</v>
      </c>
      <c r="D540" s="129" t="s">
        <v>2214</v>
      </c>
      <c r="E540" s="130" t="s">
        <v>2215</v>
      </c>
      <c r="F540" s="131" t="s">
        <v>24</v>
      </c>
      <c r="G540" s="132" t="s">
        <v>371</v>
      </c>
      <c r="H540" s="133" t="s">
        <v>2216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15" x14ac:dyDescent="0.25">
      <c r="A541" s="139" t="s">
        <v>2217</v>
      </c>
      <c r="B541" s="129">
        <v>2025</v>
      </c>
      <c r="C541" s="129" t="s">
        <v>22</v>
      </c>
      <c r="D541" s="129" t="s">
        <v>2218</v>
      </c>
      <c r="E541" s="130" t="s">
        <v>2219</v>
      </c>
      <c r="F541" s="131" t="s">
        <v>24</v>
      </c>
      <c r="G541" s="132" t="s">
        <v>25</v>
      </c>
      <c r="H541" s="129" t="s">
        <v>2220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1921</v>
      </c>
    </row>
    <row r="542" spans="1:20" ht="15" x14ac:dyDescent="0.25">
      <c r="A542" s="139" t="s">
        <v>2221</v>
      </c>
      <c r="B542" s="129">
        <v>2025</v>
      </c>
      <c r="C542" s="166" t="s">
        <v>22</v>
      </c>
      <c r="D542" s="129" t="s">
        <v>2222</v>
      </c>
      <c r="E542" s="130" t="s">
        <v>2223</v>
      </c>
      <c r="F542" s="131" t="s">
        <v>88</v>
      </c>
      <c r="G542" s="132" t="s">
        <v>79</v>
      </c>
      <c r="H542" s="129" t="s">
        <v>2224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15" x14ac:dyDescent="0.25">
      <c r="A543" s="139" t="s">
        <v>2225</v>
      </c>
      <c r="B543" s="129">
        <v>2025</v>
      </c>
      <c r="C543" s="166" t="s">
        <v>22</v>
      </c>
      <c r="D543" s="129" t="s">
        <v>2226</v>
      </c>
      <c r="E543" s="130" t="s">
        <v>2227</v>
      </c>
      <c r="F543" s="131" t="s">
        <v>24</v>
      </c>
      <c r="G543" s="132" t="s">
        <v>42</v>
      </c>
      <c r="H543" s="133" t="s">
        <v>2228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15" x14ac:dyDescent="0.25">
      <c r="A544" s="139" t="s">
        <v>2229</v>
      </c>
      <c r="B544" s="129">
        <v>2025</v>
      </c>
      <c r="C544" s="166" t="s">
        <v>22</v>
      </c>
      <c r="D544" s="129" t="s">
        <v>2230</v>
      </c>
      <c r="E544" s="130" t="s">
        <v>2231</v>
      </c>
      <c r="F544" s="131" t="s">
        <v>24</v>
      </c>
      <c r="G544" s="132" t="s">
        <v>1736</v>
      </c>
      <c r="H544" s="133" t="s">
        <v>2232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15" x14ac:dyDescent="0.25">
      <c r="A545" s="139" t="s">
        <v>2233</v>
      </c>
      <c r="B545" s="129">
        <v>2025</v>
      </c>
      <c r="C545" s="166" t="s">
        <v>22</v>
      </c>
      <c r="D545" s="129" t="s">
        <v>2234</v>
      </c>
      <c r="E545" s="130" t="s">
        <v>2235</v>
      </c>
      <c r="F545" s="131" t="s">
        <v>69</v>
      </c>
      <c r="G545" s="132" t="s">
        <v>79</v>
      </c>
      <c r="H545" s="129" t="s">
        <v>2236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15" x14ac:dyDescent="0.25">
      <c r="A546" s="139" t="s">
        <v>2237</v>
      </c>
      <c r="B546" s="129">
        <v>2025</v>
      </c>
      <c r="C546" s="129" t="s">
        <v>22</v>
      </c>
      <c r="D546" s="129" t="s">
        <v>2238</v>
      </c>
      <c r="E546" s="130" t="s">
        <v>2239</v>
      </c>
      <c r="F546" s="131" t="s">
        <v>24</v>
      </c>
      <c r="G546" s="132" t="s">
        <v>42</v>
      </c>
      <c r="H546" s="133" t="s">
        <v>2240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15" x14ac:dyDescent="0.25">
      <c r="A547" s="139" t="s">
        <v>2241</v>
      </c>
      <c r="B547" s="129">
        <v>2025</v>
      </c>
      <c r="C547" s="129" t="s">
        <v>22</v>
      </c>
      <c r="D547" s="129" t="s">
        <v>2242</v>
      </c>
      <c r="E547" s="130" t="s">
        <v>2243</v>
      </c>
      <c r="F547" s="131" t="s">
        <v>24</v>
      </c>
      <c r="G547" s="132" t="s">
        <v>25</v>
      </c>
      <c r="H547" s="129" t="s">
        <v>2244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2021</v>
      </c>
    </row>
    <row r="548" spans="1:20" ht="15" x14ac:dyDescent="0.25">
      <c r="A548" s="139" t="s">
        <v>2245</v>
      </c>
      <c r="B548" s="129">
        <v>2025</v>
      </c>
      <c r="C548" s="129" t="s">
        <v>22</v>
      </c>
      <c r="D548" s="129" t="s">
        <v>2246</v>
      </c>
      <c r="E548" s="130" t="s">
        <v>2247</v>
      </c>
      <c r="F548" s="131" t="s">
        <v>88</v>
      </c>
      <c r="G548" s="132" t="s">
        <v>79</v>
      </c>
      <c r="H548" s="133" t="s">
        <v>2248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15" x14ac:dyDescent="0.25">
      <c r="A549" s="139" t="s">
        <v>2249</v>
      </c>
      <c r="B549" s="129">
        <v>2025</v>
      </c>
      <c r="C549" s="166" t="s">
        <v>22</v>
      </c>
      <c r="D549" s="129" t="s">
        <v>2250</v>
      </c>
      <c r="E549" s="130" t="s">
        <v>2251</v>
      </c>
      <c r="F549" s="131" t="s">
        <v>69</v>
      </c>
      <c r="G549" s="132" t="s">
        <v>79</v>
      </c>
      <c r="H549" s="133" t="s">
        <v>2252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15" x14ac:dyDescent="0.25">
      <c r="A550" s="139" t="s">
        <v>2253</v>
      </c>
      <c r="B550" s="129">
        <v>2025</v>
      </c>
      <c r="C550" s="129" t="s">
        <v>22</v>
      </c>
      <c r="D550" s="129" t="s">
        <v>2254</v>
      </c>
      <c r="E550" s="130" t="s">
        <v>2255</v>
      </c>
      <c r="F550" s="131" t="s">
        <v>24</v>
      </c>
      <c r="G550" s="132" t="s">
        <v>42</v>
      </c>
      <c r="H550" s="133" t="s">
        <v>2256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2257</v>
      </c>
    </row>
    <row r="551" spans="1:20" ht="15" x14ac:dyDescent="0.25">
      <c r="A551" s="139" t="s">
        <v>2258</v>
      </c>
      <c r="B551" s="129">
        <v>2025</v>
      </c>
      <c r="C551" s="166" t="s">
        <v>22</v>
      </c>
      <c r="D551" s="129" t="s">
        <v>2259</v>
      </c>
      <c r="E551" s="130" t="s">
        <v>2260</v>
      </c>
      <c r="F551" s="131" t="s">
        <v>24</v>
      </c>
      <c r="G551" s="132" t="s">
        <v>25</v>
      </c>
      <c r="H551" s="167" t="s">
        <v>2261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2262</v>
      </c>
    </row>
    <row r="552" spans="1:20" ht="15" x14ac:dyDescent="0.25">
      <c r="A552" s="139" t="s">
        <v>2263</v>
      </c>
      <c r="B552" s="129">
        <v>2025</v>
      </c>
      <c r="C552" s="129" t="s">
        <v>22</v>
      </c>
      <c r="D552" s="129" t="s">
        <v>2264</v>
      </c>
      <c r="E552" s="130" t="s">
        <v>2265</v>
      </c>
      <c r="F552" s="131" t="s">
        <v>88</v>
      </c>
      <c r="G552" s="132" t="s">
        <v>79</v>
      </c>
      <c r="H552" s="133" t="s">
        <v>2266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15" x14ac:dyDescent="0.25">
      <c r="A553" s="139" t="s">
        <v>2267</v>
      </c>
      <c r="B553" s="129">
        <v>2025</v>
      </c>
      <c r="C553" s="129" t="s">
        <v>22</v>
      </c>
      <c r="D553" s="129" t="s">
        <v>2242</v>
      </c>
      <c r="E553" s="130" t="s">
        <v>2268</v>
      </c>
      <c r="F553" s="131" t="s">
        <v>69</v>
      </c>
      <c r="G553" s="132" t="s">
        <v>79</v>
      </c>
      <c r="H553" s="132" t="s">
        <v>2269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2021</v>
      </c>
    </row>
    <row r="554" spans="1:20" ht="15" x14ac:dyDescent="0.25">
      <c r="A554" s="139" t="s">
        <v>2270</v>
      </c>
      <c r="B554" s="129">
        <v>2025</v>
      </c>
      <c r="C554" s="166" t="s">
        <v>22</v>
      </c>
      <c r="D554" s="129" t="s">
        <v>2271</v>
      </c>
      <c r="E554" s="130" t="s">
        <v>2272</v>
      </c>
      <c r="F554" s="131" t="s">
        <v>24</v>
      </c>
      <c r="G554" s="132" t="s">
        <v>36</v>
      </c>
      <c r="H554" s="132" t="s">
        <v>2273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15" x14ac:dyDescent="0.25">
      <c r="A555" s="139" t="s">
        <v>2274</v>
      </c>
      <c r="B555" s="129">
        <v>2025</v>
      </c>
      <c r="C555" s="166" t="s">
        <v>22</v>
      </c>
      <c r="D555" s="129" t="s">
        <v>2275</v>
      </c>
      <c r="E555" s="130" t="s">
        <v>2276</v>
      </c>
      <c r="F555" s="131" t="s">
        <v>88</v>
      </c>
      <c r="G555" s="132" t="s">
        <v>79</v>
      </c>
      <c r="H555" s="133" t="s">
        <v>2277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2166</v>
      </c>
    </row>
    <row r="556" spans="1:20" ht="15" x14ac:dyDescent="0.25">
      <c r="A556" s="139" t="s">
        <v>2278</v>
      </c>
      <c r="B556" s="129">
        <v>2025</v>
      </c>
      <c r="C556" s="129" t="s">
        <v>22</v>
      </c>
      <c r="D556" s="129"/>
      <c r="E556" s="130" t="s">
        <v>2279</v>
      </c>
      <c r="F556" s="131" t="s">
        <v>88</v>
      </c>
      <c r="G556" s="132" t="s">
        <v>79</v>
      </c>
      <c r="H556" s="133" t="s">
        <v>2280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2281</v>
      </c>
    </row>
    <row r="557" spans="1:20" ht="15" x14ac:dyDescent="0.25">
      <c r="A557" s="139" t="s">
        <v>2282</v>
      </c>
      <c r="B557" s="129">
        <v>2025</v>
      </c>
      <c r="C557" s="129" t="s">
        <v>22</v>
      </c>
      <c r="D557" s="129" t="s">
        <v>2283</v>
      </c>
      <c r="E557" s="130" t="s">
        <v>2284</v>
      </c>
      <c r="F557" s="131" t="s">
        <v>88</v>
      </c>
      <c r="G557" s="132" t="s">
        <v>79</v>
      </c>
      <c r="H557" s="133" t="s">
        <v>2285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2166</v>
      </c>
    </row>
    <row r="558" spans="1:20" ht="15" x14ac:dyDescent="0.25">
      <c r="A558" s="139" t="s">
        <v>2286</v>
      </c>
      <c r="B558" s="129">
        <v>2025</v>
      </c>
      <c r="C558" s="166" t="s">
        <v>22</v>
      </c>
      <c r="D558" s="129" t="s">
        <v>2287</v>
      </c>
      <c r="E558" s="130" t="s">
        <v>2288</v>
      </c>
      <c r="F558" s="131" t="s">
        <v>24</v>
      </c>
      <c r="G558" s="132" t="s">
        <v>371</v>
      </c>
      <c r="H558" s="133" t="s">
        <v>2289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15" x14ac:dyDescent="0.25">
      <c r="A559" s="139" t="s">
        <v>2290</v>
      </c>
      <c r="B559" s="129">
        <v>2025</v>
      </c>
      <c r="C559" s="166" t="s">
        <v>22</v>
      </c>
      <c r="D559" s="129" t="s">
        <v>2203</v>
      </c>
      <c r="E559" s="130" t="s">
        <v>1339</v>
      </c>
      <c r="F559" s="131" t="s">
        <v>69</v>
      </c>
      <c r="G559" s="132" t="s">
        <v>79</v>
      </c>
      <c r="H559" s="133" t="s">
        <v>2291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15" x14ac:dyDescent="0.25">
      <c r="A560" s="139" t="s">
        <v>2292</v>
      </c>
      <c r="B560" s="129">
        <v>2025</v>
      </c>
      <c r="C560" s="166" t="s">
        <v>22</v>
      </c>
      <c r="D560" s="129" t="s">
        <v>2293</v>
      </c>
      <c r="E560" s="130" t="s">
        <v>2294</v>
      </c>
      <c r="F560" s="131" t="s">
        <v>24</v>
      </c>
      <c r="G560" s="132" t="s">
        <v>25</v>
      </c>
      <c r="H560" s="133" t="s">
        <v>2295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2296</v>
      </c>
    </row>
    <row r="561" spans="1:20" ht="15" x14ac:dyDescent="0.25">
      <c r="A561" s="139" t="s">
        <v>2297</v>
      </c>
      <c r="B561" s="129">
        <v>2025</v>
      </c>
      <c r="C561" s="129" t="s">
        <v>22</v>
      </c>
      <c r="D561" s="129" t="s">
        <v>2298</v>
      </c>
      <c r="E561" s="130" t="s">
        <v>2299</v>
      </c>
      <c r="F561" s="131" t="s">
        <v>24</v>
      </c>
      <c r="G561" s="132" t="s">
        <v>42</v>
      </c>
      <c r="H561" s="133" t="s">
        <v>2300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2301</v>
      </c>
    </row>
    <row r="562" spans="1:20" ht="15" x14ac:dyDescent="0.25">
      <c r="A562" s="139" t="s">
        <v>2302</v>
      </c>
      <c r="B562" s="129">
        <v>2025</v>
      </c>
      <c r="C562" s="129" t="s">
        <v>22</v>
      </c>
      <c r="D562" s="129" t="s">
        <v>2303</v>
      </c>
      <c r="E562" s="130" t="s">
        <v>2304</v>
      </c>
      <c r="F562" s="131" t="s">
        <v>69</v>
      </c>
      <c r="G562" s="132" t="s">
        <v>79</v>
      </c>
      <c r="H562" s="133" t="s">
        <v>2305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15" x14ac:dyDescent="0.25">
      <c r="A563" s="139" t="s">
        <v>2306</v>
      </c>
      <c r="B563" s="129">
        <v>2025</v>
      </c>
      <c r="C563" s="129" t="s">
        <v>22</v>
      </c>
      <c r="D563" s="129" t="s">
        <v>2307</v>
      </c>
      <c r="E563" s="130" t="s">
        <v>2163</v>
      </c>
      <c r="F563" s="131" t="s">
        <v>69</v>
      </c>
      <c r="G563" s="132" t="s">
        <v>79</v>
      </c>
      <c r="H563" s="133" t="s">
        <v>2308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15" x14ac:dyDescent="0.25">
      <c r="A564" s="139" t="s">
        <v>2309</v>
      </c>
      <c r="B564" s="129">
        <v>2025</v>
      </c>
      <c r="C564" s="129" t="s">
        <v>22</v>
      </c>
      <c r="D564" s="129" t="s">
        <v>2310</v>
      </c>
      <c r="E564" s="130" t="s">
        <v>2311</v>
      </c>
      <c r="F564" s="131" t="s">
        <v>69</v>
      </c>
      <c r="G564" s="132" t="s">
        <v>79</v>
      </c>
      <c r="H564" s="167" t="s">
        <v>2312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2161</v>
      </c>
    </row>
    <row r="565" spans="1:20" ht="15" x14ac:dyDescent="0.25">
      <c r="A565" s="139" t="s">
        <v>2313</v>
      </c>
      <c r="B565" s="129">
        <v>2025</v>
      </c>
      <c r="C565" s="129" t="s">
        <v>22</v>
      </c>
      <c r="D565" s="129" t="s">
        <v>2314</v>
      </c>
      <c r="E565" s="130" t="s">
        <v>2315</v>
      </c>
      <c r="F565" s="131" t="s">
        <v>24</v>
      </c>
      <c r="G565" s="132" t="s">
        <v>36</v>
      </c>
      <c r="H565" s="133" t="s">
        <v>2316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2317</v>
      </c>
    </row>
    <row r="566" spans="1:20" ht="15" x14ac:dyDescent="0.25">
      <c r="A566" s="139" t="s">
        <v>2318</v>
      </c>
      <c r="B566" s="129">
        <v>2025</v>
      </c>
      <c r="C566" s="166" t="s">
        <v>22</v>
      </c>
      <c r="D566" s="129" t="s">
        <v>2319</v>
      </c>
      <c r="E566" s="130" t="s">
        <v>2320</v>
      </c>
      <c r="F566" s="131" t="s">
        <v>69</v>
      </c>
      <c r="G566" s="132" t="s">
        <v>36</v>
      </c>
      <c r="H566" s="133" t="s">
        <v>2321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2322</v>
      </c>
    </row>
    <row r="567" spans="1:20" ht="15" x14ac:dyDescent="0.25">
      <c r="A567" s="139" t="s">
        <v>2323</v>
      </c>
      <c r="B567" s="129">
        <v>2025</v>
      </c>
      <c r="C567" s="129" t="s">
        <v>22</v>
      </c>
      <c r="D567" s="129" t="s">
        <v>2254</v>
      </c>
      <c r="E567" s="130" t="s">
        <v>2324</v>
      </c>
      <c r="F567" s="131" t="s">
        <v>24</v>
      </c>
      <c r="G567" s="132" t="s">
        <v>42</v>
      </c>
      <c r="H567" s="133" t="s">
        <v>2325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2257</v>
      </c>
    </row>
    <row r="568" spans="1:20" ht="15" x14ac:dyDescent="0.25">
      <c r="A568" s="139" t="s">
        <v>2326</v>
      </c>
      <c r="B568" s="129">
        <v>2025</v>
      </c>
      <c r="C568" s="129" t="s">
        <v>22</v>
      </c>
      <c r="D568" s="129" t="s">
        <v>2310</v>
      </c>
      <c r="E568" s="130" t="s">
        <v>2327</v>
      </c>
      <c r="F568" s="131" t="s">
        <v>69</v>
      </c>
      <c r="G568" s="132" t="s">
        <v>79</v>
      </c>
      <c r="H568" s="167" t="s">
        <v>2328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2161</v>
      </c>
    </row>
    <row r="569" spans="1:20" ht="15" x14ac:dyDescent="0.25">
      <c r="A569" s="139" t="s">
        <v>2329</v>
      </c>
      <c r="B569" s="129">
        <v>2025</v>
      </c>
      <c r="C569" s="129" t="s">
        <v>22</v>
      </c>
      <c r="D569" s="129" t="s">
        <v>2330</v>
      </c>
      <c r="E569" s="130" t="s">
        <v>2331</v>
      </c>
      <c r="F569" s="131" t="s">
        <v>69</v>
      </c>
      <c r="G569" s="132" t="s">
        <v>79</v>
      </c>
      <c r="H569" s="133" t="s">
        <v>2332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15" x14ac:dyDescent="0.25">
      <c r="A570" s="139" t="s">
        <v>2333</v>
      </c>
      <c r="B570" s="129">
        <v>2025</v>
      </c>
      <c r="C570" s="166" t="s">
        <v>22</v>
      </c>
      <c r="D570" s="129" t="s">
        <v>2334</v>
      </c>
      <c r="E570" s="130" t="s">
        <v>2335</v>
      </c>
      <c r="F570" s="131" t="s">
        <v>24</v>
      </c>
      <c r="G570" s="132" t="s">
        <v>42</v>
      </c>
      <c r="H570" s="133" t="s">
        <v>2336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30" x14ac:dyDescent="0.25">
      <c r="A571" s="139" t="s">
        <v>2337</v>
      </c>
      <c r="B571" s="129">
        <v>2025</v>
      </c>
      <c r="C571" s="129" t="s">
        <v>22</v>
      </c>
      <c r="D571" s="129" t="s">
        <v>2338</v>
      </c>
      <c r="E571" s="130" t="s">
        <v>2339</v>
      </c>
      <c r="F571" s="131" t="s">
        <v>24</v>
      </c>
      <c r="G571" s="146" t="s">
        <v>206</v>
      </c>
      <c r="H571" s="133" t="s">
        <v>2340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2341</v>
      </c>
    </row>
    <row r="572" spans="1:20" ht="30" x14ac:dyDescent="0.25">
      <c r="A572" s="139" t="s">
        <v>2342</v>
      </c>
      <c r="B572" s="129">
        <v>2025</v>
      </c>
      <c r="C572" s="129" t="s">
        <v>22</v>
      </c>
      <c r="D572" s="129" t="s">
        <v>2343</v>
      </c>
      <c r="E572" s="130" t="s">
        <v>2344</v>
      </c>
      <c r="F572" s="131" t="s">
        <v>24</v>
      </c>
      <c r="G572" s="146" t="s">
        <v>206</v>
      </c>
      <c r="H572" s="133" t="s">
        <v>2345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15" x14ac:dyDescent="0.25">
      <c r="A573" s="139" t="s">
        <v>2346</v>
      </c>
      <c r="B573" s="129">
        <v>2025</v>
      </c>
      <c r="C573" s="129" t="s">
        <v>22</v>
      </c>
      <c r="D573" s="166" t="s">
        <v>2347</v>
      </c>
      <c r="E573" s="130" t="s">
        <v>1730</v>
      </c>
      <c r="F573" s="131" t="s">
        <v>69</v>
      </c>
      <c r="G573" s="132" t="s">
        <v>79</v>
      </c>
      <c r="H573" s="133" t="s">
        <v>2348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15" x14ac:dyDescent="0.25">
      <c r="A574" s="139" t="s">
        <v>2349</v>
      </c>
      <c r="B574" s="129">
        <v>2025</v>
      </c>
      <c r="C574" s="166" t="s">
        <v>22</v>
      </c>
      <c r="D574" s="129" t="s">
        <v>2350</v>
      </c>
      <c r="E574" s="130" t="s">
        <v>2351</v>
      </c>
      <c r="F574" s="131" t="s">
        <v>24</v>
      </c>
      <c r="G574" s="132" t="s">
        <v>464</v>
      </c>
      <c r="H574" s="133" t="s">
        <v>2352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15" x14ac:dyDescent="0.25">
      <c r="A575" s="139" t="s">
        <v>2353</v>
      </c>
      <c r="B575" s="129">
        <v>2025</v>
      </c>
      <c r="C575" s="129" t="s">
        <v>22</v>
      </c>
      <c r="D575" s="129" t="s">
        <v>2250</v>
      </c>
      <c r="E575" s="130" t="s">
        <v>2354</v>
      </c>
      <c r="F575" s="131" t="s">
        <v>69</v>
      </c>
      <c r="G575" s="132" t="s">
        <v>79</v>
      </c>
      <c r="H575" s="133" t="s">
        <v>2355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15" x14ac:dyDescent="0.25">
      <c r="A576" s="139" t="s">
        <v>2356</v>
      </c>
      <c r="B576" s="129">
        <v>2025</v>
      </c>
      <c r="C576" s="129" t="s">
        <v>22</v>
      </c>
      <c r="D576" s="129" t="s">
        <v>2357</v>
      </c>
      <c r="E576" s="130" t="s">
        <v>2358</v>
      </c>
      <c r="F576" s="131" t="s">
        <v>88</v>
      </c>
      <c r="G576" s="132" t="s">
        <v>79</v>
      </c>
      <c r="H576" s="133" t="s">
        <v>2359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2166</v>
      </c>
    </row>
    <row r="577" spans="1:20" ht="30" x14ac:dyDescent="0.25">
      <c r="A577" s="139" t="s">
        <v>2360</v>
      </c>
      <c r="B577" s="129">
        <v>2025</v>
      </c>
      <c r="C577" s="129" t="s">
        <v>22</v>
      </c>
      <c r="D577" s="129" t="s">
        <v>2361</v>
      </c>
      <c r="E577" s="130" t="s">
        <v>2362</v>
      </c>
      <c r="F577" s="131" t="s">
        <v>24</v>
      </c>
      <c r="G577" s="146" t="s">
        <v>206</v>
      </c>
      <c r="H577" s="133" t="s">
        <v>2363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2364</v>
      </c>
    </row>
    <row r="578" spans="1:20" ht="15" x14ac:dyDescent="0.25">
      <c r="A578" s="139" t="s">
        <v>2365</v>
      </c>
      <c r="B578" s="129">
        <v>2025</v>
      </c>
      <c r="C578" s="129" t="s">
        <v>22</v>
      </c>
      <c r="D578" s="129" t="s">
        <v>2366</v>
      </c>
      <c r="E578" s="130" t="s">
        <v>2367</v>
      </c>
      <c r="F578" s="131" t="s">
        <v>88</v>
      </c>
      <c r="G578" s="132" t="s">
        <v>79</v>
      </c>
      <c r="H578" s="133" t="s">
        <v>2368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2369</v>
      </c>
    </row>
    <row r="579" spans="1:20" ht="15" x14ac:dyDescent="0.25">
      <c r="A579" s="139" t="s">
        <v>2370</v>
      </c>
      <c r="B579" s="129">
        <v>2025</v>
      </c>
      <c r="C579" s="129" t="s">
        <v>22</v>
      </c>
      <c r="D579" s="129" t="s">
        <v>2366</v>
      </c>
      <c r="E579" s="130" t="s">
        <v>2371</v>
      </c>
      <c r="F579" s="131" t="s">
        <v>88</v>
      </c>
      <c r="G579" s="132" t="s">
        <v>79</v>
      </c>
      <c r="H579" s="167" t="s">
        <v>2372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2369</v>
      </c>
    </row>
    <row r="580" spans="1:20" ht="15" x14ac:dyDescent="0.25">
      <c r="A580" s="139" t="s">
        <v>2373</v>
      </c>
      <c r="B580" s="129">
        <v>2025</v>
      </c>
      <c r="C580" s="129" t="s">
        <v>22</v>
      </c>
      <c r="D580" s="129" t="s">
        <v>2374</v>
      </c>
      <c r="E580" s="130" t="s">
        <v>2375</v>
      </c>
      <c r="F580" s="131" t="s">
        <v>24</v>
      </c>
      <c r="G580" s="132" t="s">
        <v>42</v>
      </c>
      <c r="H580" s="133" t="s">
        <v>2376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2377</v>
      </c>
    </row>
    <row r="581" spans="1:20" ht="15" x14ac:dyDescent="0.25">
      <c r="A581" s="139" t="s">
        <v>2378</v>
      </c>
      <c r="B581" s="129">
        <v>2025</v>
      </c>
      <c r="C581" s="166" t="s">
        <v>22</v>
      </c>
      <c r="D581" s="129" t="s">
        <v>2379</v>
      </c>
      <c r="E581" s="130" t="s">
        <v>2380</v>
      </c>
      <c r="F581" s="131" t="s">
        <v>24</v>
      </c>
      <c r="G581" s="146" t="s">
        <v>75</v>
      </c>
      <c r="H581" s="133" t="s">
        <v>2381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2109</v>
      </c>
    </row>
    <row r="582" spans="1:20" ht="15" x14ac:dyDescent="0.25">
      <c r="A582" s="139" t="s">
        <v>2382</v>
      </c>
      <c r="B582" s="129">
        <v>2025</v>
      </c>
      <c r="C582" s="129" t="s">
        <v>22</v>
      </c>
      <c r="D582" s="129" t="s">
        <v>2383</v>
      </c>
      <c r="E582" s="130" t="s">
        <v>2384</v>
      </c>
      <c r="F582" s="131" t="s">
        <v>24</v>
      </c>
      <c r="G582" s="132" t="s">
        <v>464</v>
      </c>
      <c r="H582" s="133" t="s">
        <v>2385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15" x14ac:dyDescent="0.25">
      <c r="A583" s="139" t="s">
        <v>2386</v>
      </c>
      <c r="B583" s="129">
        <v>2025</v>
      </c>
      <c r="C583" s="166" t="s">
        <v>22</v>
      </c>
      <c r="D583" s="129" t="s">
        <v>2230</v>
      </c>
      <c r="E583" s="130" t="s">
        <v>2387</v>
      </c>
      <c r="F583" s="131" t="s">
        <v>24</v>
      </c>
      <c r="G583" s="132" t="s">
        <v>1736</v>
      </c>
      <c r="H583" s="133" t="s">
        <v>2388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15" x14ac:dyDescent="0.25">
      <c r="A584" s="139" t="s">
        <v>2389</v>
      </c>
      <c r="B584" s="129">
        <v>2025</v>
      </c>
      <c r="C584" s="129" t="s">
        <v>22</v>
      </c>
      <c r="D584" s="129" t="s">
        <v>2390</v>
      </c>
      <c r="E584" s="130" t="s">
        <v>2391</v>
      </c>
      <c r="F584" s="131" t="s">
        <v>88</v>
      </c>
      <c r="G584" s="132" t="s">
        <v>79</v>
      </c>
      <c r="H584" s="133" t="s">
        <v>2392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2166</v>
      </c>
    </row>
    <row r="585" spans="1:20" ht="15" x14ac:dyDescent="0.25">
      <c r="A585" s="139" t="s">
        <v>2393</v>
      </c>
      <c r="B585" s="129">
        <v>2025</v>
      </c>
      <c r="C585" s="166" t="s">
        <v>22</v>
      </c>
      <c r="D585" s="129" t="s">
        <v>2394</v>
      </c>
      <c r="E585" s="130" t="s">
        <v>2395</v>
      </c>
      <c r="F585" s="131" t="s">
        <v>24</v>
      </c>
      <c r="G585" s="146" t="s">
        <v>75</v>
      </c>
      <c r="H585" s="133" t="s">
        <v>2396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15" x14ac:dyDescent="0.25">
      <c r="A586" s="139" t="s">
        <v>2397</v>
      </c>
      <c r="B586" s="129">
        <v>2025</v>
      </c>
      <c r="C586" s="129" t="s">
        <v>22</v>
      </c>
      <c r="D586" s="129" t="s">
        <v>2398</v>
      </c>
      <c r="E586" s="130" t="s">
        <v>2053</v>
      </c>
      <c r="F586" s="131" t="s">
        <v>88</v>
      </c>
      <c r="G586" s="132" t="s">
        <v>79</v>
      </c>
      <c r="H586" s="133" t="s">
        <v>2399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2055</v>
      </c>
    </row>
    <row r="587" spans="1:20" ht="15" x14ac:dyDescent="0.25">
      <c r="A587" s="139" t="s">
        <v>2400</v>
      </c>
      <c r="B587" s="129">
        <v>2025</v>
      </c>
      <c r="C587" s="166" t="s">
        <v>22</v>
      </c>
      <c r="D587" s="129" t="s">
        <v>2334</v>
      </c>
      <c r="E587" s="130" t="s">
        <v>2401</v>
      </c>
      <c r="F587" s="131" t="s">
        <v>24</v>
      </c>
      <c r="G587" s="132" t="s">
        <v>42</v>
      </c>
      <c r="H587" s="133" t="s">
        <v>2402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15" x14ac:dyDescent="0.25">
      <c r="A588" s="139" t="s">
        <v>2403</v>
      </c>
      <c r="B588" s="129">
        <v>2025</v>
      </c>
      <c r="C588" s="166" t="s">
        <v>22</v>
      </c>
      <c r="D588" s="129" t="s">
        <v>2404</v>
      </c>
      <c r="E588" s="130" t="s">
        <v>2405</v>
      </c>
      <c r="F588" s="131" t="s">
        <v>24</v>
      </c>
      <c r="G588" s="132" t="s">
        <v>371</v>
      </c>
      <c r="H588" s="133" t="s">
        <v>2406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2407</v>
      </c>
    </row>
    <row r="589" spans="1:20" ht="15" x14ac:dyDescent="0.25">
      <c r="A589" s="139" t="s">
        <v>2408</v>
      </c>
      <c r="B589" s="129">
        <v>2025</v>
      </c>
      <c r="C589" s="166" t="s">
        <v>22</v>
      </c>
      <c r="D589" s="129" t="s">
        <v>2409</v>
      </c>
      <c r="E589" s="130" t="s">
        <v>2410</v>
      </c>
      <c r="F589" s="131" t="s">
        <v>24</v>
      </c>
      <c r="G589" s="146" t="s">
        <v>75</v>
      </c>
      <c r="H589" s="133" t="s">
        <v>2411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15" x14ac:dyDescent="0.25">
      <c r="A590" s="139" t="s">
        <v>2412</v>
      </c>
      <c r="B590" s="129">
        <v>2025</v>
      </c>
      <c r="C590" s="166" t="s">
        <v>22</v>
      </c>
      <c r="D590" s="129" t="s">
        <v>2413</v>
      </c>
      <c r="E590" s="130" t="s">
        <v>2414</v>
      </c>
      <c r="F590" s="131" t="s">
        <v>24</v>
      </c>
      <c r="G590" s="146" t="s">
        <v>75</v>
      </c>
      <c r="H590" s="133" t="s">
        <v>2415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2416</v>
      </c>
    </row>
    <row r="591" spans="1:20" ht="15" x14ac:dyDescent="0.25">
      <c r="A591" s="139" t="s">
        <v>2417</v>
      </c>
      <c r="B591" s="129">
        <v>2025</v>
      </c>
      <c r="C591" s="129" t="s">
        <v>22</v>
      </c>
      <c r="D591" s="129" t="s">
        <v>2418</v>
      </c>
      <c r="E591" s="130" t="s">
        <v>2419</v>
      </c>
      <c r="F591" s="131" t="s">
        <v>88</v>
      </c>
      <c r="G591" s="132" t="s">
        <v>79</v>
      </c>
      <c r="H591" s="133" t="s">
        <v>2420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15" x14ac:dyDescent="0.25">
      <c r="A592" s="139" t="s">
        <v>2421</v>
      </c>
      <c r="B592" s="129">
        <v>2025</v>
      </c>
      <c r="C592" s="166" t="s">
        <v>22</v>
      </c>
      <c r="D592" s="129" t="s">
        <v>2422</v>
      </c>
      <c r="E592" s="130" t="s">
        <v>2423</v>
      </c>
      <c r="F592" s="131" t="s">
        <v>24</v>
      </c>
      <c r="G592" s="132" t="s">
        <v>36</v>
      </c>
      <c r="H592" s="133" t="s">
        <v>2424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2425</v>
      </c>
    </row>
    <row r="593" spans="1:20" ht="15" x14ac:dyDescent="0.25">
      <c r="A593" s="139" t="s">
        <v>2426</v>
      </c>
      <c r="B593" s="129">
        <v>2025</v>
      </c>
      <c r="C593" s="129" t="s">
        <v>22</v>
      </c>
      <c r="D593" s="129" t="s">
        <v>2427</v>
      </c>
      <c r="E593" s="130" t="s">
        <v>2428</v>
      </c>
      <c r="F593" s="131" t="s">
        <v>24</v>
      </c>
      <c r="G593" s="132" t="s">
        <v>42</v>
      </c>
      <c r="H593" s="150" t="s">
        <v>2429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2430</v>
      </c>
    </row>
    <row r="594" spans="1:20" ht="15" x14ac:dyDescent="0.25">
      <c r="A594" s="139" t="s">
        <v>2431</v>
      </c>
      <c r="B594" s="129">
        <v>2025</v>
      </c>
      <c r="C594" s="166" t="s">
        <v>22</v>
      </c>
      <c r="D594" s="129" t="s">
        <v>2432</v>
      </c>
      <c r="E594" s="130" t="s">
        <v>2433</v>
      </c>
      <c r="F594" s="131" t="s">
        <v>69</v>
      </c>
      <c r="G594" s="132" t="s">
        <v>79</v>
      </c>
      <c r="H594" s="133" t="s">
        <v>2434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2435</v>
      </c>
    </row>
    <row r="595" spans="1:20" ht="15" x14ac:dyDescent="0.25">
      <c r="A595" s="139" t="s">
        <v>2436</v>
      </c>
      <c r="B595" s="129">
        <v>2025</v>
      </c>
      <c r="C595" s="129" t="s">
        <v>22</v>
      </c>
      <c r="D595" s="129" t="s">
        <v>2437</v>
      </c>
      <c r="E595" s="130" t="s">
        <v>2438</v>
      </c>
      <c r="F595" s="131" t="s">
        <v>88</v>
      </c>
      <c r="G595" s="132" t="s">
        <v>79</v>
      </c>
      <c r="H595" s="133" t="s">
        <v>2439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15" x14ac:dyDescent="0.25">
      <c r="A596" s="139" t="s">
        <v>2440</v>
      </c>
      <c r="B596" s="129">
        <v>2025</v>
      </c>
      <c r="C596" s="154" t="s">
        <v>22</v>
      </c>
      <c r="D596" s="154" t="s">
        <v>2441</v>
      </c>
      <c r="E596" s="155" t="s">
        <v>2193</v>
      </c>
      <c r="F596" s="131" t="s">
        <v>88</v>
      </c>
      <c r="G596" s="156" t="s">
        <v>79</v>
      </c>
      <c r="H596" s="157" t="s">
        <v>2442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2443</v>
      </c>
    </row>
    <row r="597" spans="1:20" ht="15" x14ac:dyDescent="0.25">
      <c r="A597" s="139" t="s">
        <v>2444</v>
      </c>
      <c r="B597" s="129">
        <v>2025</v>
      </c>
      <c r="C597" s="154" t="s">
        <v>22</v>
      </c>
      <c r="D597" s="129" t="s">
        <v>2445</v>
      </c>
      <c r="E597" s="130" t="s">
        <v>2446</v>
      </c>
      <c r="F597" s="131" t="s">
        <v>69</v>
      </c>
      <c r="G597" s="132" t="s">
        <v>79</v>
      </c>
      <c r="H597" s="133" t="s">
        <v>2447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15" x14ac:dyDescent="0.25">
      <c r="A598" s="139" t="s">
        <v>2448</v>
      </c>
      <c r="B598" s="129">
        <v>2025</v>
      </c>
      <c r="C598" s="170" t="s">
        <v>22</v>
      </c>
      <c r="D598" s="154" t="s">
        <v>2449</v>
      </c>
      <c r="E598" s="155" t="s">
        <v>2450</v>
      </c>
      <c r="F598" s="163" t="s">
        <v>88</v>
      </c>
      <c r="G598" s="156" t="s">
        <v>79</v>
      </c>
      <c r="H598" s="157" t="s">
        <v>2451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2452</v>
      </c>
    </row>
    <row r="599" spans="1:20" ht="15" x14ac:dyDescent="0.25">
      <c r="A599" s="139" t="s">
        <v>2453</v>
      </c>
      <c r="B599" s="129">
        <v>2025</v>
      </c>
      <c r="C599" s="154" t="s">
        <v>22</v>
      </c>
      <c r="D599" s="154" t="s">
        <v>2454</v>
      </c>
      <c r="E599" s="155" t="s">
        <v>2455</v>
      </c>
      <c r="F599" s="163" t="s">
        <v>24</v>
      </c>
      <c r="G599" s="169" t="s">
        <v>75</v>
      </c>
      <c r="H599" s="157" t="s">
        <v>2456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2457</v>
      </c>
    </row>
    <row r="600" spans="1:20" ht="15" x14ac:dyDescent="0.25">
      <c r="A600" s="139" t="s">
        <v>2458</v>
      </c>
      <c r="B600" s="129">
        <v>2025</v>
      </c>
      <c r="C600" s="170" t="s">
        <v>22</v>
      </c>
      <c r="D600" s="154" t="s">
        <v>2459</v>
      </c>
      <c r="E600" s="155" t="s">
        <v>2460</v>
      </c>
      <c r="F600" s="163" t="s">
        <v>69</v>
      </c>
      <c r="G600" s="156" t="s">
        <v>79</v>
      </c>
      <c r="H600" s="151" t="s">
        <v>2461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2462</v>
      </c>
    </row>
    <row r="601" spans="1:20" ht="15" x14ac:dyDescent="0.25">
      <c r="A601" s="139" t="s">
        <v>2463</v>
      </c>
      <c r="B601" s="129">
        <v>2025</v>
      </c>
      <c r="C601" s="170" t="s">
        <v>22</v>
      </c>
      <c r="D601" s="154" t="s">
        <v>2422</v>
      </c>
      <c r="E601" s="155" t="s">
        <v>2464</v>
      </c>
      <c r="F601" s="163" t="s">
        <v>24</v>
      </c>
      <c r="G601" s="156" t="s">
        <v>36</v>
      </c>
      <c r="H601" s="157" t="s">
        <v>2465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2425</v>
      </c>
    </row>
    <row r="602" spans="1:20" ht="15" x14ac:dyDescent="0.25">
      <c r="A602" s="139" t="s">
        <v>2466</v>
      </c>
      <c r="B602" s="129">
        <v>2025</v>
      </c>
      <c r="C602" s="170" t="s">
        <v>22</v>
      </c>
      <c r="D602" s="129" t="s">
        <v>2467</v>
      </c>
      <c r="E602" s="130" t="s">
        <v>2468</v>
      </c>
      <c r="F602" s="163" t="s">
        <v>24</v>
      </c>
      <c r="G602" s="169" t="s">
        <v>75</v>
      </c>
      <c r="H602" s="133" t="s">
        <v>2469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2021</v>
      </c>
    </row>
    <row r="603" spans="1:20" ht="30" x14ac:dyDescent="0.25">
      <c r="A603" s="139" t="s">
        <v>2470</v>
      </c>
      <c r="B603" s="129">
        <v>2025</v>
      </c>
      <c r="C603" s="170" t="s">
        <v>22</v>
      </c>
      <c r="D603" s="129" t="s">
        <v>2471</v>
      </c>
      <c r="E603" s="130" t="s">
        <v>2472</v>
      </c>
      <c r="F603" s="163" t="s">
        <v>24</v>
      </c>
      <c r="G603" s="156" t="s">
        <v>75</v>
      </c>
      <c r="H603" s="167" t="s">
        <v>2473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15" x14ac:dyDescent="0.25">
      <c r="A604" s="139" t="s">
        <v>2474</v>
      </c>
      <c r="B604" s="129">
        <v>2025</v>
      </c>
      <c r="C604" s="170" t="s">
        <v>22</v>
      </c>
      <c r="D604" s="129" t="s">
        <v>2475</v>
      </c>
      <c r="E604" s="130" t="s">
        <v>2476</v>
      </c>
      <c r="F604" s="163" t="s">
        <v>24</v>
      </c>
      <c r="G604" s="156" t="s">
        <v>42</v>
      </c>
      <c r="H604" s="167" t="s">
        <v>2477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2478</v>
      </c>
    </row>
    <row r="605" spans="1:20" ht="15" x14ac:dyDescent="0.25">
      <c r="A605" s="139" t="s">
        <v>2479</v>
      </c>
      <c r="B605" s="129">
        <v>2025</v>
      </c>
      <c r="C605" s="166" t="s">
        <v>22</v>
      </c>
      <c r="D605" s="129" t="s">
        <v>2432</v>
      </c>
      <c r="E605" s="130" t="s">
        <v>2480</v>
      </c>
      <c r="F605" s="131" t="s">
        <v>69</v>
      </c>
      <c r="G605" s="132" t="s">
        <v>79</v>
      </c>
      <c r="H605" s="133" t="s">
        <v>2481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2482</v>
      </c>
    </row>
    <row r="606" spans="1:20" ht="30" x14ac:dyDescent="0.25">
      <c r="A606" s="139" t="s">
        <v>2483</v>
      </c>
      <c r="B606" s="129">
        <v>2025</v>
      </c>
      <c r="C606" s="166" t="s">
        <v>22</v>
      </c>
      <c r="D606" s="129" t="s">
        <v>2484</v>
      </c>
      <c r="E606" s="130" t="s">
        <v>2485</v>
      </c>
      <c r="F606" s="131" t="s">
        <v>24</v>
      </c>
      <c r="G606" s="146" t="s">
        <v>206</v>
      </c>
      <c r="H606" s="133" t="s">
        <v>2486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2487</v>
      </c>
    </row>
    <row r="607" spans="1:20" ht="15" x14ac:dyDescent="0.25">
      <c r="A607" s="139" t="s">
        <v>2488</v>
      </c>
      <c r="B607" s="129">
        <v>2025</v>
      </c>
      <c r="C607" s="166" t="s">
        <v>22</v>
      </c>
      <c r="D607" s="129" t="s">
        <v>2484</v>
      </c>
      <c r="E607" s="130" t="s">
        <v>2489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2490</v>
      </c>
    </row>
    <row r="608" spans="1:20" ht="30" x14ac:dyDescent="0.25">
      <c r="A608" s="139" t="s">
        <v>2491</v>
      </c>
      <c r="B608" s="129">
        <v>2025</v>
      </c>
      <c r="C608" s="166" t="s">
        <v>22</v>
      </c>
      <c r="D608" s="129" t="s">
        <v>2492</v>
      </c>
      <c r="E608" s="130" t="s">
        <v>2493</v>
      </c>
      <c r="F608" s="131" t="s">
        <v>24</v>
      </c>
      <c r="G608" s="146" t="s">
        <v>206</v>
      </c>
      <c r="H608" s="133" t="s">
        <v>2494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15" x14ac:dyDescent="0.25">
      <c r="A609" s="139" t="s">
        <v>2495</v>
      </c>
      <c r="B609" s="129">
        <v>2025</v>
      </c>
      <c r="C609" s="166" t="s">
        <v>22</v>
      </c>
      <c r="D609" s="129" t="s">
        <v>2496</v>
      </c>
      <c r="E609" s="130" t="s">
        <v>2497</v>
      </c>
      <c r="F609" s="131" t="s">
        <v>24</v>
      </c>
      <c r="G609" s="132" t="s">
        <v>25</v>
      </c>
      <c r="H609" s="133" t="s">
        <v>2498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2499</v>
      </c>
    </row>
    <row r="610" spans="1:20" ht="30" x14ac:dyDescent="0.25">
      <c r="A610" s="139" t="s">
        <v>2500</v>
      </c>
      <c r="B610" s="129">
        <v>2025</v>
      </c>
      <c r="C610" s="129" t="s">
        <v>22</v>
      </c>
      <c r="D610" s="129" t="s">
        <v>2398</v>
      </c>
      <c r="E610" s="164" t="s">
        <v>2501</v>
      </c>
      <c r="F610" s="131" t="s">
        <v>88</v>
      </c>
      <c r="G610" s="132" t="s">
        <v>79</v>
      </c>
      <c r="H610" s="133" t="s">
        <v>2502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2055</v>
      </c>
    </row>
    <row r="611" spans="1:20" ht="15" x14ac:dyDescent="0.25">
      <c r="A611" s="139" t="s">
        <v>2503</v>
      </c>
      <c r="B611" s="129">
        <v>2025</v>
      </c>
      <c r="C611" s="129" t="s">
        <v>22</v>
      </c>
      <c r="D611" s="129" t="s">
        <v>2504</v>
      </c>
      <c r="E611" s="130" t="s">
        <v>2505</v>
      </c>
      <c r="F611" s="163" t="s">
        <v>24</v>
      </c>
      <c r="G611" s="156" t="s">
        <v>42</v>
      </c>
      <c r="H611" s="133" t="s">
        <v>2506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2507</v>
      </c>
    </row>
    <row r="612" spans="1:20" ht="30" x14ac:dyDescent="0.25">
      <c r="A612" s="139" t="s">
        <v>2508</v>
      </c>
      <c r="B612" s="129">
        <v>2025</v>
      </c>
      <c r="C612" s="166" t="s">
        <v>22</v>
      </c>
      <c r="D612" s="129" t="s">
        <v>2509</v>
      </c>
      <c r="E612" s="130" t="s">
        <v>2510</v>
      </c>
      <c r="F612" s="171" t="s">
        <v>24</v>
      </c>
      <c r="G612" s="146" t="s">
        <v>206</v>
      </c>
      <c r="H612" s="133" t="s">
        <v>2511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2512</v>
      </c>
    </row>
    <row r="613" spans="1:20" ht="15" x14ac:dyDescent="0.25">
      <c r="A613" s="139" t="s">
        <v>2513</v>
      </c>
      <c r="B613" s="129">
        <v>2025</v>
      </c>
      <c r="C613" s="166" t="s">
        <v>22</v>
      </c>
      <c r="D613" s="129" t="s">
        <v>2509</v>
      </c>
      <c r="E613" s="130" t="s">
        <v>2514</v>
      </c>
      <c r="F613" s="131" t="s">
        <v>24</v>
      </c>
      <c r="G613" s="132" t="s">
        <v>206</v>
      </c>
      <c r="H613" s="129" t="s">
        <v>2511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2515</v>
      </c>
    </row>
    <row r="614" spans="1:20" ht="15" x14ac:dyDescent="0.25">
      <c r="A614" s="139" t="s">
        <v>2516</v>
      </c>
      <c r="B614" s="129">
        <v>2025</v>
      </c>
      <c r="C614" s="166" t="s">
        <v>22</v>
      </c>
      <c r="D614" s="129" t="s">
        <v>2517</v>
      </c>
      <c r="E614" s="130" t="s">
        <v>2518</v>
      </c>
      <c r="F614" s="131" t="s">
        <v>69</v>
      </c>
      <c r="G614" s="132" t="s">
        <v>79</v>
      </c>
      <c r="H614" s="133" t="s">
        <v>2519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15" x14ac:dyDescent="0.25">
      <c r="A615" s="139" t="s">
        <v>2520</v>
      </c>
      <c r="B615" s="129">
        <v>2025</v>
      </c>
      <c r="C615" s="166" t="s">
        <v>22</v>
      </c>
      <c r="D615" s="129" t="s">
        <v>2521</v>
      </c>
      <c r="E615" s="164" t="s">
        <v>2522</v>
      </c>
      <c r="F615" s="131" t="s">
        <v>69</v>
      </c>
      <c r="G615" s="132" t="s">
        <v>79</v>
      </c>
      <c r="H615" s="133" t="s">
        <v>2523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15" x14ac:dyDescent="0.25">
      <c r="A616" s="139" t="s">
        <v>2524</v>
      </c>
      <c r="B616" s="129">
        <v>2025</v>
      </c>
      <c r="C616" s="166" t="s">
        <v>22</v>
      </c>
      <c r="D616" s="129" t="s">
        <v>2459</v>
      </c>
      <c r="E616" s="164" t="s">
        <v>2525</v>
      </c>
      <c r="F616" s="131" t="s">
        <v>69</v>
      </c>
      <c r="G616" s="132" t="s">
        <v>79</v>
      </c>
      <c r="H616" s="133" t="s">
        <v>2526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2462</v>
      </c>
    </row>
    <row r="617" spans="1:20" ht="15" x14ac:dyDescent="0.25">
      <c r="A617" s="139" t="s">
        <v>2527</v>
      </c>
      <c r="B617" s="129">
        <v>2025</v>
      </c>
      <c r="C617" s="166" t="s">
        <v>22</v>
      </c>
      <c r="D617" s="129" t="s">
        <v>2528</v>
      </c>
      <c r="E617" s="130" t="s">
        <v>2529</v>
      </c>
      <c r="F617" s="131" t="s">
        <v>69</v>
      </c>
      <c r="G617" s="132" t="s">
        <v>79</v>
      </c>
      <c r="H617" s="133" t="s">
        <v>2530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2531</v>
      </c>
    </row>
    <row r="618" spans="1:20" ht="15" x14ac:dyDescent="0.25">
      <c r="A618" s="139" t="s">
        <v>2532</v>
      </c>
      <c r="B618" s="129">
        <v>2025</v>
      </c>
      <c r="C618" s="129" t="s">
        <v>22</v>
      </c>
      <c r="D618" s="129" t="s">
        <v>2533</v>
      </c>
      <c r="E618" s="130" t="s">
        <v>2534</v>
      </c>
      <c r="F618" s="131" t="s">
        <v>69</v>
      </c>
      <c r="G618" s="132" t="s">
        <v>79</v>
      </c>
      <c r="H618" s="133" t="s">
        <v>2535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2536</v>
      </c>
    </row>
    <row r="619" spans="1:20" ht="15" x14ac:dyDescent="0.25">
      <c r="A619" s="139" t="s">
        <v>2537</v>
      </c>
      <c r="B619" s="129">
        <v>2025</v>
      </c>
      <c r="C619" s="166" t="s">
        <v>22</v>
      </c>
      <c r="D619" s="129" t="s">
        <v>2538</v>
      </c>
      <c r="E619" s="130" t="s">
        <v>2539</v>
      </c>
      <c r="F619" s="131" t="s">
        <v>69</v>
      </c>
      <c r="G619" s="132" t="s">
        <v>79</v>
      </c>
      <c r="H619" s="133" t="s">
        <v>2535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1958</v>
      </c>
    </row>
    <row r="620" spans="1:20" ht="15" x14ac:dyDescent="0.25">
      <c r="A620" s="139" t="s">
        <v>2540</v>
      </c>
      <c r="B620" s="129">
        <v>2025</v>
      </c>
      <c r="C620" s="166" t="s">
        <v>22</v>
      </c>
      <c r="D620" s="129" t="s">
        <v>2541</v>
      </c>
      <c r="E620" s="130" t="s">
        <v>2542</v>
      </c>
      <c r="F620" s="131" t="s">
        <v>69</v>
      </c>
      <c r="G620" s="132" t="s">
        <v>79</v>
      </c>
      <c r="H620" s="133" t="s">
        <v>2543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2109</v>
      </c>
    </row>
    <row r="621" spans="1:20" ht="30" x14ac:dyDescent="0.25">
      <c r="A621" s="139" t="s">
        <v>2544</v>
      </c>
      <c r="B621" s="129">
        <v>2025</v>
      </c>
      <c r="C621" s="129" t="s">
        <v>22</v>
      </c>
      <c r="D621" s="129" t="s">
        <v>2545</v>
      </c>
      <c r="E621" s="130" t="s">
        <v>2546</v>
      </c>
      <c r="F621" s="131" t="s">
        <v>24</v>
      </c>
      <c r="G621" s="146" t="s">
        <v>206</v>
      </c>
      <c r="H621" s="133" t="s">
        <v>2547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2548</v>
      </c>
    </row>
    <row r="622" spans="1:20" ht="15" x14ac:dyDescent="0.25">
      <c r="A622" s="139" t="s">
        <v>2549</v>
      </c>
      <c r="B622" s="129">
        <v>2025</v>
      </c>
      <c r="C622" s="166" t="s">
        <v>22</v>
      </c>
      <c r="D622" s="129" t="s">
        <v>2404</v>
      </c>
      <c r="E622" s="130" t="s">
        <v>2550</v>
      </c>
      <c r="F622" s="131" t="s">
        <v>24</v>
      </c>
      <c r="G622" s="132" t="s">
        <v>371</v>
      </c>
      <c r="H622" s="133" t="s">
        <v>2551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2407</v>
      </c>
    </row>
    <row r="623" spans="1:20" ht="15" x14ac:dyDescent="0.25">
      <c r="A623" s="139" t="s">
        <v>2552</v>
      </c>
      <c r="B623" s="129">
        <v>2025</v>
      </c>
      <c r="C623" s="166" t="s">
        <v>22</v>
      </c>
      <c r="D623" s="129" t="s">
        <v>2553</v>
      </c>
      <c r="E623" s="130" t="s">
        <v>2554</v>
      </c>
      <c r="F623" s="131" t="s">
        <v>24</v>
      </c>
      <c r="G623" s="132" t="s">
        <v>42</v>
      </c>
      <c r="H623" s="133" t="s">
        <v>2555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2556</v>
      </c>
    </row>
    <row r="624" spans="1:20" ht="15" x14ac:dyDescent="0.25">
      <c r="A624" s="139" t="s">
        <v>2557</v>
      </c>
      <c r="B624" s="129">
        <v>2025</v>
      </c>
      <c r="C624" s="166" t="s">
        <v>22</v>
      </c>
      <c r="D624" s="129" t="s">
        <v>2366</v>
      </c>
      <c r="E624" s="130" t="s">
        <v>2558</v>
      </c>
      <c r="F624" s="171" t="s">
        <v>88</v>
      </c>
      <c r="G624" s="146" t="s">
        <v>79</v>
      </c>
      <c r="H624" s="133" t="s">
        <v>2559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2369</v>
      </c>
    </row>
    <row r="625" spans="1:20" ht="15" x14ac:dyDescent="0.25">
      <c r="A625" s="139" t="s">
        <v>2560</v>
      </c>
      <c r="B625" s="129">
        <v>2025</v>
      </c>
      <c r="C625" s="129" t="s">
        <v>22</v>
      </c>
      <c r="D625" s="129" t="s">
        <v>2441</v>
      </c>
      <c r="E625" s="130" t="s">
        <v>2561</v>
      </c>
      <c r="F625" s="131" t="s">
        <v>88</v>
      </c>
      <c r="G625" s="132" t="s">
        <v>79</v>
      </c>
      <c r="H625" s="133" t="s">
        <v>2562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2443</v>
      </c>
    </row>
    <row r="626" spans="1:20" ht="15" x14ac:dyDescent="0.25">
      <c r="A626" s="139" t="s">
        <v>2563</v>
      </c>
      <c r="B626" s="129">
        <v>2025</v>
      </c>
      <c r="C626" s="166" t="s">
        <v>22</v>
      </c>
      <c r="D626" s="129" t="s">
        <v>2366</v>
      </c>
      <c r="E626" s="130" t="s">
        <v>2564</v>
      </c>
      <c r="F626" s="131" t="s">
        <v>88</v>
      </c>
      <c r="G626" s="146" t="s">
        <v>79</v>
      </c>
      <c r="H626" s="133" t="s">
        <v>2562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2369</v>
      </c>
    </row>
    <row r="627" spans="1:20" ht="15" x14ac:dyDescent="0.25">
      <c r="A627" s="139" t="s">
        <v>2565</v>
      </c>
      <c r="B627" s="129">
        <v>2025</v>
      </c>
      <c r="C627" s="166" t="s">
        <v>2566</v>
      </c>
      <c r="D627" s="129" t="s">
        <v>2567</v>
      </c>
      <c r="E627" s="130" t="s">
        <v>2200</v>
      </c>
      <c r="F627" s="131" t="s">
        <v>24</v>
      </c>
      <c r="G627" s="132" t="s">
        <v>36</v>
      </c>
      <c r="H627" s="133" t="s">
        <v>2568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30" x14ac:dyDescent="0.25">
      <c r="A628" s="139" t="s">
        <v>2569</v>
      </c>
      <c r="B628" s="129">
        <v>2025</v>
      </c>
      <c r="C628" s="166" t="s">
        <v>22</v>
      </c>
      <c r="D628" s="129" t="s">
        <v>2570</v>
      </c>
      <c r="E628" s="130" t="s">
        <v>2571</v>
      </c>
      <c r="F628" s="171" t="s">
        <v>24</v>
      </c>
      <c r="G628" s="146" t="s">
        <v>206</v>
      </c>
      <c r="H628" s="133" t="s">
        <v>2572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15" x14ac:dyDescent="0.25">
      <c r="A629" s="139" t="s">
        <v>2573</v>
      </c>
      <c r="B629" s="129">
        <v>2025</v>
      </c>
      <c r="C629" s="129" t="s">
        <v>22</v>
      </c>
      <c r="D629" s="129" t="s">
        <v>2574</v>
      </c>
      <c r="E629" s="130" t="s">
        <v>2575</v>
      </c>
      <c r="F629" s="131" t="s">
        <v>24</v>
      </c>
      <c r="G629" s="132" t="s">
        <v>42</v>
      </c>
      <c r="H629" s="133" t="s">
        <v>2576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2577</v>
      </c>
      <c r="T629" s="132" t="s">
        <v>2578</v>
      </c>
    </row>
    <row r="630" spans="1:20" ht="15" x14ac:dyDescent="0.25">
      <c r="A630" s="139" t="s">
        <v>2579</v>
      </c>
      <c r="B630" s="129">
        <v>2025</v>
      </c>
      <c r="C630" s="166" t="s">
        <v>22</v>
      </c>
      <c r="D630" s="129" t="s">
        <v>2580</v>
      </c>
      <c r="E630" s="130" t="s">
        <v>2581</v>
      </c>
      <c r="F630" s="131" t="s">
        <v>69</v>
      </c>
      <c r="G630" s="132" t="s">
        <v>79</v>
      </c>
      <c r="H630" s="133" t="s">
        <v>2582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2583</v>
      </c>
    </row>
    <row r="631" spans="1:20" ht="15" x14ac:dyDescent="0.25">
      <c r="A631" s="139" t="s">
        <v>2584</v>
      </c>
      <c r="B631" s="129">
        <v>2025</v>
      </c>
      <c r="C631" s="166" t="s">
        <v>22</v>
      </c>
      <c r="D631" s="129" t="s">
        <v>2585</v>
      </c>
      <c r="E631" s="130" t="s">
        <v>2586</v>
      </c>
      <c r="F631" s="131" t="s">
        <v>88</v>
      </c>
      <c r="G631" s="132" t="s">
        <v>79</v>
      </c>
      <c r="H631" s="133" t="s">
        <v>2587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15" x14ac:dyDescent="0.25">
      <c r="A632" s="139" t="s">
        <v>2588</v>
      </c>
      <c r="B632" s="129">
        <v>2025</v>
      </c>
      <c r="C632" s="166" t="s">
        <v>22</v>
      </c>
      <c r="D632" s="129" t="s">
        <v>2467</v>
      </c>
      <c r="E632" s="130" t="s">
        <v>2589</v>
      </c>
      <c r="F632" s="131" t="s">
        <v>24</v>
      </c>
      <c r="G632" s="146" t="s">
        <v>75</v>
      </c>
      <c r="H632" s="133" t="s">
        <v>2590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2021</v>
      </c>
    </row>
    <row r="633" spans="1:20" ht="30" x14ac:dyDescent="0.25">
      <c r="A633" s="139" t="s">
        <v>2591</v>
      </c>
      <c r="B633" s="129">
        <v>2025</v>
      </c>
      <c r="C633" s="129" t="s">
        <v>22</v>
      </c>
      <c r="D633" s="129" t="s">
        <v>2592</v>
      </c>
      <c r="E633" s="164" t="s">
        <v>2593</v>
      </c>
      <c r="F633" s="131" t="s">
        <v>24</v>
      </c>
      <c r="G633" s="132" t="s">
        <v>42</v>
      </c>
      <c r="H633" s="167" t="s">
        <v>2594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2595</v>
      </c>
    </row>
    <row r="634" spans="1:20" ht="15" x14ac:dyDescent="0.25">
      <c r="A634" s="139" t="s">
        <v>2596</v>
      </c>
      <c r="B634" s="129">
        <v>2025</v>
      </c>
      <c r="C634" s="129" t="s">
        <v>22</v>
      </c>
      <c r="D634" s="129" t="s">
        <v>2597</v>
      </c>
      <c r="E634" s="130" t="s">
        <v>2598</v>
      </c>
      <c r="F634" s="131" t="s">
        <v>69</v>
      </c>
      <c r="G634" s="132" t="s">
        <v>79</v>
      </c>
      <c r="H634" s="133" t="s">
        <v>2599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2452</v>
      </c>
    </row>
    <row r="635" spans="1:20" ht="30" x14ac:dyDescent="0.25">
      <c r="A635" s="139" t="s">
        <v>2600</v>
      </c>
      <c r="B635" s="129">
        <v>2025</v>
      </c>
      <c r="C635" s="166" t="s">
        <v>22</v>
      </c>
      <c r="D635" s="129" t="s">
        <v>2601</v>
      </c>
      <c r="E635" s="130" t="s">
        <v>2602</v>
      </c>
      <c r="F635" s="171" t="s">
        <v>24</v>
      </c>
      <c r="G635" s="146" t="s">
        <v>206</v>
      </c>
      <c r="H635" s="133" t="s">
        <v>2603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15" x14ac:dyDescent="0.25">
      <c r="A636" s="139" t="s">
        <v>2604</v>
      </c>
      <c r="B636" s="129">
        <v>2025</v>
      </c>
      <c r="C636" s="166" t="s">
        <v>22</v>
      </c>
      <c r="D636" s="129" t="s">
        <v>2319</v>
      </c>
      <c r="E636" s="130" t="s">
        <v>2605</v>
      </c>
      <c r="F636" s="131" t="s">
        <v>69</v>
      </c>
      <c r="G636" s="132" t="s">
        <v>36</v>
      </c>
      <c r="H636" s="133" t="s">
        <v>2606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2322</v>
      </c>
    </row>
    <row r="637" spans="1:20" ht="15" x14ac:dyDescent="0.25">
      <c r="A637" s="139" t="s">
        <v>2607</v>
      </c>
      <c r="B637" s="129">
        <v>2025</v>
      </c>
      <c r="C637" s="129" t="s">
        <v>22</v>
      </c>
      <c r="D637" s="129" t="s">
        <v>2608</v>
      </c>
      <c r="E637" s="164" t="s">
        <v>2609</v>
      </c>
      <c r="F637" s="131" t="s">
        <v>69</v>
      </c>
      <c r="G637" s="132" t="s">
        <v>79</v>
      </c>
      <c r="H637" s="151" t="s">
        <v>2610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2611</v>
      </c>
    </row>
    <row r="638" spans="1:20" ht="15" x14ac:dyDescent="0.25">
      <c r="A638" s="139" t="s">
        <v>2612</v>
      </c>
      <c r="B638" s="129">
        <v>2025</v>
      </c>
      <c r="C638" s="129" t="s">
        <v>22</v>
      </c>
      <c r="D638" s="129" t="s">
        <v>2613</v>
      </c>
      <c r="E638" s="130" t="s">
        <v>2614</v>
      </c>
      <c r="F638" s="131" t="s">
        <v>88</v>
      </c>
      <c r="G638" s="132" t="s">
        <v>79</v>
      </c>
      <c r="H638" s="133" t="s">
        <v>2615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2616</v>
      </c>
    </row>
    <row r="639" spans="1:20" ht="15" x14ac:dyDescent="0.25">
      <c r="A639" s="139" t="s">
        <v>2617</v>
      </c>
      <c r="B639" s="129">
        <v>2025</v>
      </c>
      <c r="C639" s="129" t="s">
        <v>22</v>
      </c>
      <c r="D639" s="129" t="s">
        <v>2618</v>
      </c>
      <c r="E639" s="130" t="s">
        <v>2619</v>
      </c>
      <c r="F639" s="131" t="s">
        <v>24</v>
      </c>
      <c r="G639" s="132" t="s">
        <v>36</v>
      </c>
      <c r="H639" s="133" t="s">
        <v>2620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2577</v>
      </c>
      <c r="T639" s="132" t="s">
        <v>2578</v>
      </c>
    </row>
    <row r="640" spans="1:20" ht="15" x14ac:dyDescent="0.25">
      <c r="A640" s="139" t="s">
        <v>2621</v>
      </c>
      <c r="B640" s="129">
        <v>2025</v>
      </c>
      <c r="C640" s="129" t="s">
        <v>22</v>
      </c>
      <c r="D640" s="129" t="s">
        <v>2622</v>
      </c>
      <c r="E640" s="130" t="s">
        <v>2623</v>
      </c>
      <c r="F640" s="131" t="s">
        <v>88</v>
      </c>
      <c r="G640" s="146" t="s">
        <v>79</v>
      </c>
      <c r="H640" s="133" t="s">
        <v>2624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30" x14ac:dyDescent="0.25">
      <c r="A641" s="139" t="s">
        <v>2625</v>
      </c>
      <c r="B641" s="129">
        <v>2025</v>
      </c>
      <c r="C641" s="166" t="s">
        <v>22</v>
      </c>
      <c r="D641" s="129" t="s">
        <v>2626</v>
      </c>
      <c r="E641" s="130" t="s">
        <v>2627</v>
      </c>
      <c r="F641" s="171" t="s">
        <v>24</v>
      </c>
      <c r="G641" s="146" t="s">
        <v>206</v>
      </c>
      <c r="H641" s="133" t="s">
        <v>2628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15" x14ac:dyDescent="0.25">
      <c r="A642" s="139" t="s">
        <v>2629</v>
      </c>
      <c r="B642" s="129">
        <v>2025</v>
      </c>
      <c r="C642" s="129" t="s">
        <v>22</v>
      </c>
      <c r="D642" s="129" t="s">
        <v>2630</v>
      </c>
      <c r="E642" s="130" t="s">
        <v>2438</v>
      </c>
      <c r="F642" s="131" t="s">
        <v>88</v>
      </c>
      <c r="G642" s="150" t="s">
        <v>79</v>
      </c>
      <c r="H642" s="167" t="s">
        <v>2631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2632</v>
      </c>
    </row>
    <row r="643" spans="1:20" ht="15" x14ac:dyDescent="0.25">
      <c r="A643" s="139" t="s">
        <v>2633</v>
      </c>
      <c r="B643" s="129">
        <v>2025</v>
      </c>
      <c r="C643" s="129" t="s">
        <v>22</v>
      </c>
      <c r="D643" s="129" t="s">
        <v>2634</v>
      </c>
      <c r="E643" s="130" t="s">
        <v>2276</v>
      </c>
      <c r="F643" s="131" t="s">
        <v>88</v>
      </c>
      <c r="G643" s="132" t="s">
        <v>79</v>
      </c>
      <c r="H643" s="133" t="s">
        <v>2635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2166</v>
      </c>
    </row>
    <row r="644" spans="1:20" ht="15" x14ac:dyDescent="0.25">
      <c r="A644" s="139" t="s">
        <v>2636</v>
      </c>
      <c r="B644" s="129">
        <v>2025</v>
      </c>
      <c r="C644" s="166" t="s">
        <v>22</v>
      </c>
      <c r="D644" s="129" t="s">
        <v>2366</v>
      </c>
      <c r="E644" s="130" t="s">
        <v>2637</v>
      </c>
      <c r="F644" s="131" t="s">
        <v>88</v>
      </c>
      <c r="G644" s="132" t="s">
        <v>79</v>
      </c>
      <c r="H644" s="133" t="s">
        <v>2638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2369</v>
      </c>
    </row>
    <row r="645" spans="1:20" ht="15" x14ac:dyDescent="0.25">
      <c r="A645" s="139" t="s">
        <v>2639</v>
      </c>
      <c r="B645" s="129">
        <v>2025</v>
      </c>
      <c r="C645" s="129" t="s">
        <v>22</v>
      </c>
      <c r="D645" s="129" t="s">
        <v>2640</v>
      </c>
      <c r="E645" s="130" t="s">
        <v>2558</v>
      </c>
      <c r="F645" s="131" t="s">
        <v>88</v>
      </c>
      <c r="G645" s="132" t="s">
        <v>79</v>
      </c>
      <c r="H645" s="133" t="s">
        <v>2638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2641</v>
      </c>
    </row>
    <row r="646" spans="1:20" ht="30" x14ac:dyDescent="0.25">
      <c r="A646" s="139" t="s">
        <v>2642</v>
      </c>
      <c r="B646" s="129">
        <v>2025</v>
      </c>
      <c r="C646" s="166" t="s">
        <v>22</v>
      </c>
      <c r="D646" s="129" t="s">
        <v>2643</v>
      </c>
      <c r="E646" s="130" t="s">
        <v>2644</v>
      </c>
      <c r="F646" s="171" t="s">
        <v>24</v>
      </c>
      <c r="G646" s="146" t="s">
        <v>206</v>
      </c>
      <c r="H646" s="133" t="s">
        <v>2645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2616</v>
      </c>
    </row>
    <row r="647" spans="1:20" ht="30" x14ac:dyDescent="0.25">
      <c r="A647" s="139" t="s">
        <v>2646</v>
      </c>
      <c r="B647" s="129">
        <v>2025</v>
      </c>
      <c r="C647" s="166" t="s">
        <v>22</v>
      </c>
      <c r="D647" s="129" t="s">
        <v>2492</v>
      </c>
      <c r="E647" s="130" t="s">
        <v>2647</v>
      </c>
      <c r="F647" s="131" t="s">
        <v>24</v>
      </c>
      <c r="G647" s="146" t="s">
        <v>206</v>
      </c>
      <c r="H647" s="133" t="s">
        <v>2648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15" x14ac:dyDescent="0.25">
      <c r="A648" s="139" t="s">
        <v>2649</v>
      </c>
      <c r="B648" s="129">
        <v>2025</v>
      </c>
      <c r="C648" s="129" t="s">
        <v>22</v>
      </c>
      <c r="D648" s="153" t="s">
        <v>2650</v>
      </c>
      <c r="E648" s="130" t="s">
        <v>2235</v>
      </c>
      <c r="F648" s="131" t="s">
        <v>69</v>
      </c>
      <c r="G648" s="132" t="s">
        <v>79</v>
      </c>
      <c r="H648" s="172" t="s">
        <v>2651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2026</v>
      </c>
    </row>
    <row r="649" spans="1:20" ht="15" x14ac:dyDescent="0.25">
      <c r="A649" s="139" t="s">
        <v>2652</v>
      </c>
      <c r="B649" s="129">
        <v>2025</v>
      </c>
      <c r="C649" s="129" t="s">
        <v>22</v>
      </c>
      <c r="D649" s="129" t="s">
        <v>2653</v>
      </c>
      <c r="E649" s="130" t="s">
        <v>2654</v>
      </c>
      <c r="F649" s="131" t="s">
        <v>69</v>
      </c>
      <c r="G649" s="132" t="s">
        <v>79</v>
      </c>
      <c r="H649" s="151" t="s">
        <v>2655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2462</v>
      </c>
    </row>
    <row r="650" spans="1:20" ht="30" x14ac:dyDescent="0.25">
      <c r="A650" s="139" t="s">
        <v>2656</v>
      </c>
      <c r="B650" s="129">
        <v>2025</v>
      </c>
      <c r="C650" s="166" t="s">
        <v>22</v>
      </c>
      <c r="D650" s="129" t="s">
        <v>2657</v>
      </c>
      <c r="E650" s="130" t="s">
        <v>2658</v>
      </c>
      <c r="F650" s="131" t="s">
        <v>24</v>
      </c>
      <c r="G650" s="146" t="s">
        <v>206</v>
      </c>
      <c r="H650" s="133" t="s">
        <v>2659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2660</v>
      </c>
    </row>
    <row r="651" spans="1:20" ht="15" x14ac:dyDescent="0.25">
      <c r="A651" s="139" t="s">
        <v>2661</v>
      </c>
      <c r="B651" s="129">
        <v>2025</v>
      </c>
      <c r="C651" s="166" t="s">
        <v>22</v>
      </c>
      <c r="D651" s="129" t="s">
        <v>2662</v>
      </c>
      <c r="E651" s="164" t="s">
        <v>2663</v>
      </c>
      <c r="F651" s="131" t="s">
        <v>24</v>
      </c>
      <c r="G651" s="132" t="s">
        <v>42</v>
      </c>
      <c r="H651" s="133" t="s">
        <v>2664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2665</v>
      </c>
    </row>
    <row r="652" spans="1:20" ht="15" x14ac:dyDescent="0.25">
      <c r="A652" s="139" t="s">
        <v>2666</v>
      </c>
      <c r="B652" s="129">
        <v>2025</v>
      </c>
      <c r="C652" s="166" t="s">
        <v>22</v>
      </c>
      <c r="D652" s="129" t="s">
        <v>2667</v>
      </c>
      <c r="E652" s="130" t="s">
        <v>2668</v>
      </c>
      <c r="F652" s="131" t="s">
        <v>24</v>
      </c>
      <c r="G652" s="132" t="s">
        <v>25</v>
      </c>
      <c r="H652" s="167" t="s">
        <v>2669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2670</v>
      </c>
    </row>
    <row r="653" spans="1:20" ht="15" x14ac:dyDescent="0.25">
      <c r="A653" s="139" t="s">
        <v>2671</v>
      </c>
      <c r="B653" s="129">
        <v>2025</v>
      </c>
      <c r="C653" s="129" t="s">
        <v>22</v>
      </c>
      <c r="D653" s="129" t="s">
        <v>2672</v>
      </c>
      <c r="E653" s="164" t="s">
        <v>2673</v>
      </c>
      <c r="F653" s="131" t="s">
        <v>88</v>
      </c>
      <c r="G653" s="132" t="s">
        <v>79</v>
      </c>
      <c r="H653" s="167" t="s">
        <v>2669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15" x14ac:dyDescent="0.25">
      <c r="A654" s="139" t="s">
        <v>2674</v>
      </c>
      <c r="B654" s="129">
        <v>2025</v>
      </c>
      <c r="C654" s="129" t="s">
        <v>22</v>
      </c>
      <c r="D654" s="129" t="s">
        <v>2675</v>
      </c>
      <c r="E654" s="130" t="s">
        <v>2676</v>
      </c>
      <c r="F654" s="131" t="s">
        <v>24</v>
      </c>
      <c r="G654" s="132" t="s">
        <v>42</v>
      </c>
      <c r="H654" s="167" t="s">
        <v>2677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15" x14ac:dyDescent="0.25">
      <c r="A655" s="139" t="s">
        <v>2678</v>
      </c>
      <c r="B655" s="129">
        <v>2025</v>
      </c>
      <c r="C655" s="129" t="s">
        <v>22</v>
      </c>
      <c r="D655" s="129" t="s">
        <v>2679</v>
      </c>
      <c r="E655" s="130" t="s">
        <v>2680</v>
      </c>
      <c r="F655" s="131" t="s">
        <v>24</v>
      </c>
      <c r="G655" s="132" t="s">
        <v>206</v>
      </c>
      <c r="H655" s="133" t="s">
        <v>2681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15" x14ac:dyDescent="0.25">
      <c r="A656" s="139" t="s">
        <v>2682</v>
      </c>
      <c r="B656" s="129">
        <v>2025</v>
      </c>
      <c r="C656" s="129" t="s">
        <v>22</v>
      </c>
      <c r="D656" s="129" t="s">
        <v>2683</v>
      </c>
      <c r="E656" s="130" t="s">
        <v>2684</v>
      </c>
      <c r="F656" s="131" t="s">
        <v>88</v>
      </c>
      <c r="G656" s="132" t="s">
        <v>79</v>
      </c>
      <c r="H656" s="143" t="s">
        <v>2685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15" x14ac:dyDescent="0.25">
      <c r="A657" s="139" t="s">
        <v>2686</v>
      </c>
      <c r="B657" s="129">
        <v>2026</v>
      </c>
      <c r="C657" s="129" t="s">
        <v>22</v>
      </c>
      <c r="D657" s="129" t="s">
        <v>2687</v>
      </c>
      <c r="E657" s="130" t="s">
        <v>2138</v>
      </c>
      <c r="F657" s="131" t="s">
        <v>69</v>
      </c>
      <c r="G657" s="132" t="s">
        <v>79</v>
      </c>
      <c r="H657" s="133" t="s">
        <v>2688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15" x14ac:dyDescent="0.25">
      <c r="A658" s="139" t="s">
        <v>2689</v>
      </c>
      <c r="B658" s="129">
        <v>2026</v>
      </c>
      <c r="C658" s="129" t="s">
        <v>22</v>
      </c>
      <c r="D658" s="129" t="s">
        <v>2690</v>
      </c>
      <c r="E658" s="130" t="s">
        <v>2691</v>
      </c>
      <c r="F658" s="131" t="s">
        <v>24</v>
      </c>
      <c r="G658" s="132" t="s">
        <v>206</v>
      </c>
      <c r="H658" s="133" t="s">
        <v>2692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2693</v>
      </c>
    </row>
    <row r="659" spans="1:20" ht="15" x14ac:dyDescent="0.25">
      <c r="A659" s="139" t="s">
        <v>2694</v>
      </c>
      <c r="B659" s="129">
        <v>2026</v>
      </c>
      <c r="C659" s="129" t="s">
        <v>22</v>
      </c>
      <c r="D659" s="129" t="s">
        <v>2695</v>
      </c>
      <c r="E659" s="130" t="s">
        <v>2696</v>
      </c>
      <c r="F659" s="131" t="s">
        <v>24</v>
      </c>
      <c r="G659" s="132" t="s">
        <v>42</v>
      </c>
      <c r="H659" s="167" t="s">
        <v>2697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2698</v>
      </c>
    </row>
    <row r="660" spans="1:20" ht="15" x14ac:dyDescent="0.25">
      <c r="A660" s="139" t="s">
        <v>2699</v>
      </c>
      <c r="B660" s="129">
        <v>2026</v>
      </c>
      <c r="C660" s="129" t="s">
        <v>22</v>
      </c>
      <c r="D660" s="129" t="s">
        <v>2700</v>
      </c>
      <c r="E660" s="130" t="s">
        <v>2701</v>
      </c>
      <c r="F660" s="131" t="s">
        <v>69</v>
      </c>
      <c r="G660" s="132" t="s">
        <v>2702</v>
      </c>
      <c r="H660" s="133" t="s">
        <v>2703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2704</v>
      </c>
    </row>
    <row r="661" spans="1:20" ht="15" x14ac:dyDescent="0.25">
      <c r="A661" s="139" t="s">
        <v>2705</v>
      </c>
      <c r="B661" s="129">
        <v>2026</v>
      </c>
      <c r="C661" s="129" t="s">
        <v>22</v>
      </c>
      <c r="D661" s="133" t="s">
        <v>2706</v>
      </c>
      <c r="E661" s="130" t="s">
        <v>2707</v>
      </c>
      <c r="F661" s="131" t="s">
        <v>24</v>
      </c>
      <c r="G661" s="146" t="s">
        <v>2708</v>
      </c>
      <c r="H661" s="133" t="s">
        <v>2709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2710</v>
      </c>
    </row>
    <row r="662" spans="1:20" ht="15" x14ac:dyDescent="0.25">
      <c r="A662" s="139" t="s">
        <v>2711</v>
      </c>
      <c r="B662" s="129">
        <v>2026</v>
      </c>
      <c r="C662" s="129" t="s">
        <v>22</v>
      </c>
      <c r="D662" s="129" t="s">
        <v>2712</v>
      </c>
      <c r="E662" s="130" t="s">
        <v>2713</v>
      </c>
      <c r="F662" s="131" t="s">
        <v>69</v>
      </c>
      <c r="G662" s="132" t="s">
        <v>2702</v>
      </c>
      <c r="H662" s="174" t="s">
        <v>2714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 t="shared" ref="R662:R668" si="12">SUM(O662:Q662)</f>
        <v>20</v>
      </c>
      <c r="S662" s="129">
        <v>12</v>
      </c>
      <c r="T662" s="146" t="s">
        <v>2715</v>
      </c>
    </row>
    <row r="663" spans="1:20" ht="15" x14ac:dyDescent="0.25">
      <c r="A663" s="139" t="s">
        <v>2716</v>
      </c>
      <c r="B663" s="129">
        <v>2026</v>
      </c>
      <c r="C663" s="129" t="s">
        <v>22</v>
      </c>
      <c r="D663" s="133" t="s">
        <v>2717</v>
      </c>
      <c r="E663" s="130" t="s">
        <v>2718</v>
      </c>
      <c r="F663" s="131" t="s">
        <v>69</v>
      </c>
      <c r="G663" s="132" t="s">
        <v>79</v>
      </c>
      <c r="H663" s="133" t="s">
        <v>2719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 t="shared" si="12"/>
        <v>19</v>
      </c>
      <c r="S663" s="129">
        <v>20</v>
      </c>
      <c r="T663" s="132" t="s">
        <v>81</v>
      </c>
    </row>
    <row r="664" spans="1:20" ht="15" x14ac:dyDescent="0.25">
      <c r="A664" s="139" t="s">
        <v>2720</v>
      </c>
      <c r="B664" s="129">
        <v>2026</v>
      </c>
      <c r="C664" s="129" t="s">
        <v>22</v>
      </c>
      <c r="D664" s="129" t="s">
        <v>2721</v>
      </c>
      <c r="E664" s="130" t="s">
        <v>2722</v>
      </c>
      <c r="F664" s="131" t="s">
        <v>24</v>
      </c>
      <c r="G664" s="146" t="s">
        <v>371</v>
      </c>
      <c r="H664" s="133" t="s">
        <v>2723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 t="shared" si="12"/>
        <v>33</v>
      </c>
      <c r="S664" s="129">
        <v>20</v>
      </c>
      <c r="T664" s="146" t="s">
        <v>2724</v>
      </c>
    </row>
    <row r="665" spans="1:20" ht="15" x14ac:dyDescent="0.25">
      <c r="A665" s="139" t="s">
        <v>2725</v>
      </c>
      <c r="B665" s="129">
        <v>2026</v>
      </c>
      <c r="C665" s="129" t="s">
        <v>22</v>
      </c>
      <c r="D665" s="129" t="s">
        <v>2726</v>
      </c>
      <c r="E665" s="130" t="s">
        <v>2727</v>
      </c>
      <c r="F665" s="131" t="s">
        <v>24</v>
      </c>
      <c r="G665" s="146" t="s">
        <v>2728</v>
      </c>
      <c r="H665" s="133" t="s">
        <v>2729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 t="shared" si="12"/>
        <v>20</v>
      </c>
      <c r="S665" s="129">
        <v>8</v>
      </c>
      <c r="T665" s="132" t="s">
        <v>2730</v>
      </c>
    </row>
    <row r="666" spans="1:20" ht="15" x14ac:dyDescent="0.25">
      <c r="A666" s="139" t="s">
        <v>2731</v>
      </c>
      <c r="B666" s="129">
        <v>2026</v>
      </c>
      <c r="C666" s="129" t="s">
        <v>22</v>
      </c>
      <c r="D666" s="133" t="s">
        <v>2717</v>
      </c>
      <c r="E666" s="130" t="s">
        <v>2732</v>
      </c>
      <c r="F666" s="131" t="s">
        <v>69</v>
      </c>
      <c r="G666" s="132" t="s">
        <v>79</v>
      </c>
      <c r="H666" s="133" t="s">
        <v>2733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 t="shared" si="12"/>
        <v>20</v>
      </c>
      <c r="S666" s="129">
        <v>20</v>
      </c>
      <c r="T666" s="132" t="s">
        <v>81</v>
      </c>
    </row>
    <row r="667" spans="1:20" ht="15" x14ac:dyDescent="0.25">
      <c r="A667" s="139" t="s">
        <v>2734</v>
      </c>
      <c r="B667" s="129">
        <v>2026</v>
      </c>
      <c r="C667" s="129" t="s">
        <v>22</v>
      </c>
      <c r="D667" s="129" t="s">
        <v>2735</v>
      </c>
      <c r="E667" s="130" t="s">
        <v>2736</v>
      </c>
      <c r="F667" s="131" t="s">
        <v>69</v>
      </c>
      <c r="G667" s="132" t="s">
        <v>79</v>
      </c>
      <c r="H667" s="129" t="s">
        <v>2737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 t="shared" si="12"/>
        <v>127</v>
      </c>
      <c r="S667" s="129">
        <v>4</v>
      </c>
      <c r="T667" s="132" t="s">
        <v>479</v>
      </c>
    </row>
    <row r="668" spans="1:20" ht="15" x14ac:dyDescent="0.25">
      <c r="A668" s="139" t="s">
        <v>2738</v>
      </c>
      <c r="B668" s="129">
        <v>2026</v>
      </c>
      <c r="C668" s="153" t="s">
        <v>22</v>
      </c>
      <c r="D668" s="129" t="s">
        <v>2739</v>
      </c>
      <c r="E668" s="130" t="s">
        <v>2740</v>
      </c>
      <c r="F668" s="131" t="s">
        <v>69</v>
      </c>
      <c r="G668" s="132" t="s">
        <v>79</v>
      </c>
      <c r="H668" s="133" t="s">
        <v>2741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 t="shared" si="12"/>
        <v>192</v>
      </c>
      <c r="S668" s="129">
        <v>14</v>
      </c>
      <c r="T668" s="132" t="s">
        <v>479</v>
      </c>
    </row>
    <row r="669" spans="1:20" ht="15" x14ac:dyDescent="0.25">
      <c r="A669" s="139" t="s">
        <v>2742</v>
      </c>
      <c r="B669" s="129">
        <v>2026</v>
      </c>
      <c r="C669" s="129" t="s">
        <v>22</v>
      </c>
      <c r="D669" s="175" t="s">
        <v>2743</v>
      </c>
      <c r="E669" s="130" t="s">
        <v>2744</v>
      </c>
      <c r="F669" s="131" t="s">
        <v>69</v>
      </c>
      <c r="G669" s="176" t="s">
        <v>2702</v>
      </c>
      <c r="H669" s="177" t="s">
        <v>2745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2715</v>
      </c>
    </row>
    <row r="670" spans="1:20" ht="15" x14ac:dyDescent="0.25">
      <c r="A670" s="139" t="s">
        <v>2746</v>
      </c>
      <c r="B670" s="129">
        <v>2026</v>
      </c>
      <c r="C670" s="129" t="s">
        <v>22</v>
      </c>
      <c r="D670" s="175" t="s">
        <v>2747</v>
      </c>
      <c r="E670" s="182" t="s">
        <v>2748</v>
      </c>
      <c r="F670" s="131" t="s">
        <v>88</v>
      </c>
      <c r="G670" s="132" t="s">
        <v>2749</v>
      </c>
      <c r="H670" s="177" t="s">
        <v>2750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2122</v>
      </c>
    </row>
    <row r="671" spans="1:20" ht="15" x14ac:dyDescent="0.25">
      <c r="A671" s="139" t="s">
        <v>2751</v>
      </c>
      <c r="B671" s="129">
        <v>2026</v>
      </c>
      <c r="C671" s="129" t="s">
        <v>22</v>
      </c>
      <c r="D671" s="129" t="s">
        <v>2726</v>
      </c>
      <c r="E671" s="130" t="s">
        <v>2752</v>
      </c>
      <c r="F671" s="131" t="s">
        <v>24</v>
      </c>
      <c r="G671" s="146" t="s">
        <v>2728</v>
      </c>
      <c r="H671" s="133" t="s">
        <v>2753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2754</v>
      </c>
    </row>
    <row r="672" spans="1:20" ht="15" x14ac:dyDescent="0.25">
      <c r="A672" s="139" t="s">
        <v>2755</v>
      </c>
      <c r="B672" s="129">
        <v>2026</v>
      </c>
      <c r="C672" s="129" t="s">
        <v>22</v>
      </c>
      <c r="D672" s="175" t="s">
        <v>2756</v>
      </c>
      <c r="E672" s="182" t="s">
        <v>2757</v>
      </c>
      <c r="F672" s="131" t="s">
        <v>24</v>
      </c>
      <c r="G672" s="146" t="s">
        <v>2728</v>
      </c>
      <c r="H672" s="177" t="s">
        <v>2758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2754</v>
      </c>
    </row>
    <row r="673" spans="1:20" ht="15" x14ac:dyDescent="0.25">
      <c r="A673" s="139" t="s">
        <v>2759</v>
      </c>
      <c r="B673" s="129">
        <v>2026</v>
      </c>
      <c r="C673" s="129" t="s">
        <v>22</v>
      </c>
      <c r="D673" s="129" t="s">
        <v>2760</v>
      </c>
      <c r="E673" s="130" t="s">
        <v>2761</v>
      </c>
      <c r="F673" s="131" t="s">
        <v>24</v>
      </c>
      <c r="G673" s="132" t="s">
        <v>206</v>
      </c>
      <c r="H673" s="157" t="s">
        <v>2762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2763</v>
      </c>
    </row>
    <row r="674" spans="1:20" ht="15" x14ac:dyDescent="0.25">
      <c r="A674" s="139" t="s">
        <v>2764</v>
      </c>
      <c r="B674" s="129">
        <v>2026</v>
      </c>
      <c r="C674" s="129" t="s">
        <v>22</v>
      </c>
      <c r="D674" s="129" t="s">
        <v>2765</v>
      </c>
      <c r="E674" s="130" t="s">
        <v>2766</v>
      </c>
      <c r="F674" s="131" t="s">
        <v>88</v>
      </c>
      <c r="G674" s="166" t="s">
        <v>2749</v>
      </c>
      <c r="H674" s="133" t="s">
        <v>2767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2768</v>
      </c>
    </row>
    <row r="675" spans="1:20" ht="15" x14ac:dyDescent="0.25">
      <c r="A675" s="139" t="s">
        <v>2769</v>
      </c>
      <c r="B675" s="129">
        <v>2026</v>
      </c>
      <c r="C675" s="185" t="s">
        <v>22</v>
      </c>
      <c r="D675" s="185" t="s">
        <v>2770</v>
      </c>
      <c r="E675" s="186" t="s">
        <v>2771</v>
      </c>
      <c r="F675" s="187" t="s">
        <v>24</v>
      </c>
      <c r="G675" s="188" t="s">
        <v>371</v>
      </c>
      <c r="H675" s="189" t="s">
        <v>2772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15" x14ac:dyDescent="0.25">
      <c r="A676" s="139" t="s">
        <v>2773</v>
      </c>
      <c r="B676" s="129">
        <v>2026</v>
      </c>
      <c r="C676" s="185" t="s">
        <v>2774</v>
      </c>
      <c r="D676" s="185" t="s">
        <v>2775</v>
      </c>
      <c r="E676" s="186" t="s">
        <v>2776</v>
      </c>
      <c r="F676" s="187" t="s">
        <v>24</v>
      </c>
      <c r="G676" s="188" t="s">
        <v>2728</v>
      </c>
      <c r="H676" s="195" t="s">
        <v>2777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15" x14ac:dyDescent="0.25">
      <c r="A677" s="139" t="s">
        <v>2778</v>
      </c>
      <c r="B677" s="129">
        <v>2026</v>
      </c>
      <c r="C677" s="197" t="s">
        <v>22</v>
      </c>
      <c r="D677" s="197" t="s">
        <v>2779</v>
      </c>
      <c r="E677" s="186" t="s">
        <v>2780</v>
      </c>
      <c r="F677" s="187" t="s">
        <v>24</v>
      </c>
      <c r="G677" s="198" t="s">
        <v>25</v>
      </c>
      <c r="H677" s="199" t="s">
        <v>2781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2782</v>
      </c>
    </row>
    <row r="678" spans="1:20" ht="15" x14ac:dyDescent="0.25">
      <c r="A678" s="139" t="s">
        <v>2783</v>
      </c>
      <c r="B678" s="129">
        <v>2026</v>
      </c>
      <c r="C678" s="197" t="s">
        <v>22</v>
      </c>
      <c r="D678" s="197" t="s">
        <v>2784</v>
      </c>
      <c r="E678" s="186" t="s">
        <v>2785</v>
      </c>
      <c r="F678" s="187" t="s">
        <v>88</v>
      </c>
      <c r="G678" s="198" t="s">
        <v>2749</v>
      </c>
      <c r="H678" s="199" t="s">
        <v>2786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2787</v>
      </c>
    </row>
    <row r="679" spans="1:20" ht="15" x14ac:dyDescent="0.25">
      <c r="A679" s="139" t="s">
        <v>2788</v>
      </c>
      <c r="B679" s="129">
        <v>2026</v>
      </c>
      <c r="C679" s="154" t="s">
        <v>22</v>
      </c>
      <c r="D679" s="154" t="s">
        <v>2765</v>
      </c>
      <c r="E679" s="155" t="s">
        <v>2789</v>
      </c>
      <c r="F679" s="131" t="s">
        <v>88</v>
      </c>
      <c r="G679" s="166" t="s">
        <v>2749</v>
      </c>
      <c r="H679" s="157" t="s">
        <v>2790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2768</v>
      </c>
    </row>
    <row r="680" spans="1:20" ht="15" x14ac:dyDescent="0.25">
      <c r="A680" s="139" t="s">
        <v>2791</v>
      </c>
      <c r="B680" s="129">
        <v>2026</v>
      </c>
      <c r="C680" s="197" t="s">
        <v>22</v>
      </c>
      <c r="D680" s="197" t="s">
        <v>2792</v>
      </c>
      <c r="E680" s="207" t="s">
        <v>2793</v>
      </c>
      <c r="F680" s="187" t="s">
        <v>24</v>
      </c>
      <c r="G680" s="188" t="s">
        <v>2728</v>
      </c>
      <c r="H680" s="199" t="s">
        <v>2794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2754</v>
      </c>
    </row>
    <row r="681" spans="1:20" ht="15" x14ac:dyDescent="0.25">
      <c r="A681" s="139" t="s">
        <v>2795</v>
      </c>
      <c r="B681" s="129">
        <v>2026</v>
      </c>
      <c r="C681" s="197" t="s">
        <v>2774</v>
      </c>
      <c r="D681" s="197" t="s">
        <v>2796</v>
      </c>
      <c r="E681" s="207" t="s">
        <v>2797</v>
      </c>
      <c r="F681" s="187" t="s">
        <v>69</v>
      </c>
      <c r="G681" s="198" t="s">
        <v>2702</v>
      </c>
      <c r="H681" s="199" t="s">
        <v>2777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2704</v>
      </c>
    </row>
    <row r="682" spans="1:20" ht="15" x14ac:dyDescent="0.25">
      <c r="A682" s="139" t="s">
        <v>2798</v>
      </c>
      <c r="B682" s="129">
        <v>2026</v>
      </c>
      <c r="C682" s="170" t="s">
        <v>2799</v>
      </c>
      <c r="D682" s="154" t="s">
        <v>2800</v>
      </c>
      <c r="E682" s="155" t="s">
        <v>2801</v>
      </c>
      <c r="F682" s="131" t="s">
        <v>24</v>
      </c>
      <c r="G682" s="156" t="s">
        <v>2708</v>
      </c>
      <c r="H682" s="157" t="s">
        <v>2802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2710</v>
      </c>
    </row>
    <row r="683" spans="1:20" ht="15" x14ac:dyDescent="0.25">
      <c r="A683" s="139" t="s">
        <v>2803</v>
      </c>
      <c r="B683" s="129">
        <v>2026</v>
      </c>
      <c r="C683" s="197" t="s">
        <v>22</v>
      </c>
      <c r="D683" s="197" t="s">
        <v>2804</v>
      </c>
      <c r="E683" s="207" t="s">
        <v>2676</v>
      </c>
      <c r="F683" s="187" t="s">
        <v>24</v>
      </c>
      <c r="G683" s="188" t="s">
        <v>42</v>
      </c>
      <c r="H683" s="199" t="s">
        <v>2805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15" x14ac:dyDescent="0.25">
      <c r="A684" s="195" t="s">
        <v>2806</v>
      </c>
      <c r="B684" s="154">
        <v>2026</v>
      </c>
      <c r="C684" s="154" t="s">
        <v>22</v>
      </c>
      <c r="D684" s="211" t="s">
        <v>2807</v>
      </c>
      <c r="E684" s="212" t="s">
        <v>2808</v>
      </c>
      <c r="F684" s="213" t="s">
        <v>24</v>
      </c>
      <c r="G684" s="214" t="s">
        <v>42</v>
      </c>
      <c r="H684" s="215" t="s">
        <v>2809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15" x14ac:dyDescent="0.25">
      <c r="A685" s="195" t="s">
        <v>2810</v>
      </c>
      <c r="B685" s="154">
        <v>2026</v>
      </c>
      <c r="C685" s="185" t="s">
        <v>22</v>
      </c>
      <c r="D685" s="185" t="s">
        <v>2811</v>
      </c>
      <c r="E685" s="186" t="s">
        <v>2812</v>
      </c>
      <c r="F685" s="187" t="s">
        <v>88</v>
      </c>
      <c r="G685" s="188" t="s">
        <v>2749</v>
      </c>
      <c r="H685" s="195" t="s">
        <v>2813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15" x14ac:dyDescent="0.25">
      <c r="A686" s="195" t="s">
        <v>2814</v>
      </c>
      <c r="B686" s="154">
        <v>2026</v>
      </c>
      <c r="C686" s="185" t="s">
        <v>2799</v>
      </c>
      <c r="D686" s="185" t="s">
        <v>2815</v>
      </c>
      <c r="E686" s="186" t="s">
        <v>2816</v>
      </c>
      <c r="F686" s="187" t="s">
        <v>24</v>
      </c>
      <c r="G686" s="188" t="s">
        <v>75</v>
      </c>
      <c r="H686" s="195" t="s">
        <v>2817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2818</v>
      </c>
    </row>
    <row r="687" spans="1:20" ht="15" x14ac:dyDescent="0.25">
      <c r="A687" s="195" t="s">
        <v>2819</v>
      </c>
      <c r="B687" s="154">
        <v>2026</v>
      </c>
      <c r="C687" s="166" t="s">
        <v>22</v>
      </c>
      <c r="D687" s="129" t="s">
        <v>2820</v>
      </c>
      <c r="E687" s="130" t="s">
        <v>2821</v>
      </c>
      <c r="F687" s="131" t="s">
        <v>24</v>
      </c>
      <c r="G687" s="132" t="s">
        <v>25</v>
      </c>
      <c r="H687" s="177" t="s">
        <v>2822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2823</v>
      </c>
    </row>
    <row r="688" spans="1:20" ht="15" x14ac:dyDescent="0.25">
      <c r="A688" s="195" t="s">
        <v>2824</v>
      </c>
      <c r="B688" s="154">
        <v>2026</v>
      </c>
      <c r="C688" s="129" t="s">
        <v>22</v>
      </c>
      <c r="D688" s="175" t="s">
        <v>2825</v>
      </c>
      <c r="E688" s="182" t="s">
        <v>2826</v>
      </c>
      <c r="F688" s="131" t="s">
        <v>69</v>
      </c>
      <c r="G688" s="176" t="s">
        <v>2702</v>
      </c>
      <c r="H688" s="177" t="s">
        <v>2827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2704</v>
      </c>
    </row>
    <row r="689" spans="1:20" ht="30" x14ac:dyDescent="0.25">
      <c r="A689" s="195" t="s">
        <v>2828</v>
      </c>
      <c r="B689" s="154">
        <v>2026</v>
      </c>
      <c r="C689" s="129" t="s">
        <v>22</v>
      </c>
      <c r="D689" s="175" t="s">
        <v>2825</v>
      </c>
      <c r="E689" s="221" t="s">
        <v>2829</v>
      </c>
      <c r="F689" s="131" t="s">
        <v>69</v>
      </c>
      <c r="G689" s="176" t="s">
        <v>2702</v>
      </c>
      <c r="H689" s="177" t="s">
        <v>2830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2704</v>
      </c>
    </row>
    <row r="690" spans="1:20" ht="15" x14ac:dyDescent="0.25">
      <c r="A690" s="195" t="s">
        <v>2831</v>
      </c>
      <c r="B690" s="154">
        <v>2026</v>
      </c>
      <c r="C690" s="185" t="s">
        <v>22</v>
      </c>
      <c r="D690" s="185" t="s">
        <v>2832</v>
      </c>
      <c r="E690" s="186" t="s">
        <v>2833</v>
      </c>
      <c r="F690" s="187" t="s">
        <v>24</v>
      </c>
      <c r="G690" s="188" t="s">
        <v>25</v>
      </c>
      <c r="H690" s="195" t="s">
        <v>2834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2835</v>
      </c>
    </row>
    <row r="691" spans="1:20" ht="15" x14ac:dyDescent="0.25">
      <c r="A691" s="195" t="s">
        <v>2836</v>
      </c>
      <c r="B691" s="154">
        <v>2026</v>
      </c>
      <c r="C691" s="129" t="s">
        <v>22</v>
      </c>
      <c r="D691" s="175" t="s">
        <v>2837</v>
      </c>
      <c r="E691" s="164" t="s">
        <v>2838</v>
      </c>
      <c r="F691" s="131" t="s">
        <v>69</v>
      </c>
      <c r="G691" s="176" t="s">
        <v>2702</v>
      </c>
      <c r="H691" s="177" t="s">
        <v>2839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15" x14ac:dyDescent="0.25">
      <c r="A692" s="195" t="s">
        <v>2840</v>
      </c>
      <c r="B692" s="154">
        <v>2026</v>
      </c>
      <c r="C692" s="185" t="s">
        <v>22</v>
      </c>
      <c r="D692" s="185" t="s">
        <v>2792</v>
      </c>
      <c r="E692" s="186" t="s">
        <v>2841</v>
      </c>
      <c r="F692" s="187" t="s">
        <v>24</v>
      </c>
      <c r="G692" s="188" t="s">
        <v>2728</v>
      </c>
      <c r="H692" s="195" t="s">
        <v>2842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2754</v>
      </c>
    </row>
    <row r="693" spans="1:20" ht="15" x14ac:dyDescent="0.25">
      <c r="A693" s="195" t="s">
        <v>2843</v>
      </c>
      <c r="B693" s="154">
        <v>2026</v>
      </c>
      <c r="C693" s="185" t="s">
        <v>22</v>
      </c>
      <c r="D693" s="185" t="s">
        <v>2844</v>
      </c>
      <c r="E693" s="186" t="s">
        <v>2845</v>
      </c>
      <c r="F693" s="187" t="s">
        <v>69</v>
      </c>
      <c r="G693" s="188" t="s">
        <v>79</v>
      </c>
      <c r="H693" s="195" t="s">
        <v>2846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2754</v>
      </c>
    </row>
    <row r="694" spans="1:20" ht="15" x14ac:dyDescent="0.25">
      <c r="A694" s="195" t="s">
        <v>2847</v>
      </c>
      <c r="B694" s="154">
        <v>2026</v>
      </c>
      <c r="C694" s="185" t="s">
        <v>2774</v>
      </c>
      <c r="D694" s="185" t="s">
        <v>2848</v>
      </c>
      <c r="E694" s="186" t="s">
        <v>2849</v>
      </c>
      <c r="F694" s="187" t="s">
        <v>24</v>
      </c>
      <c r="G694" s="188" t="s">
        <v>25</v>
      </c>
      <c r="H694" s="195" t="s">
        <v>2777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15" x14ac:dyDescent="0.25">
      <c r="A695" s="195" t="s">
        <v>2850</v>
      </c>
      <c r="B695" s="154">
        <v>2026</v>
      </c>
      <c r="C695" s="185" t="s">
        <v>22</v>
      </c>
      <c r="D695" s="185" t="s">
        <v>2851</v>
      </c>
      <c r="E695" s="186" t="s">
        <v>2852</v>
      </c>
      <c r="F695" s="187" t="s">
        <v>88</v>
      </c>
      <c r="G695" s="188" t="s">
        <v>2749</v>
      </c>
      <c r="H695" s="195" t="s">
        <v>2853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2452</v>
      </c>
    </row>
    <row r="696" spans="1:20" ht="15" x14ac:dyDescent="0.25">
      <c r="A696" s="195" t="s">
        <v>2854</v>
      </c>
      <c r="B696" s="154">
        <v>2026</v>
      </c>
      <c r="C696" s="166" t="s">
        <v>22</v>
      </c>
      <c r="D696" s="129" t="s">
        <v>2800</v>
      </c>
      <c r="E696" s="130" t="s">
        <v>2855</v>
      </c>
      <c r="F696" s="131" t="s">
        <v>24</v>
      </c>
      <c r="G696" s="132" t="s">
        <v>2708</v>
      </c>
      <c r="H696" s="133" t="s">
        <v>2856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2710</v>
      </c>
    </row>
    <row r="697" spans="1:20" ht="15" x14ac:dyDescent="0.25">
      <c r="A697" s="195" t="s">
        <v>2857</v>
      </c>
      <c r="B697" s="154">
        <v>2026</v>
      </c>
      <c r="C697" s="185" t="s">
        <v>2566</v>
      </c>
      <c r="D697" s="185" t="s">
        <v>2858</v>
      </c>
      <c r="E697" s="186" t="s">
        <v>2859</v>
      </c>
      <c r="F697" s="187" t="s">
        <v>24</v>
      </c>
      <c r="G697" s="188" t="s">
        <v>75</v>
      </c>
      <c r="H697" s="195" t="s">
        <v>2860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 t="shared" ref="R697:R713" si="13">IF(B697="","",SUM(O697:Q697))</f>
        <v>0</v>
      </c>
      <c r="S697" s="185">
        <v>24</v>
      </c>
      <c r="T697" s="188" t="s">
        <v>2823</v>
      </c>
    </row>
    <row r="698" spans="1:20" ht="15" x14ac:dyDescent="0.25">
      <c r="A698" s="195" t="s">
        <v>2861</v>
      </c>
      <c r="B698" s="154">
        <v>2026</v>
      </c>
      <c r="C698" s="185" t="s">
        <v>22</v>
      </c>
      <c r="D698" s="185" t="s">
        <v>2862</v>
      </c>
      <c r="E698" s="186" t="s">
        <v>2863</v>
      </c>
      <c r="F698" s="187" t="s">
        <v>88</v>
      </c>
      <c r="G698" s="188" t="s">
        <v>2749</v>
      </c>
      <c r="H698" s="195" t="s">
        <v>2864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 t="shared" si="13"/>
        <v>48</v>
      </c>
      <c r="S698" s="185">
        <v>20</v>
      </c>
      <c r="T698" s="188" t="s">
        <v>425</v>
      </c>
    </row>
    <row r="699" spans="1:20" ht="15" x14ac:dyDescent="0.25">
      <c r="A699" s="195" t="s">
        <v>2865</v>
      </c>
      <c r="B699" s="154">
        <v>2026</v>
      </c>
      <c r="C699" s="185" t="s">
        <v>22</v>
      </c>
      <c r="D699" s="185" t="s">
        <v>2866</v>
      </c>
      <c r="E699" s="186" t="s">
        <v>2867</v>
      </c>
      <c r="F699" s="187" t="s">
        <v>69</v>
      </c>
      <c r="G699" s="188" t="s">
        <v>79</v>
      </c>
      <c r="H699" s="195" t="s">
        <v>2868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 t="shared" si="13"/>
        <v>220</v>
      </c>
      <c r="S699" s="185">
        <v>4</v>
      </c>
      <c r="T699" s="188" t="s">
        <v>479</v>
      </c>
    </row>
    <row r="700" spans="1:20" ht="15" x14ac:dyDescent="0.25">
      <c r="A700" s="195" t="s">
        <v>2869</v>
      </c>
      <c r="B700" s="154">
        <v>2026</v>
      </c>
      <c r="C700" s="185" t="s">
        <v>2774</v>
      </c>
      <c r="D700" s="185" t="s">
        <v>2870</v>
      </c>
      <c r="E700" s="186" t="s">
        <v>2871</v>
      </c>
      <c r="F700" s="187" t="s">
        <v>69</v>
      </c>
      <c r="G700" s="188" t="s">
        <v>79</v>
      </c>
      <c r="H700" s="195" t="s">
        <v>2872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 t="shared" si="13"/>
        <v>0</v>
      </c>
      <c r="S700" s="185">
        <v>8</v>
      </c>
      <c r="T700" s="188" t="s">
        <v>2873</v>
      </c>
    </row>
    <row r="701" spans="1:20" ht="15" x14ac:dyDescent="0.25">
      <c r="A701" s="195" t="s">
        <v>2874</v>
      </c>
      <c r="B701" s="154">
        <v>2026</v>
      </c>
      <c r="C701" s="185" t="s">
        <v>2799</v>
      </c>
      <c r="D701" s="129" t="s">
        <v>2800</v>
      </c>
      <c r="E701" s="130" t="s">
        <v>2855</v>
      </c>
      <c r="F701" s="187" t="s">
        <v>24</v>
      </c>
      <c r="G701" s="188" t="s">
        <v>2708</v>
      </c>
      <c r="H701" s="195" t="s">
        <v>2875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 t="shared" si="13"/>
        <v>0</v>
      </c>
      <c r="S701" s="185">
        <v>15</v>
      </c>
      <c r="T701" s="188" t="s">
        <v>2710</v>
      </c>
    </row>
    <row r="702" spans="1:20" ht="15" x14ac:dyDescent="0.25">
      <c r="A702" s="195" t="s">
        <v>2876</v>
      </c>
      <c r="B702" s="154">
        <v>2026</v>
      </c>
      <c r="C702" s="185" t="s">
        <v>2774</v>
      </c>
      <c r="D702" s="185" t="s">
        <v>2877</v>
      </c>
      <c r="E702" s="186" t="s">
        <v>2878</v>
      </c>
      <c r="F702" s="187" t="s">
        <v>69</v>
      </c>
      <c r="G702" s="188" t="s">
        <v>79</v>
      </c>
      <c r="H702" s="195" t="s">
        <v>2879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 t="shared" si="13"/>
        <v>0</v>
      </c>
      <c r="S702" s="185">
        <v>8</v>
      </c>
      <c r="T702" s="209" t="s">
        <v>2880</v>
      </c>
    </row>
    <row r="703" spans="1:20" ht="15" x14ac:dyDescent="0.25">
      <c r="A703" s="195" t="s">
        <v>2881</v>
      </c>
      <c r="B703" s="154">
        <v>2026</v>
      </c>
      <c r="C703" s="185" t="s">
        <v>2774</v>
      </c>
      <c r="D703" s="185" t="s">
        <v>2882</v>
      </c>
      <c r="E703" s="186" t="s">
        <v>2883</v>
      </c>
      <c r="F703" s="187" t="s">
        <v>69</v>
      </c>
      <c r="G703" s="188" t="s">
        <v>79</v>
      </c>
      <c r="H703" s="195" t="s">
        <v>2884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 t="shared" si="13"/>
        <v>0</v>
      </c>
      <c r="S703" s="185">
        <v>4</v>
      </c>
      <c r="T703" s="188" t="s">
        <v>2452</v>
      </c>
    </row>
    <row r="704" spans="1:20" ht="15" x14ac:dyDescent="0.25">
      <c r="A704" s="195" t="s">
        <v>2885</v>
      </c>
      <c r="B704" s="154">
        <v>2026</v>
      </c>
      <c r="C704" s="185" t="s">
        <v>2774</v>
      </c>
      <c r="D704" s="185" t="s">
        <v>2886</v>
      </c>
      <c r="E704" s="186" t="s">
        <v>2887</v>
      </c>
      <c r="F704" s="187" t="s">
        <v>69</v>
      </c>
      <c r="G704" s="188" t="s">
        <v>79</v>
      </c>
      <c r="H704" s="195" t="s">
        <v>2884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 t="shared" si="13"/>
        <v>0</v>
      </c>
      <c r="S704" s="185">
        <v>4</v>
      </c>
      <c r="T704" s="188" t="s">
        <v>2888</v>
      </c>
    </row>
    <row r="705" spans="1:21" ht="15" x14ac:dyDescent="0.25">
      <c r="A705" s="195" t="s">
        <v>2889</v>
      </c>
      <c r="B705" s="154">
        <v>2026</v>
      </c>
      <c r="C705" s="185" t="s">
        <v>2774</v>
      </c>
      <c r="D705" s="185" t="s">
        <v>2890</v>
      </c>
      <c r="E705" s="186" t="s">
        <v>2891</v>
      </c>
      <c r="F705" s="187" t="s">
        <v>69</v>
      </c>
      <c r="G705" s="188" t="s">
        <v>79</v>
      </c>
      <c r="H705" s="195" t="s">
        <v>2892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 t="shared" si="13"/>
        <v>0</v>
      </c>
      <c r="S705" s="185">
        <v>4</v>
      </c>
      <c r="T705" s="188" t="s">
        <v>2462</v>
      </c>
    </row>
    <row r="706" spans="1:21" ht="15" x14ac:dyDescent="0.25">
      <c r="A706" s="195" t="s">
        <v>2893</v>
      </c>
      <c r="B706" s="154">
        <v>2026</v>
      </c>
      <c r="C706" s="185" t="s">
        <v>2774</v>
      </c>
      <c r="D706" s="185" t="s">
        <v>2894</v>
      </c>
      <c r="E706" s="186" t="s">
        <v>2895</v>
      </c>
      <c r="F706" s="187" t="s">
        <v>69</v>
      </c>
      <c r="G706" s="188" t="s">
        <v>79</v>
      </c>
      <c r="H706" s="195" t="s">
        <v>2896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 t="shared" si="13"/>
        <v>0</v>
      </c>
      <c r="S706" s="185">
        <v>4</v>
      </c>
      <c r="T706" s="188" t="s">
        <v>1958</v>
      </c>
    </row>
    <row r="707" spans="1:21" ht="15" x14ac:dyDescent="0.25">
      <c r="A707" s="195" t="s">
        <v>2897</v>
      </c>
      <c r="B707" s="154">
        <v>2026</v>
      </c>
      <c r="C707" s="185" t="s">
        <v>2774</v>
      </c>
      <c r="D707" s="185" t="s">
        <v>2898</v>
      </c>
      <c r="E707" s="186" t="s">
        <v>2899</v>
      </c>
      <c r="F707" s="187" t="s">
        <v>69</v>
      </c>
      <c r="G707" s="188" t="s">
        <v>79</v>
      </c>
      <c r="H707" s="195" t="s">
        <v>2896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 t="shared" si="13"/>
        <v>0</v>
      </c>
      <c r="S707" s="185">
        <v>4</v>
      </c>
      <c r="T707" s="188" t="s">
        <v>2900</v>
      </c>
    </row>
    <row r="708" spans="1:21" ht="15" x14ac:dyDescent="0.25">
      <c r="A708" s="195" t="s">
        <v>2901</v>
      </c>
      <c r="B708" s="154">
        <v>2026</v>
      </c>
      <c r="C708" s="185" t="s">
        <v>2774</v>
      </c>
      <c r="D708" s="185" t="s">
        <v>2902</v>
      </c>
      <c r="E708" s="186" t="s">
        <v>2903</v>
      </c>
      <c r="F708" s="187" t="s">
        <v>69</v>
      </c>
      <c r="G708" s="188" t="s">
        <v>79</v>
      </c>
      <c r="H708" s="195" t="s">
        <v>2904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 t="shared" si="13"/>
        <v>0</v>
      </c>
      <c r="S708" s="185">
        <v>4</v>
      </c>
      <c r="T708" s="188" t="s">
        <v>2905</v>
      </c>
    </row>
    <row r="709" spans="1:21" ht="15" x14ac:dyDescent="0.25">
      <c r="A709" s="195" t="s">
        <v>2906</v>
      </c>
      <c r="B709" s="154">
        <v>2026</v>
      </c>
      <c r="C709" s="185" t="s">
        <v>2774</v>
      </c>
      <c r="D709" s="185" t="s">
        <v>2907</v>
      </c>
      <c r="E709" s="186" t="s">
        <v>2908</v>
      </c>
      <c r="F709" s="187" t="s">
        <v>69</v>
      </c>
      <c r="G709" s="188" t="s">
        <v>79</v>
      </c>
      <c r="H709" s="195" t="s">
        <v>2904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 t="shared" si="13"/>
        <v>0</v>
      </c>
      <c r="S709" s="185">
        <v>4</v>
      </c>
      <c r="T709" s="188" t="s">
        <v>2909</v>
      </c>
      <c r="U709" s="108"/>
    </row>
    <row r="710" spans="1:21" ht="15" x14ac:dyDescent="0.25">
      <c r="A710" s="195" t="s">
        <v>2910</v>
      </c>
      <c r="B710" s="154">
        <v>2026</v>
      </c>
      <c r="C710" s="185" t="s">
        <v>2774</v>
      </c>
      <c r="D710" s="185" t="s">
        <v>2911</v>
      </c>
      <c r="E710" s="186" t="s">
        <v>2912</v>
      </c>
      <c r="F710" s="187" t="s">
        <v>24</v>
      </c>
      <c r="G710" s="188" t="s">
        <v>206</v>
      </c>
      <c r="H710" s="195" t="s">
        <v>2913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 t="shared" si="13"/>
        <v>0</v>
      </c>
      <c r="S710" s="185">
        <v>2</v>
      </c>
      <c r="T710" s="209" t="s">
        <v>2914</v>
      </c>
    </row>
    <row r="711" spans="1:21" ht="15" x14ac:dyDescent="0.25">
      <c r="A711" s="195" t="s">
        <v>2915</v>
      </c>
      <c r="B711" s="154">
        <v>2026</v>
      </c>
      <c r="C711" s="185" t="s">
        <v>2774</v>
      </c>
      <c r="D711" s="185" t="s">
        <v>2765</v>
      </c>
      <c r="E711" s="186" t="s">
        <v>2916</v>
      </c>
      <c r="F711" s="187" t="s">
        <v>88</v>
      </c>
      <c r="G711" s="188" t="s">
        <v>2749</v>
      </c>
      <c r="H711" s="195" t="s">
        <v>2917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 t="shared" si="13"/>
        <v>0</v>
      </c>
      <c r="S711" s="185">
        <v>4</v>
      </c>
      <c r="T711" s="209"/>
    </row>
    <row r="712" spans="1:21" ht="15" x14ac:dyDescent="0.25">
      <c r="A712" s="195" t="s">
        <v>2918</v>
      </c>
      <c r="B712" s="154">
        <v>2026</v>
      </c>
      <c r="C712" s="185" t="s">
        <v>2774</v>
      </c>
      <c r="D712" s="185" t="s">
        <v>2765</v>
      </c>
      <c r="E712" s="186" t="s">
        <v>2916</v>
      </c>
      <c r="F712" s="187" t="s">
        <v>88</v>
      </c>
      <c r="G712" s="188" t="s">
        <v>2749</v>
      </c>
      <c r="H712" s="195" t="s">
        <v>2919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 t="shared" si="13"/>
        <v>0</v>
      </c>
      <c r="S712" s="185">
        <v>4</v>
      </c>
      <c r="T712" s="209" t="s">
        <v>2920</v>
      </c>
    </row>
    <row r="713" spans="1:21" ht="15" x14ac:dyDescent="0.25">
      <c r="A713" s="195" t="s">
        <v>2921</v>
      </c>
      <c r="B713" s="154">
        <v>2026</v>
      </c>
      <c r="C713" s="185" t="s">
        <v>2774</v>
      </c>
      <c r="D713" s="185" t="s">
        <v>2922</v>
      </c>
      <c r="E713" s="186" t="s">
        <v>2923</v>
      </c>
      <c r="F713" s="187" t="s">
        <v>69</v>
      </c>
      <c r="G713" s="188" t="s">
        <v>79</v>
      </c>
      <c r="H713" s="222" t="s">
        <v>2924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 t="shared" si="13"/>
        <v>0</v>
      </c>
      <c r="S713" s="185">
        <v>20</v>
      </c>
      <c r="T713" s="188" t="s">
        <v>2925</v>
      </c>
    </row>
    <row r="714" spans="1:21" ht="30" x14ac:dyDescent="0.25">
      <c r="A714" s="195" t="s">
        <v>2926</v>
      </c>
      <c r="B714" s="154">
        <v>2026</v>
      </c>
      <c r="C714" s="166" t="s">
        <v>2774</v>
      </c>
      <c r="D714" s="129" t="s">
        <v>2927</v>
      </c>
      <c r="E714" s="164" t="s">
        <v>2928</v>
      </c>
      <c r="F714" s="131" t="s">
        <v>88</v>
      </c>
      <c r="G714" s="132" t="s">
        <v>2749</v>
      </c>
      <c r="H714" s="133" t="s">
        <v>2929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2930</v>
      </c>
    </row>
    <row r="715" spans="1:21" ht="15" x14ac:dyDescent="0.25">
      <c r="A715" s="195" t="s">
        <v>2931</v>
      </c>
      <c r="B715" s="154">
        <v>2026</v>
      </c>
      <c r="C715" s="185" t="s">
        <v>2774</v>
      </c>
      <c r="D715" s="185" t="s">
        <v>2765</v>
      </c>
      <c r="E715" s="186" t="s">
        <v>2916</v>
      </c>
      <c r="F715" s="187" t="s">
        <v>88</v>
      </c>
      <c r="G715" s="188" t="s">
        <v>2749</v>
      </c>
      <c r="H715" s="195" t="s">
        <v>2932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 t="s">
        <v>2920</v>
      </c>
    </row>
    <row r="716" spans="1:21" ht="15" x14ac:dyDescent="0.25">
      <c r="A716" s="195" t="s">
        <v>2933</v>
      </c>
      <c r="B716" s="154">
        <v>2026</v>
      </c>
      <c r="C716" s="185" t="s">
        <v>2774</v>
      </c>
      <c r="D716" s="185" t="s">
        <v>2765</v>
      </c>
      <c r="E716" s="186" t="s">
        <v>2916</v>
      </c>
      <c r="F716" s="187" t="s">
        <v>88</v>
      </c>
      <c r="G716" s="188" t="s">
        <v>2749</v>
      </c>
      <c r="H716" s="195" t="s">
        <v>2934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 t="s">
        <v>2920</v>
      </c>
    </row>
    <row r="717" spans="1:21" ht="15" x14ac:dyDescent="0.25">
      <c r="A717" s="195" t="s">
        <v>2935</v>
      </c>
      <c r="B717" s="154">
        <v>2026</v>
      </c>
      <c r="C717" s="185" t="s">
        <v>2774</v>
      </c>
      <c r="D717" s="185" t="s">
        <v>2765</v>
      </c>
      <c r="E717" s="186" t="s">
        <v>2916</v>
      </c>
      <c r="F717" s="187" t="s">
        <v>88</v>
      </c>
      <c r="G717" s="188" t="s">
        <v>2749</v>
      </c>
      <c r="H717" s="195" t="s">
        <v>2936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 t="s">
        <v>2920</v>
      </c>
    </row>
    <row r="718" spans="1:21" ht="15" x14ac:dyDescent="0.25">
      <c r="A718" s="195" t="s">
        <v>2937</v>
      </c>
      <c r="B718" s="154">
        <v>2026</v>
      </c>
      <c r="C718" s="185" t="s">
        <v>2774</v>
      </c>
      <c r="D718" s="185" t="s">
        <v>2765</v>
      </c>
      <c r="E718" s="186" t="s">
        <v>2916</v>
      </c>
      <c r="F718" s="187" t="s">
        <v>88</v>
      </c>
      <c r="G718" s="188" t="s">
        <v>2749</v>
      </c>
      <c r="H718" s="195" t="s">
        <v>2938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 t="s">
        <v>2920</v>
      </c>
    </row>
    <row r="719" spans="1:21" ht="15" x14ac:dyDescent="0.25">
      <c r="A719" s="195" t="s">
        <v>2939</v>
      </c>
      <c r="B719" s="154">
        <v>2026</v>
      </c>
      <c r="C719" s="185" t="s">
        <v>2774</v>
      </c>
      <c r="D719" s="185" t="s">
        <v>2940</v>
      </c>
      <c r="E719" s="186" t="s">
        <v>2941</v>
      </c>
      <c r="F719" s="187" t="s">
        <v>69</v>
      </c>
      <c r="G719" s="188" t="s">
        <v>79</v>
      </c>
      <c r="H719" s="195" t="s">
        <v>2942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15" x14ac:dyDescent="0.25">
      <c r="A720" s="195" t="s">
        <v>2943</v>
      </c>
      <c r="B720" s="154">
        <v>2026</v>
      </c>
      <c r="C720" s="129" t="s">
        <v>2774</v>
      </c>
      <c r="D720" s="175" t="s">
        <v>2944</v>
      </c>
      <c r="E720" s="182" t="s">
        <v>2945</v>
      </c>
      <c r="F720" s="131" t="s">
        <v>69</v>
      </c>
      <c r="G720" s="132" t="s">
        <v>79</v>
      </c>
      <c r="H720" s="177" t="s">
        <v>2946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15" x14ac:dyDescent="0.25">
      <c r="A721" s="195" t="s">
        <v>2947</v>
      </c>
      <c r="B721" s="154">
        <v>2026</v>
      </c>
      <c r="C721" s="197" t="s">
        <v>2774</v>
      </c>
      <c r="D721" s="197" t="s">
        <v>2948</v>
      </c>
      <c r="E721" s="207" t="s">
        <v>2949</v>
      </c>
      <c r="F721" s="224" t="s">
        <v>24</v>
      </c>
      <c r="G721" s="198" t="s">
        <v>75</v>
      </c>
      <c r="H721" s="199" t="s">
        <v>2950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 t="shared" ref="R721:R749" si="14">IF(B721="","",SUM(O721:Q721))</f>
        <v>0</v>
      </c>
      <c r="S721" s="197">
        <v>10</v>
      </c>
      <c r="T721" s="198" t="s">
        <v>2951</v>
      </c>
    </row>
    <row r="722" spans="1:20" ht="15" x14ac:dyDescent="0.25">
      <c r="A722" s="195" t="s">
        <v>2952</v>
      </c>
      <c r="B722" s="129">
        <v>2026</v>
      </c>
      <c r="C722" s="185" t="s">
        <v>2774</v>
      </c>
      <c r="D722" s="185" t="s">
        <v>2953</v>
      </c>
      <c r="E722" s="186" t="s">
        <v>2954</v>
      </c>
      <c r="F722" s="187" t="s">
        <v>69</v>
      </c>
      <c r="G722" s="188" t="s">
        <v>79</v>
      </c>
      <c r="H722" s="195" t="s">
        <v>2777</v>
      </c>
      <c r="I722" s="196" t="s">
        <v>2955</v>
      </c>
      <c r="J722" s="196" t="s">
        <v>2956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 t="shared" si="14"/>
        <v>0</v>
      </c>
      <c r="S722" s="185">
        <v>17.45</v>
      </c>
      <c r="T722" s="188" t="s">
        <v>2957</v>
      </c>
    </row>
    <row r="723" spans="1:20" ht="15" x14ac:dyDescent="0.25">
      <c r="A723" s="195" t="s">
        <v>2958</v>
      </c>
      <c r="B723" s="154">
        <v>2026</v>
      </c>
      <c r="C723" s="185" t="s">
        <v>2774</v>
      </c>
      <c r="D723" s="185" t="s">
        <v>2959</v>
      </c>
      <c r="E723" s="186" t="s">
        <v>2960</v>
      </c>
      <c r="F723" s="187" t="s">
        <v>24</v>
      </c>
      <c r="G723" s="188" t="s">
        <v>206</v>
      </c>
      <c r="H723" s="195" t="s">
        <v>2884</v>
      </c>
      <c r="I723" s="195" t="s">
        <v>2884</v>
      </c>
      <c r="J723" s="195" t="s">
        <v>2884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 t="shared" si="14"/>
        <v>0</v>
      </c>
      <c r="S723" s="185">
        <v>1</v>
      </c>
      <c r="T723" s="188" t="s">
        <v>2961</v>
      </c>
    </row>
    <row r="724" spans="1:20" ht="15" x14ac:dyDescent="0.25">
      <c r="A724" s="195" t="s">
        <v>2962</v>
      </c>
      <c r="B724" s="153">
        <v>2026</v>
      </c>
      <c r="C724" s="185" t="s">
        <v>2774</v>
      </c>
      <c r="D724" s="185" t="s">
        <v>2963</v>
      </c>
      <c r="E724" s="186" t="s">
        <v>2964</v>
      </c>
      <c r="F724" s="187" t="s">
        <v>69</v>
      </c>
      <c r="G724" s="188" t="s">
        <v>79</v>
      </c>
      <c r="H724" s="195" t="s">
        <v>2913</v>
      </c>
      <c r="I724" s="196" t="s">
        <v>2913</v>
      </c>
      <c r="J724" s="196" t="s">
        <v>2913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 t="shared" si="14"/>
        <v>0</v>
      </c>
      <c r="S724" s="185">
        <v>4</v>
      </c>
      <c r="T724" s="188" t="s">
        <v>2965</v>
      </c>
    </row>
    <row r="725" spans="1:20" ht="15" x14ac:dyDescent="0.25">
      <c r="A725" s="195" t="s">
        <v>2966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 t="shared" si="14"/>
        <v>0</v>
      </c>
      <c r="S725" s="185"/>
      <c r="T725" s="188"/>
    </row>
    <row r="726" spans="1:20" ht="15" x14ac:dyDescent="0.25">
      <c r="A726" s="195" t="s">
        <v>2967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 t="shared" si="14"/>
        <v>0</v>
      </c>
      <c r="S726" s="185"/>
      <c r="T726" s="188"/>
    </row>
    <row r="727" spans="1:20" ht="15" x14ac:dyDescent="0.25">
      <c r="A727" s="195" t="s">
        <v>2968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 t="shared" si="14"/>
        <v>0</v>
      </c>
      <c r="S727" s="185"/>
      <c r="T727" s="188"/>
    </row>
    <row r="728" spans="1:20" ht="15" x14ac:dyDescent="0.25">
      <c r="A728" s="195" t="s">
        <v>2969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 t="shared" si="14"/>
        <v>0</v>
      </c>
      <c r="S728" s="185"/>
      <c r="T728" s="188"/>
    </row>
    <row r="729" spans="1:20" ht="15" x14ac:dyDescent="0.25">
      <c r="A729" s="195" t="s">
        <v>2970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 t="shared" si="14"/>
        <v>0</v>
      </c>
      <c r="S729" s="185"/>
      <c r="T729" s="188"/>
    </row>
    <row r="730" spans="1:20" ht="15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si="14"/>
        <v/>
      </c>
      <c r="S730" s="185"/>
      <c r="T730" s="188"/>
    </row>
    <row r="731" spans="1:20" ht="15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4"/>
        <v/>
      </c>
      <c r="S731" s="185"/>
      <c r="T731" s="188"/>
    </row>
    <row r="732" spans="1:20" ht="15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4"/>
        <v/>
      </c>
      <c r="S732" s="185"/>
      <c r="T732" s="188"/>
    </row>
    <row r="733" spans="1:20" ht="15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4"/>
        <v/>
      </c>
      <c r="S733" s="185"/>
      <c r="T733" s="188"/>
    </row>
    <row r="734" spans="1:20" ht="15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4"/>
        <v/>
      </c>
      <c r="S734" s="185"/>
      <c r="T734" s="188"/>
    </row>
    <row r="735" spans="1:20" ht="15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4"/>
        <v/>
      </c>
      <c r="S735" s="185"/>
      <c r="T735" s="188"/>
    </row>
    <row r="736" spans="1:20" ht="15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4"/>
        <v/>
      </c>
      <c r="S736" s="185"/>
      <c r="T736" s="188"/>
    </row>
    <row r="737" spans="1:20" ht="15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4"/>
        <v/>
      </c>
      <c r="S737" s="185"/>
      <c r="T737" s="188"/>
    </row>
    <row r="738" spans="1:20" ht="15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4"/>
        <v/>
      </c>
      <c r="S738" s="185"/>
      <c r="T738" s="188"/>
    </row>
    <row r="739" spans="1:20" ht="15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4"/>
        <v/>
      </c>
      <c r="S739" s="185"/>
      <c r="T739" s="188"/>
    </row>
    <row r="740" spans="1:20" ht="15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4"/>
        <v/>
      </c>
      <c r="S740" s="185"/>
      <c r="T740" s="188"/>
    </row>
    <row r="741" spans="1:20" ht="15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4"/>
        <v/>
      </c>
      <c r="S741" s="185"/>
      <c r="T741" s="188"/>
    </row>
    <row r="742" spans="1:20" ht="15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4"/>
        <v/>
      </c>
      <c r="S742" s="185"/>
      <c r="T742" s="188"/>
    </row>
    <row r="743" spans="1:20" ht="15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4"/>
        <v/>
      </c>
      <c r="S743" s="185"/>
      <c r="T743" s="188"/>
    </row>
    <row r="744" spans="1:20" ht="15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4"/>
        <v/>
      </c>
      <c r="S744" s="185"/>
      <c r="T744" s="188"/>
    </row>
    <row r="745" spans="1:20" ht="15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4"/>
        <v/>
      </c>
      <c r="S745" s="185"/>
      <c r="T745" s="188"/>
    </row>
    <row r="746" spans="1:20" ht="15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4"/>
        <v/>
      </c>
      <c r="S746" s="185"/>
      <c r="T746" s="188"/>
    </row>
    <row r="747" spans="1:20" ht="15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4"/>
        <v/>
      </c>
      <c r="S747" s="185"/>
      <c r="T747" s="188"/>
    </row>
    <row r="748" spans="1:20" ht="15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4"/>
        <v/>
      </c>
      <c r="S748" s="185"/>
      <c r="T748" s="188"/>
    </row>
    <row r="749" spans="1:20" ht="15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4"/>
        <v/>
      </c>
      <c r="S749" s="185"/>
      <c r="T749" s="188"/>
    </row>
    <row r="750" spans="1:20" ht="15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15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15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15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15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15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15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15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15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15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15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15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15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15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15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15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15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15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15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15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15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15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15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15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15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15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15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15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15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15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15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15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15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15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15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15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15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15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15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15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15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15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15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15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15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15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15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15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15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15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15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15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15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15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15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15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15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15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15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15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15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15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15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15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15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15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15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15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15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15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15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15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15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15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15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15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15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15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15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15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15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15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15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15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15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15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15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15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15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15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15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15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15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15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15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15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15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15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15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15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15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15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15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15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15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15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15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15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15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15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15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15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15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15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15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15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15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15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15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15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15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15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15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15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15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15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15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15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15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15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15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15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15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15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15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15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15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15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15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15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15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15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15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15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15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15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15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15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15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15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15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15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15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15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15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15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15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15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15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15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15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15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15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15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15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15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15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15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15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15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15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15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15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15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15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15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15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15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15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15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15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15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15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15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15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15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15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15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15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15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15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15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15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15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15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15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15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15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15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15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15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15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15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15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15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15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15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15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15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15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15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15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15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15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15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15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15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15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15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15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15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15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15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15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15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15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15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15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15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15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15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15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15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15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15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15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15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15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15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15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15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15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15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15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15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15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15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15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15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15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15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15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15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15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15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15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15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15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15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15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15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15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15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15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15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15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15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15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15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15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15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15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15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15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15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15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15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15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15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15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15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15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15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15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15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15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15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15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15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15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15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15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15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15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15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15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15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15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15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15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15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15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15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15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15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15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15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15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15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15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15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15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15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15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15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15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15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15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15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15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15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15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15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15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15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15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15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15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15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15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15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15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15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15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15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15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15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15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15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15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15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15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15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15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15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15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15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15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15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15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15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15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15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15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15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15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15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15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15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15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15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15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15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15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15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15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15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15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15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15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15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15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15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15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15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15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15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15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15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15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15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15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15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15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15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15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15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15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15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15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15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15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15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15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15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15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15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15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15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15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15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15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15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15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15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15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15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15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15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15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15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15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15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15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15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15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15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15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15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15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15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15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15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15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15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15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15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15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15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15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15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15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15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15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15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15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15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15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15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15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15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15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15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15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15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15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15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15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15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15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15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15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15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15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15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15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15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15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15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15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15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15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15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15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15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15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15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15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15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15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15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15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15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15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15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15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15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15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15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15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15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15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15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15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15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15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15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15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15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15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15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15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15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15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15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15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15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15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15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15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15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15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15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15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15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15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15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15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15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15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15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15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15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15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15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15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15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15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15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15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15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15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15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15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15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15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15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15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15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15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15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15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15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15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15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15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15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15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15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15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15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15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15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15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15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15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15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15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15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15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15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15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15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15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15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15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15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15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15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15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15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15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15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15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15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15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15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15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15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15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15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15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15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15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15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15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15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15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15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15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15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15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15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15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15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15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15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15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15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15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15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15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15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15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15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15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15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15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15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15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15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15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15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15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15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15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15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15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15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15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15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15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15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15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15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15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15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15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15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15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15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15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15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15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15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15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15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15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15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15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15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15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15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15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15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15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15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15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15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15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15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15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15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15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15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15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15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15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15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15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15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15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15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15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15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15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15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15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15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15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15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15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15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15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15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15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15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15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15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15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15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15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15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15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15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15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15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15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15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15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15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15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15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15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15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15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15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15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15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15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15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15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15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15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15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15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15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15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15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15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15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15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15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15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15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15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15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15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15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15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15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15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15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15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15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15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15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15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15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15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15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15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15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15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15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15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15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15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15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15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15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15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15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15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15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15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15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15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15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15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15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15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15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15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15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15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15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15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15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15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15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15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15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15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15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15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15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15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15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15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15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15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15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15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15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15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15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15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15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15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15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15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15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15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15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15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15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15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15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15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15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15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15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15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15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15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15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15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15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15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15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15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15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15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15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15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15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15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15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15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15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15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15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15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15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15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15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15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15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15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15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15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15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15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15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15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15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15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15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15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15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15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15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15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15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15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15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15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15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15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15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15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15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15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15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15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15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15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15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15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15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15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15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15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15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15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15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15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15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15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15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15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15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15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15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15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15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15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15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15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15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15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15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15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15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15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15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15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15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15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15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15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15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15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15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15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15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15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15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15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15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15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15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15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15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15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15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15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15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15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15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15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15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15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15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15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15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15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15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15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15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15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15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15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15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15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15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15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15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15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15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15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15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15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15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15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15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15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15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15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15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15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15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15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15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15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15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15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15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15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15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15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15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15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15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15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15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15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15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15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15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15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15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15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15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15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15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15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15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15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15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15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15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15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15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15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15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15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15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15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15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15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15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15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15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15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15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15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15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15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15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15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15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15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15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15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15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15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15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15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15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15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15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15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15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15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15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15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15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15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15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15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15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15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15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15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15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15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15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15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15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15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15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15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15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15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15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15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15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15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15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15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15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15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15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15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15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15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15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15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15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15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15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15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15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15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15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15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15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15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15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15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15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15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15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15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15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15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15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15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15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15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15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15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15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15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15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15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15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15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15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15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15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15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15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15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15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15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15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15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15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15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15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15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15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15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15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15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15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15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15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15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15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15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15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15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15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15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15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15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15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15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15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15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15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15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15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15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15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15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15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15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15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15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15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15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15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15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15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15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15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15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15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15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15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15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15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15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15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15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15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15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15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15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15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15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15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15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15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15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15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15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15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15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15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15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15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15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15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15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15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15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15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15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15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15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15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15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15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15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15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15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15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15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15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15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15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15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15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15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15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15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15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15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15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15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15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15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15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15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15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15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15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15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15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15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15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15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15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15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15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15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15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15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15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15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15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15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15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15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15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15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15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15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15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15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15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15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15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15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15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15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15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15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15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15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15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15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15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15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15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15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15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15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15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15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15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15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15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15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15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15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15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15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15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15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15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15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15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15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15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15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15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15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15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15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15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15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15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15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15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15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15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15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15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15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15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15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15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15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15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15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15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15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15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15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15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15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15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15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15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15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6" priority="1">
      <formula>TRIM(C2)="Realizado"</formula>
    </cfRule>
  </conditionalFormatting>
  <conditionalFormatting sqref="C2:C2001">
    <cfRule type="expression" dxfId="55" priority="2">
      <formula>TRIM(C2)="Cancelado"</formula>
    </cfRule>
  </conditionalFormatting>
  <conditionalFormatting sqref="C2:C2001">
    <cfRule type="expression" dxfId="54" priority="3">
      <formula>TRIM(C2)="Em andamento"</formula>
    </cfRule>
  </conditionalFormatting>
  <conditionalFormatting sqref="C2:C2001">
    <cfRule type="expression" dxfId="53" priority="4">
      <formula>TRIM(C2)="Adiado"</formula>
    </cfRule>
  </conditionalFormatting>
  <conditionalFormatting sqref="A2:A2001">
    <cfRule type="expression" dxfId="52" priority="5">
      <formula>AND($B2&lt;&gt;"",$A2="")</formula>
    </cfRule>
  </conditionalFormatting>
  <conditionalFormatting sqref="L2:M2001">
    <cfRule type="expression" dxfId="51" priority="6">
      <formula>L2=""</formula>
    </cfRule>
  </conditionalFormatting>
  <conditionalFormatting sqref="A2:T2001">
    <cfRule type="expression" dxfId="50" priority="7">
      <formula>MOD(ROW(),2)=0</formula>
    </cfRule>
  </conditionalFormatting>
  <conditionalFormatting sqref="A2:T2001">
    <cfRule type="expression" dxfId="49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2971</v>
      </c>
      <c r="F1" s="106" t="s">
        <v>2972</v>
      </c>
    </row>
    <row r="2" spans="1:6" x14ac:dyDescent="0.25">
      <c r="F2" s="107" t="s">
        <v>2973</v>
      </c>
    </row>
    <row r="3" spans="1:6" x14ac:dyDescent="0.25">
      <c r="A3" t="s">
        <v>0</v>
      </c>
      <c r="B3" t="s">
        <v>19</v>
      </c>
      <c r="C3" t="s">
        <v>2974</v>
      </c>
      <c r="D3" t="s">
        <v>2975</v>
      </c>
      <c r="F3" s="107" t="s">
        <v>2976</v>
      </c>
    </row>
    <row r="4" spans="1:6" x14ac:dyDescent="0.25">
      <c r="A4">
        <v>1</v>
      </c>
      <c r="B4" t="s">
        <v>2977</v>
      </c>
      <c r="D4" t="s">
        <v>2978</v>
      </c>
      <c r="F4" s="107" t="s">
        <v>2979</v>
      </c>
    </row>
    <row r="5" spans="1:6" x14ac:dyDescent="0.25">
      <c r="A5">
        <v>2</v>
      </c>
      <c r="B5" t="s">
        <v>2507</v>
      </c>
      <c r="D5" t="s">
        <v>2978</v>
      </c>
      <c r="F5" s="107" t="s">
        <v>2980</v>
      </c>
    </row>
    <row r="6" spans="1:6" x14ac:dyDescent="0.25">
      <c r="A6">
        <v>3</v>
      </c>
      <c r="B6" t="s">
        <v>1030</v>
      </c>
      <c r="D6" t="s">
        <v>2978</v>
      </c>
    </row>
    <row r="7" spans="1:6" x14ac:dyDescent="0.25">
      <c r="A7">
        <v>4</v>
      </c>
      <c r="B7" t="s">
        <v>2981</v>
      </c>
      <c r="D7" t="s">
        <v>2978</v>
      </c>
      <c r="F7" s="107" t="s">
        <v>2982</v>
      </c>
    </row>
    <row r="8" spans="1:6" x14ac:dyDescent="0.25">
      <c r="A8">
        <v>5</v>
      </c>
      <c r="B8" t="s">
        <v>2983</v>
      </c>
      <c r="D8" t="s">
        <v>2978</v>
      </c>
    </row>
    <row r="9" spans="1:6" x14ac:dyDescent="0.25">
      <c r="A9">
        <v>6</v>
      </c>
      <c r="B9" t="s">
        <v>2317</v>
      </c>
      <c r="D9" t="s">
        <v>2978</v>
      </c>
    </row>
    <row r="10" spans="1:6" x14ac:dyDescent="0.25">
      <c r="A10">
        <v>7</v>
      </c>
      <c r="B10" t="s">
        <v>2416</v>
      </c>
      <c r="D10" t="s">
        <v>2978</v>
      </c>
    </row>
    <row r="11" spans="1:6" x14ac:dyDescent="0.25">
      <c r="A11">
        <v>8</v>
      </c>
      <c r="B11" t="s">
        <v>2478</v>
      </c>
      <c r="D11" t="s">
        <v>2978</v>
      </c>
    </row>
    <row r="12" spans="1:6" x14ac:dyDescent="0.25">
      <c r="A12">
        <v>10</v>
      </c>
      <c r="B12" t="s">
        <v>2730</v>
      </c>
      <c r="D12" t="s">
        <v>2978</v>
      </c>
    </row>
    <row r="13" spans="1:6" x14ac:dyDescent="0.25">
      <c r="A13">
        <v>11</v>
      </c>
      <c r="B13" t="s">
        <v>2281</v>
      </c>
      <c r="D13" t="s">
        <v>2978</v>
      </c>
    </row>
    <row r="14" spans="1:6" x14ac:dyDescent="0.25">
      <c r="A14">
        <v>12</v>
      </c>
      <c r="B14" t="s">
        <v>2377</v>
      </c>
      <c r="D14" t="s">
        <v>2978</v>
      </c>
    </row>
    <row r="15" spans="1:6" x14ac:dyDescent="0.25">
      <c r="A15">
        <v>13</v>
      </c>
      <c r="B15" t="s">
        <v>2698</v>
      </c>
      <c r="D15" t="s">
        <v>2978</v>
      </c>
    </row>
    <row r="16" spans="1:6" x14ac:dyDescent="0.25">
      <c r="A16">
        <v>14</v>
      </c>
      <c r="B16" t="s">
        <v>1909</v>
      </c>
      <c r="D16" t="s">
        <v>2978</v>
      </c>
    </row>
    <row r="17" spans="1:4" x14ac:dyDescent="0.25">
      <c r="A17">
        <v>15</v>
      </c>
      <c r="B17" t="s">
        <v>578</v>
      </c>
      <c r="D17" t="s">
        <v>2978</v>
      </c>
    </row>
    <row r="18" spans="1:4" x14ac:dyDescent="0.25">
      <c r="A18">
        <v>16</v>
      </c>
      <c r="B18" t="s">
        <v>1958</v>
      </c>
      <c r="D18" t="s">
        <v>2978</v>
      </c>
    </row>
    <row r="19" spans="1:4" x14ac:dyDescent="0.25">
      <c r="A19">
        <v>17</v>
      </c>
      <c r="B19" t="s">
        <v>1792</v>
      </c>
      <c r="D19" t="s">
        <v>2978</v>
      </c>
    </row>
    <row r="20" spans="1:4" x14ac:dyDescent="0.25">
      <c r="A20">
        <v>18</v>
      </c>
      <c r="B20" t="s">
        <v>2122</v>
      </c>
      <c r="D20" t="s">
        <v>2978</v>
      </c>
    </row>
    <row r="21" spans="1:4" x14ac:dyDescent="0.25">
      <c r="A21">
        <v>19</v>
      </c>
      <c r="B21" t="s">
        <v>1350</v>
      </c>
      <c r="D21" t="s">
        <v>2978</v>
      </c>
    </row>
    <row r="22" spans="1:4" x14ac:dyDescent="0.25">
      <c r="A22">
        <v>20</v>
      </c>
      <c r="B22" t="s">
        <v>2262</v>
      </c>
      <c r="D22" t="s">
        <v>2978</v>
      </c>
    </row>
    <row r="23" spans="1:4" x14ac:dyDescent="0.25">
      <c r="A23">
        <v>21</v>
      </c>
      <c r="B23" t="s">
        <v>2984</v>
      </c>
      <c r="D23" t="s">
        <v>2978</v>
      </c>
    </row>
    <row r="24" spans="1:4" x14ac:dyDescent="0.25">
      <c r="A24">
        <v>22</v>
      </c>
      <c r="B24" t="s">
        <v>591</v>
      </c>
      <c r="D24" t="s">
        <v>2978</v>
      </c>
    </row>
    <row r="25" spans="1:4" x14ac:dyDescent="0.25">
      <c r="A25">
        <v>23</v>
      </c>
      <c r="B25" t="s">
        <v>2985</v>
      </c>
      <c r="D25" t="s">
        <v>2978</v>
      </c>
    </row>
    <row r="26" spans="1:4" x14ac:dyDescent="0.25">
      <c r="A26">
        <v>24</v>
      </c>
      <c r="B26" t="s">
        <v>2986</v>
      </c>
      <c r="D26" t="s">
        <v>2978</v>
      </c>
    </row>
    <row r="27" spans="1:4" x14ac:dyDescent="0.25">
      <c r="A27">
        <v>25</v>
      </c>
      <c r="B27" t="s">
        <v>479</v>
      </c>
      <c r="D27" t="s">
        <v>2978</v>
      </c>
    </row>
    <row r="28" spans="1:4" x14ac:dyDescent="0.25">
      <c r="A28">
        <v>26</v>
      </c>
      <c r="B28" t="s">
        <v>76</v>
      </c>
      <c r="D28" t="s">
        <v>2978</v>
      </c>
    </row>
    <row r="29" spans="1:4" x14ac:dyDescent="0.25">
      <c r="A29">
        <v>27</v>
      </c>
      <c r="B29" t="s">
        <v>2987</v>
      </c>
      <c r="D29" t="s">
        <v>2978</v>
      </c>
    </row>
    <row r="30" spans="1:4" x14ac:dyDescent="0.25">
      <c r="A30">
        <v>28</v>
      </c>
      <c r="B30" t="s">
        <v>2109</v>
      </c>
      <c r="D30" t="s">
        <v>2978</v>
      </c>
    </row>
    <row r="31" spans="1:4" x14ac:dyDescent="0.25">
      <c r="A31">
        <v>29</v>
      </c>
      <c r="B31" t="s">
        <v>2257</v>
      </c>
      <c r="D31" t="s">
        <v>2978</v>
      </c>
    </row>
    <row r="32" spans="1:4" x14ac:dyDescent="0.25">
      <c r="A32">
        <v>30</v>
      </c>
      <c r="B32" t="s">
        <v>2512</v>
      </c>
      <c r="D32" t="s">
        <v>2978</v>
      </c>
    </row>
    <row r="33" spans="1:4" x14ac:dyDescent="0.25">
      <c r="A33">
        <v>31</v>
      </c>
      <c r="B33" t="s">
        <v>2988</v>
      </c>
      <c r="D33" t="s">
        <v>2978</v>
      </c>
    </row>
    <row r="34" spans="1:4" x14ac:dyDescent="0.25">
      <c r="A34">
        <v>32</v>
      </c>
      <c r="B34" t="s">
        <v>2989</v>
      </c>
      <c r="D34" t="s">
        <v>2978</v>
      </c>
    </row>
    <row r="35" spans="1:4" x14ac:dyDescent="0.25">
      <c r="A35">
        <v>33</v>
      </c>
      <c r="B35" t="s">
        <v>1374</v>
      </c>
      <c r="D35" t="s">
        <v>2978</v>
      </c>
    </row>
    <row r="36" spans="1:4" x14ac:dyDescent="0.25">
      <c r="A36">
        <v>34</v>
      </c>
      <c r="B36" t="s">
        <v>1479</v>
      </c>
      <c r="D36" t="s">
        <v>2978</v>
      </c>
    </row>
    <row r="37" spans="1:4" x14ac:dyDescent="0.25">
      <c r="A37">
        <v>35</v>
      </c>
      <c r="B37" t="s">
        <v>556</v>
      </c>
      <c r="D37" t="s">
        <v>2978</v>
      </c>
    </row>
    <row r="38" spans="1:4" x14ac:dyDescent="0.25">
      <c r="A38">
        <v>36</v>
      </c>
      <c r="B38" t="s">
        <v>2990</v>
      </c>
      <c r="D38" t="s">
        <v>2978</v>
      </c>
    </row>
    <row r="39" spans="1:4" x14ac:dyDescent="0.25">
      <c r="A39">
        <v>37</v>
      </c>
      <c r="B39" t="s">
        <v>2154</v>
      </c>
      <c r="D39" t="s">
        <v>2978</v>
      </c>
    </row>
    <row r="40" spans="1:4" x14ac:dyDescent="0.25">
      <c r="A40">
        <v>38</v>
      </c>
      <c r="B40" t="s">
        <v>2991</v>
      </c>
      <c r="D40" t="s">
        <v>2978</v>
      </c>
    </row>
    <row r="41" spans="1:4" x14ac:dyDescent="0.25">
      <c r="A41">
        <v>39</v>
      </c>
      <c r="B41" t="s">
        <v>2583</v>
      </c>
      <c r="D41" t="s">
        <v>2978</v>
      </c>
    </row>
    <row r="42" spans="1:4" x14ac:dyDescent="0.25">
      <c r="A42">
        <v>40</v>
      </c>
      <c r="B42" t="s">
        <v>2992</v>
      </c>
      <c r="D42" t="s">
        <v>2978</v>
      </c>
    </row>
    <row r="43" spans="1:4" x14ac:dyDescent="0.25">
      <c r="A43">
        <v>41</v>
      </c>
      <c r="B43" t="s">
        <v>862</v>
      </c>
      <c r="D43" t="s">
        <v>2978</v>
      </c>
    </row>
    <row r="44" spans="1:4" x14ac:dyDescent="0.25">
      <c r="A44">
        <v>42</v>
      </c>
      <c r="B44" t="s">
        <v>717</v>
      </c>
      <c r="D44" t="s">
        <v>2978</v>
      </c>
    </row>
    <row r="45" spans="1:4" x14ac:dyDescent="0.25">
      <c r="A45">
        <v>43</v>
      </c>
      <c r="B45" t="s">
        <v>2993</v>
      </c>
      <c r="D45" t="s">
        <v>2978</v>
      </c>
    </row>
    <row r="46" spans="1:4" x14ac:dyDescent="0.25">
      <c r="A46">
        <v>44</v>
      </c>
      <c r="B46" t="s">
        <v>2161</v>
      </c>
      <c r="D46" t="s">
        <v>2978</v>
      </c>
    </row>
    <row r="47" spans="1:4" x14ac:dyDescent="0.25">
      <c r="A47">
        <v>45</v>
      </c>
      <c r="B47" t="s">
        <v>218</v>
      </c>
      <c r="D47" t="s">
        <v>2978</v>
      </c>
    </row>
    <row r="48" spans="1:4" x14ac:dyDescent="0.25">
      <c r="A48">
        <v>46</v>
      </c>
      <c r="B48" t="s">
        <v>973</v>
      </c>
      <c r="D48" t="s">
        <v>2978</v>
      </c>
    </row>
    <row r="49" spans="1:4" x14ac:dyDescent="0.25">
      <c r="A49">
        <v>47</v>
      </c>
      <c r="B49" t="s">
        <v>1407</v>
      </c>
      <c r="D49" t="s">
        <v>2978</v>
      </c>
    </row>
    <row r="50" spans="1:4" x14ac:dyDescent="0.25">
      <c r="A50">
        <v>48</v>
      </c>
      <c r="B50" t="s">
        <v>2994</v>
      </c>
      <c r="D50" t="s">
        <v>2978</v>
      </c>
    </row>
    <row r="51" spans="1:4" x14ac:dyDescent="0.25">
      <c r="A51">
        <v>49</v>
      </c>
      <c r="B51" t="s">
        <v>2930</v>
      </c>
      <c r="D51" t="s">
        <v>2978</v>
      </c>
    </row>
    <row r="52" spans="1:4" x14ac:dyDescent="0.25">
      <c r="A52">
        <v>50</v>
      </c>
      <c r="B52" t="s">
        <v>2995</v>
      </c>
      <c r="D52" t="s">
        <v>2978</v>
      </c>
    </row>
    <row r="53" spans="1:4" x14ac:dyDescent="0.25">
      <c r="A53">
        <v>51</v>
      </c>
      <c r="B53" t="s">
        <v>1062</v>
      </c>
      <c r="D53" t="s">
        <v>2978</v>
      </c>
    </row>
    <row r="54" spans="1:4" x14ac:dyDescent="0.25">
      <c r="A54">
        <v>52</v>
      </c>
      <c r="B54" t="s">
        <v>1759</v>
      </c>
      <c r="D54" t="s">
        <v>2978</v>
      </c>
    </row>
    <row r="55" spans="1:4" x14ac:dyDescent="0.25">
      <c r="A55">
        <v>53</v>
      </c>
      <c r="B55" t="s">
        <v>2996</v>
      </c>
      <c r="D55" t="s">
        <v>2978</v>
      </c>
    </row>
    <row r="56" spans="1:4" x14ac:dyDescent="0.25">
      <c r="A56">
        <v>54</v>
      </c>
      <c r="B56" t="s">
        <v>81</v>
      </c>
      <c r="D56" t="s">
        <v>2978</v>
      </c>
    </row>
    <row r="57" spans="1:4" x14ac:dyDescent="0.25">
      <c r="A57">
        <v>55</v>
      </c>
      <c r="B57" t="s">
        <v>1103</v>
      </c>
      <c r="D57" t="s">
        <v>2978</v>
      </c>
    </row>
    <row r="58" spans="1:4" x14ac:dyDescent="0.25">
      <c r="A58">
        <v>56</v>
      </c>
      <c r="B58" t="s">
        <v>2055</v>
      </c>
      <c r="D58" t="s">
        <v>2978</v>
      </c>
    </row>
    <row r="59" spans="1:4" x14ac:dyDescent="0.25">
      <c r="A59">
        <v>57</v>
      </c>
      <c r="B59" t="s">
        <v>2997</v>
      </c>
      <c r="D59" t="s">
        <v>2978</v>
      </c>
    </row>
    <row r="60" spans="1:4" x14ac:dyDescent="0.25">
      <c r="A60">
        <v>58</v>
      </c>
      <c r="B60" t="s">
        <v>1880</v>
      </c>
      <c r="D60" t="s">
        <v>2978</v>
      </c>
    </row>
    <row r="61" spans="1:4" x14ac:dyDescent="0.25">
      <c r="A61">
        <v>59</v>
      </c>
      <c r="B61" t="s">
        <v>2089</v>
      </c>
      <c r="D61" t="s">
        <v>2978</v>
      </c>
    </row>
    <row r="62" spans="1:4" x14ac:dyDescent="0.25">
      <c r="A62">
        <v>60</v>
      </c>
      <c r="B62" t="s">
        <v>2021</v>
      </c>
      <c r="D62" t="s">
        <v>2978</v>
      </c>
    </row>
    <row r="63" spans="1:4" x14ac:dyDescent="0.25">
      <c r="A63">
        <v>61</v>
      </c>
      <c r="B63" t="s">
        <v>2998</v>
      </c>
      <c r="D63" t="s">
        <v>2978</v>
      </c>
    </row>
    <row r="64" spans="1:4" x14ac:dyDescent="0.25">
      <c r="A64">
        <v>62</v>
      </c>
      <c r="B64" t="s">
        <v>2999</v>
      </c>
      <c r="D64" t="s">
        <v>2978</v>
      </c>
    </row>
    <row r="65" spans="1:4" x14ac:dyDescent="0.25">
      <c r="A65">
        <v>63</v>
      </c>
      <c r="B65" t="s">
        <v>3000</v>
      </c>
      <c r="D65" t="s">
        <v>2978</v>
      </c>
    </row>
    <row r="66" spans="1:4" x14ac:dyDescent="0.25">
      <c r="A66">
        <v>64</v>
      </c>
      <c r="B66" t="s">
        <v>3001</v>
      </c>
      <c r="D66" t="s">
        <v>2978</v>
      </c>
    </row>
    <row r="67" spans="1:4" x14ac:dyDescent="0.25">
      <c r="A67">
        <v>65</v>
      </c>
      <c r="B67" t="s">
        <v>2710</v>
      </c>
      <c r="D67" t="s">
        <v>2978</v>
      </c>
    </row>
    <row r="68" spans="1:4" x14ac:dyDescent="0.25">
      <c r="A68">
        <v>66</v>
      </c>
      <c r="B68" t="s">
        <v>2556</v>
      </c>
      <c r="D68" t="s">
        <v>2978</v>
      </c>
    </row>
    <row r="69" spans="1:4" x14ac:dyDescent="0.25">
      <c r="A69">
        <v>67</v>
      </c>
      <c r="B69" t="s">
        <v>3002</v>
      </c>
      <c r="D69" t="s">
        <v>2978</v>
      </c>
    </row>
    <row r="70" spans="1:4" x14ac:dyDescent="0.25">
      <c r="A70">
        <v>68</v>
      </c>
      <c r="B70" t="s">
        <v>3003</v>
      </c>
      <c r="D70" t="s">
        <v>2978</v>
      </c>
    </row>
    <row r="71" spans="1:4" x14ac:dyDescent="0.25">
      <c r="A71">
        <v>69</v>
      </c>
      <c r="B71" t="s">
        <v>2457</v>
      </c>
      <c r="D71" t="s">
        <v>2978</v>
      </c>
    </row>
    <row r="72" spans="1:4" x14ac:dyDescent="0.25">
      <c r="A72">
        <v>70</v>
      </c>
      <c r="B72" t="s">
        <v>3004</v>
      </c>
      <c r="D72" t="s">
        <v>2978</v>
      </c>
    </row>
    <row r="73" spans="1:4" x14ac:dyDescent="0.25">
      <c r="A73">
        <v>71</v>
      </c>
      <c r="B73" t="s">
        <v>2670</v>
      </c>
      <c r="D73" t="s">
        <v>2978</v>
      </c>
    </row>
    <row r="74" spans="1:4" x14ac:dyDescent="0.25">
      <c r="A74">
        <v>72</v>
      </c>
      <c r="B74" t="s">
        <v>2322</v>
      </c>
      <c r="D74" t="s">
        <v>2978</v>
      </c>
    </row>
    <row r="75" spans="1:4" x14ac:dyDescent="0.25">
      <c r="A75">
        <v>73</v>
      </c>
      <c r="B75" t="s">
        <v>2301</v>
      </c>
      <c r="D75" t="s">
        <v>2978</v>
      </c>
    </row>
    <row r="76" spans="1:4" x14ac:dyDescent="0.25">
      <c r="A76">
        <v>74</v>
      </c>
      <c r="B76" t="s">
        <v>3005</v>
      </c>
      <c r="D76" t="s">
        <v>2978</v>
      </c>
    </row>
    <row r="77" spans="1:4" x14ac:dyDescent="0.25">
      <c r="A77">
        <v>75</v>
      </c>
      <c r="B77" t="s">
        <v>115</v>
      </c>
      <c r="D77" t="s">
        <v>2978</v>
      </c>
    </row>
    <row r="78" spans="1:4" x14ac:dyDescent="0.25">
      <c r="A78">
        <v>76</v>
      </c>
      <c r="B78" t="s">
        <v>942</v>
      </c>
      <c r="D78" t="s">
        <v>2978</v>
      </c>
    </row>
    <row r="79" spans="1:4" x14ac:dyDescent="0.25">
      <c r="A79">
        <v>77</v>
      </c>
      <c r="B79" t="s">
        <v>803</v>
      </c>
      <c r="D79" t="s">
        <v>2978</v>
      </c>
    </row>
    <row r="80" spans="1:4" x14ac:dyDescent="0.25">
      <c r="A80">
        <v>78</v>
      </c>
      <c r="B80" t="s">
        <v>425</v>
      </c>
      <c r="D80" t="s">
        <v>2978</v>
      </c>
    </row>
    <row r="81" spans="1:4" x14ac:dyDescent="0.25">
      <c r="A81">
        <v>79</v>
      </c>
      <c r="B81" t="s">
        <v>3006</v>
      </c>
      <c r="D81" t="s">
        <v>2978</v>
      </c>
    </row>
    <row r="82" spans="1:4" x14ac:dyDescent="0.25">
      <c r="A82">
        <v>80</v>
      </c>
      <c r="B82" t="s">
        <v>3007</v>
      </c>
      <c r="D82" t="s">
        <v>2978</v>
      </c>
    </row>
    <row r="83" spans="1:4" x14ac:dyDescent="0.25">
      <c r="A83">
        <v>81</v>
      </c>
      <c r="B83" t="s">
        <v>3008</v>
      </c>
      <c r="D83" t="s">
        <v>2978</v>
      </c>
    </row>
    <row r="84" spans="1:4" x14ac:dyDescent="0.25">
      <c r="A84">
        <v>82</v>
      </c>
      <c r="B84" t="s">
        <v>3009</v>
      </c>
      <c r="D84" t="s">
        <v>2978</v>
      </c>
    </row>
    <row r="85" spans="1:4" x14ac:dyDescent="0.25">
      <c r="A85">
        <v>83</v>
      </c>
      <c r="B85" t="s">
        <v>2482</v>
      </c>
      <c r="D85" t="s">
        <v>2978</v>
      </c>
    </row>
    <row r="86" spans="1:4" x14ac:dyDescent="0.25">
      <c r="A86">
        <v>84</v>
      </c>
      <c r="B86" t="s">
        <v>3010</v>
      </c>
      <c r="D86" t="s">
        <v>2978</v>
      </c>
    </row>
    <row r="87" spans="1:4" x14ac:dyDescent="0.25">
      <c r="A87">
        <v>85</v>
      </c>
      <c r="B87" t="s">
        <v>2578</v>
      </c>
      <c r="D87" t="s">
        <v>2978</v>
      </c>
    </row>
    <row r="88" spans="1:4" x14ac:dyDescent="0.25">
      <c r="A88">
        <v>86</v>
      </c>
      <c r="B88" t="s">
        <v>3011</v>
      </c>
      <c r="D88" t="s">
        <v>2978</v>
      </c>
    </row>
    <row r="89" spans="1:4" x14ac:dyDescent="0.25">
      <c r="A89">
        <v>87</v>
      </c>
      <c r="B89" t="s">
        <v>3012</v>
      </c>
      <c r="D89" t="s">
        <v>2978</v>
      </c>
    </row>
    <row r="90" spans="1:4" x14ac:dyDescent="0.25">
      <c r="A90">
        <v>88</v>
      </c>
      <c r="B90" t="s">
        <v>3013</v>
      </c>
      <c r="D90" t="s">
        <v>2978</v>
      </c>
    </row>
    <row r="91" spans="1:4" x14ac:dyDescent="0.25">
      <c r="A91">
        <v>89</v>
      </c>
      <c r="B91" t="s">
        <v>3014</v>
      </c>
      <c r="D91" t="s">
        <v>2978</v>
      </c>
    </row>
    <row r="92" spans="1:4" x14ac:dyDescent="0.25">
      <c r="A92">
        <v>90</v>
      </c>
      <c r="B92" t="s">
        <v>3015</v>
      </c>
      <c r="D92" t="s">
        <v>2978</v>
      </c>
    </row>
    <row r="93" spans="1:4" x14ac:dyDescent="0.25">
      <c r="A93">
        <v>91</v>
      </c>
      <c r="B93" t="s">
        <v>3016</v>
      </c>
      <c r="D93" t="s">
        <v>2978</v>
      </c>
    </row>
    <row r="94" spans="1:4" x14ac:dyDescent="0.25">
      <c r="A94">
        <v>92</v>
      </c>
      <c r="B94" t="s">
        <v>3017</v>
      </c>
      <c r="D94" t="s">
        <v>2978</v>
      </c>
    </row>
    <row r="95" spans="1:4" x14ac:dyDescent="0.25">
      <c r="A95">
        <v>93</v>
      </c>
      <c r="B95" t="s">
        <v>3018</v>
      </c>
      <c r="D95" t="s">
        <v>2978</v>
      </c>
    </row>
    <row r="96" spans="1:4" x14ac:dyDescent="0.25">
      <c r="A96">
        <v>94</v>
      </c>
      <c r="B96" t="s">
        <v>3019</v>
      </c>
      <c r="D96" t="s">
        <v>2978</v>
      </c>
    </row>
    <row r="97" spans="1:4" x14ac:dyDescent="0.25">
      <c r="A97">
        <v>95</v>
      </c>
      <c r="B97" t="s">
        <v>2961</v>
      </c>
      <c r="D97" t="s">
        <v>2978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1" activePane="bottomLeft" state="frozen"/>
      <selection pane="bottomLeft" activeCell="D90" sqref="D9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3020</v>
      </c>
      <c r="C1" s="19" t="s">
        <v>3021</v>
      </c>
      <c r="D1" s="19" t="s">
        <v>4</v>
      </c>
      <c r="E1" s="19" t="s">
        <v>3022</v>
      </c>
      <c r="F1" s="19" t="s">
        <v>19</v>
      </c>
      <c r="G1" s="19" t="s">
        <v>3023</v>
      </c>
      <c r="H1" s="19" t="s">
        <v>3024</v>
      </c>
      <c r="I1" s="19" t="s">
        <v>3025</v>
      </c>
      <c r="J1" s="19" t="s">
        <v>3026</v>
      </c>
      <c r="L1" s="114" t="s">
        <v>3027</v>
      </c>
      <c r="M1" s="23">
        <v>2026</v>
      </c>
      <c r="U1" s="80" t="s">
        <v>3028</v>
      </c>
      <c r="V1" s="79"/>
      <c r="X1" s="78" t="s">
        <v>3029</v>
      </c>
      <c r="Y1" s="27"/>
      <c r="Z1" s="27"/>
      <c r="AA1" s="27"/>
      <c r="AC1" s="100" t="s">
        <v>3030</v>
      </c>
    </row>
    <row r="2" spans="1:31" x14ac:dyDescent="0.25">
      <c r="A2" s="21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3031</v>
      </c>
      <c r="M2" s="109" t="s">
        <v>2921</v>
      </c>
      <c r="X2" s="116" t="s">
        <v>3020</v>
      </c>
      <c r="Y2" s="116" t="s">
        <v>19</v>
      </c>
      <c r="Z2" s="116" t="s">
        <v>3032</v>
      </c>
      <c r="AA2" s="116" t="s">
        <v>3033</v>
      </c>
      <c r="AC2" s="117" t="s">
        <v>1</v>
      </c>
      <c r="AD2" s="117" t="s">
        <v>3034</v>
      </c>
      <c r="AE2" s="117" t="s">
        <v>3035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3036</v>
      </c>
      <c r="M3" s="115" t="s">
        <v>3037</v>
      </c>
      <c r="N3" s="115" t="s">
        <v>3038</v>
      </c>
      <c r="O3" s="115" t="s">
        <v>3039</v>
      </c>
      <c r="P3" s="115" t="s">
        <v>3040</v>
      </c>
      <c r="Q3" s="115" t="s">
        <v>3041</v>
      </c>
      <c r="R3" s="115" t="s">
        <v>3042</v>
      </c>
      <c r="S3" s="115" t="s">
        <v>3043</v>
      </c>
      <c r="T3" s="115" t="s">
        <v>3044</v>
      </c>
      <c r="X3" t="s">
        <v>2791</v>
      </c>
      <c r="Y3" t="s">
        <v>2991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2791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3045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2991</v>
      </c>
      <c r="Z6">
        <v>1</v>
      </c>
      <c r="AA6">
        <v>0</v>
      </c>
      <c r="AC6" s="97">
        <v>2026</v>
      </c>
      <c r="AD6" s="18" t="s">
        <v>3046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2985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3003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2788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2788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2788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2788</v>
      </c>
      <c r="Y16" s="18" t="s">
        <v>2985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2788</v>
      </c>
      <c r="Y17" s="18" t="s">
        <v>3003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2985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3003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2751</v>
      </c>
      <c r="Y24" s="18" t="s">
        <v>2991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2840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2840</v>
      </c>
      <c r="Y26" s="18" t="s">
        <v>2991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2854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2831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2831</v>
      </c>
      <c r="Y30" s="18" t="s">
        <v>3048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2840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2778</v>
      </c>
      <c r="Y33" t="s">
        <v>3004</v>
      </c>
      <c r="Z33">
        <v>4</v>
      </c>
      <c r="AA33">
        <v>0.6</v>
      </c>
      <c r="AC33" s="99"/>
      <c r="AD33" s="118" t="s">
        <v>3049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2778</v>
      </c>
      <c r="Y34" t="s">
        <v>3005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2795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2795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2847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2881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2881</v>
      </c>
      <c r="Y42" t="s">
        <v>2996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2885</v>
      </c>
      <c r="Y43" s="18" t="s">
        <v>3013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2885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2869</v>
      </c>
      <c r="Y45" t="s">
        <v>3012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2869</v>
      </c>
      <c r="Y46" t="s">
        <v>3050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0</v>
      </c>
      <c r="I47">
        <v>0</v>
      </c>
      <c r="J47">
        <v>0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2869</v>
      </c>
      <c r="Y47" t="s">
        <v>3051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2869</v>
      </c>
      <c r="Y48" t="s">
        <v>3052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2869</v>
      </c>
      <c r="Y49" t="s">
        <v>3053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2869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104</v>
      </c>
      <c r="T51">
        <v>99</v>
      </c>
      <c r="X51" t="s">
        <v>2869</v>
      </c>
      <c r="Y51" t="s">
        <v>3054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108</v>
      </c>
      <c r="T52">
        <v>104</v>
      </c>
      <c r="X52" t="s">
        <v>2869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113</v>
      </c>
      <c r="T53">
        <v>108</v>
      </c>
      <c r="X53" t="s">
        <v>2869</v>
      </c>
      <c r="Y53" t="s">
        <v>3055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118</v>
      </c>
      <c r="T54">
        <v>113</v>
      </c>
      <c r="X54" t="s">
        <v>2869</v>
      </c>
      <c r="Y54" t="s">
        <v>3056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123</v>
      </c>
      <c r="T55">
        <v>118</v>
      </c>
      <c r="X55" t="s">
        <v>2901</v>
      </c>
      <c r="Y55" t="s">
        <v>3012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128</v>
      </c>
      <c r="T56">
        <v>123</v>
      </c>
      <c r="X56" t="s">
        <v>2931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130</v>
      </c>
      <c r="T57">
        <v>128</v>
      </c>
      <c r="X57" t="s">
        <v>2921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132</v>
      </c>
      <c r="T58">
        <v>130</v>
      </c>
      <c r="X58" t="s">
        <v>2921</v>
      </c>
      <c r="Y58" s="112" t="s">
        <v>3019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2.4</v>
      </c>
      <c r="J59">
        <v>10.4</v>
      </c>
      <c r="R59" t="str">
        <v/>
      </c>
      <c r="S59" t="str">
        <v/>
      </c>
      <c r="T59">
        <v>132</v>
      </c>
      <c r="X59" t="s">
        <v>2921</v>
      </c>
      <c r="Y59" t="s">
        <v>3018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0</v>
      </c>
      <c r="J60">
        <v>8</v>
      </c>
      <c r="R60" t="str">
        <v/>
      </c>
      <c r="S60" t="str">
        <v/>
      </c>
      <c r="X60" t="s">
        <v>2921</v>
      </c>
      <c r="Y60" t="s">
        <v>3017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2.4</v>
      </c>
      <c r="J61">
        <v>10.4</v>
      </c>
      <c r="R61" t="str">
        <v/>
      </c>
      <c r="S61" t="str">
        <v/>
      </c>
      <c r="X61" t="s">
        <v>2910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0</v>
      </c>
      <c r="J62">
        <v>8</v>
      </c>
      <c r="R62" t="str">
        <v/>
      </c>
      <c r="S62" t="str">
        <v/>
      </c>
      <c r="X62" t="s">
        <v>2910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2910</v>
      </c>
      <c r="Y63" s="113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3.6</v>
      </c>
      <c r="J64">
        <v>15.6</v>
      </c>
      <c r="R64" t="str">
        <v/>
      </c>
      <c r="S64" t="str">
        <v/>
      </c>
      <c r="X64" t="s">
        <v>2910</v>
      </c>
      <c r="Y64" t="s">
        <v>3009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2952</v>
      </c>
      <c r="Y65" t="s">
        <v>2880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0</v>
      </c>
      <c r="I66">
        <v>0</v>
      </c>
      <c r="J66">
        <v>0</v>
      </c>
      <c r="R66" t="str">
        <v/>
      </c>
      <c r="S66" t="str">
        <v/>
      </c>
      <c r="X66" t="s">
        <v>2952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  <c r="X68" t="s">
        <v>2783</v>
      </c>
      <c r="Y68" t="s">
        <v>3057</v>
      </c>
      <c r="Z68">
        <v>3</v>
      </c>
      <c r="AA68">
        <v>0.9</v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  <c r="X69" t="s">
        <v>2798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0</v>
      </c>
      <c r="I70">
        <v>0</v>
      </c>
      <c r="J70">
        <v>0</v>
      </c>
      <c r="R70" t="str">
        <v/>
      </c>
      <c r="S70" t="str">
        <v/>
      </c>
      <c r="X70" t="s">
        <v>2843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2843</v>
      </c>
      <c r="Y71" s="18" t="s">
        <v>2991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2850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2850</v>
      </c>
      <c r="Y73" t="s">
        <v>2996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  <c r="X74" t="s">
        <v>2865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  <c r="X75" t="s">
        <v>2874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  <c r="X76" t="s">
        <v>2889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2889</v>
      </c>
      <c r="Y77" t="s">
        <v>3010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2897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  <c r="X79" t="s">
        <v>2897</v>
      </c>
      <c r="Y79" t="s">
        <v>3014</v>
      </c>
      <c r="AA79">
        <v>1.2</v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2901</v>
      </c>
      <c r="Y80" t="s">
        <v>3011</v>
      </c>
      <c r="AA80">
        <v>1.2</v>
      </c>
    </row>
    <row r="81" spans="1:27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0</v>
      </c>
      <c r="I81">
        <v>0</v>
      </c>
      <c r="J81">
        <v>0</v>
      </c>
      <c r="R81" t="str">
        <v/>
      </c>
      <c r="S81" t="str">
        <v/>
      </c>
      <c r="X81" t="s">
        <v>2906</v>
      </c>
      <c r="Y81" t="s">
        <v>942</v>
      </c>
      <c r="AA81">
        <v>1.2</v>
      </c>
    </row>
    <row r="82" spans="1:27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  <c r="X82" t="s">
        <v>2906</v>
      </c>
      <c r="Y82" t="s">
        <v>3015</v>
      </c>
      <c r="AA82">
        <v>1.2</v>
      </c>
    </row>
    <row r="83" spans="1:27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0</v>
      </c>
      <c r="J84">
        <v>0</v>
      </c>
      <c r="R84" t="str">
        <v/>
      </c>
      <c r="S84" t="str">
        <v/>
      </c>
    </row>
    <row r="85" spans="1:27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27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0</v>
      </c>
      <c r="G100">
        <v>1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2026-056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2026-056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2026-056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2026-056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2026-059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0</v>
      </c>
      <c r="I110">
        <v>0</v>
      </c>
      <c r="J110">
        <v>0</v>
      </c>
      <c r="R110" t="str">
        <v/>
      </c>
      <c r="S110" t="str">
        <v/>
      </c>
    </row>
    <row r="111" spans="1:19" x14ac:dyDescent="0.25">
      <c r="A111">
        <v>2026</v>
      </c>
      <c r="B111" t="str">
        <v>2026-059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2026-059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2026-059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2026-060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2026-060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2026-060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2026-060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2026-061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2026-061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2026-062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2026-062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2026-062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2026-062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2026-066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0</v>
      </c>
      <c r="I130">
        <v>34.9</v>
      </c>
      <c r="J130">
        <v>34.9</v>
      </c>
      <c r="R130" t="str">
        <v/>
      </c>
      <c r="S130" t="str">
        <v/>
      </c>
    </row>
    <row r="131" spans="1:19" x14ac:dyDescent="0.25">
      <c r="A131">
        <v>2026</v>
      </c>
      <c r="B131" t="str">
        <v>2026-066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0</v>
      </c>
      <c r="I131">
        <v>34.9</v>
      </c>
      <c r="J131">
        <v>34.9</v>
      </c>
      <c r="R131" t="str">
        <v/>
      </c>
      <c r="S131" t="str">
        <v/>
      </c>
    </row>
    <row r="132" spans="1:19" x14ac:dyDescent="0.25">
      <c r="A132">
        <v>2026</v>
      </c>
      <c r="B132" t="str">
        <v>2026-068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2026-068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3059</v>
      </c>
      <c r="B4" s="230"/>
      <c r="D4" s="231" t="s">
        <v>3060</v>
      </c>
      <c r="E4" s="232"/>
      <c r="G4" s="45" t="s">
        <v>3061</v>
      </c>
    </row>
    <row r="5" spans="1:7" ht="54.95" customHeight="1" thickBot="1" x14ac:dyDescent="0.75">
      <c r="A5" s="35">
        <f>COUNTIF('Ações InCompany'!B:B,2026)</f>
        <v>73</v>
      </c>
      <c r="B5" s="36" t="s">
        <v>3062</v>
      </c>
      <c r="D5" s="43">
        <f>COUNTIFS('Ações InCompany'!B:B,2026,'Ações InCompany'!C:C,"Realizado")</f>
        <v>37</v>
      </c>
      <c r="E5" s="44" t="s">
        <v>3062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3063</v>
      </c>
      <c r="B8" s="226"/>
      <c r="D8" s="226" t="s">
        <v>3064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3065</v>
      </c>
      <c r="D10" s="28" t="s">
        <v>3066</v>
      </c>
      <c r="E10" s="28" t="s">
        <v>3067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3068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3070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3071</v>
      </c>
      <c r="B14" s="34">
        <f>SUM(B11:B13)</f>
        <v>37</v>
      </c>
      <c r="D14" s="33" t="s">
        <v>3072</v>
      </c>
      <c r="E14" s="34">
        <f>SUM(E11:E13)</f>
        <v>1824</v>
      </c>
    </row>
    <row r="30" spans="1:5" ht="17.25" x14ac:dyDescent="0.3">
      <c r="A30" s="226" t="s">
        <v>3073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3074</v>
      </c>
      <c r="C32" s="28" t="s">
        <v>3075</v>
      </c>
      <c r="D32" s="28" t="s">
        <v>3076</v>
      </c>
      <c r="E32" s="28" t="s">
        <v>3077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3071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 x14ac:dyDescent="0.25">
      <c r="A2" s="12" t="s">
        <v>3085</v>
      </c>
      <c r="B2" s="12" t="s">
        <v>3086</v>
      </c>
      <c r="C2" s="12" t="s">
        <v>1736</v>
      </c>
      <c r="D2" s="12" t="s">
        <v>3087</v>
      </c>
      <c r="E2" s="12" t="s">
        <v>3088</v>
      </c>
    </row>
    <row r="3" spans="1:5" ht="18" customHeight="1" x14ac:dyDescent="0.25">
      <c r="A3" s="12" t="s">
        <v>3085</v>
      </c>
      <c r="B3" s="12" t="s">
        <v>3086</v>
      </c>
      <c r="C3" s="14" t="s">
        <v>25</v>
      </c>
      <c r="D3" s="12" t="s">
        <v>3089</v>
      </c>
      <c r="E3" s="12" t="s">
        <v>3090</v>
      </c>
    </row>
    <row r="4" spans="1:5" ht="18" customHeight="1" x14ac:dyDescent="0.25">
      <c r="A4" s="12" t="s">
        <v>3085</v>
      </c>
      <c r="B4" s="12" t="s">
        <v>3086</v>
      </c>
      <c r="C4" s="12" t="s">
        <v>75</v>
      </c>
      <c r="D4" s="12" t="s">
        <v>3087</v>
      </c>
      <c r="E4" s="12" t="s">
        <v>3091</v>
      </c>
    </row>
    <row r="5" spans="1:5" ht="18" customHeight="1" x14ac:dyDescent="0.25">
      <c r="A5" s="12" t="s">
        <v>3085</v>
      </c>
      <c r="B5" s="12" t="s">
        <v>3086</v>
      </c>
      <c r="C5" s="12" t="s">
        <v>79</v>
      </c>
      <c r="D5" s="12" t="s">
        <v>3092</v>
      </c>
      <c r="E5" s="12" t="s">
        <v>3093</v>
      </c>
    </row>
    <row r="6" spans="1:5" ht="18" customHeight="1" x14ac:dyDescent="0.25">
      <c r="A6" s="12" t="s">
        <v>3085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 x14ac:dyDescent="0.25">
      <c r="A7" s="12" t="s">
        <v>3085</v>
      </c>
      <c r="B7" s="12" t="s">
        <v>3096</v>
      </c>
      <c r="C7" s="12" t="s">
        <v>36</v>
      </c>
      <c r="D7" s="12" t="s">
        <v>3097</v>
      </c>
      <c r="E7" s="12" t="s">
        <v>3098</v>
      </c>
    </row>
    <row r="8" spans="1:5" ht="18" customHeight="1" x14ac:dyDescent="0.25">
      <c r="A8" s="12" t="s">
        <v>3085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 x14ac:dyDescent="0.25">
      <c r="A9" s="12" t="s">
        <v>3085</v>
      </c>
      <c r="B9" s="12" t="s">
        <v>3101</v>
      </c>
      <c r="C9" s="12" t="s">
        <v>464</v>
      </c>
      <c r="D9" s="12" t="s">
        <v>3102</v>
      </c>
      <c r="E9" s="12" t="s">
        <v>3103</v>
      </c>
    </row>
    <row r="10" spans="1:5" ht="18" customHeight="1" x14ac:dyDescent="0.25">
      <c r="A10" s="12" t="s">
        <v>3085</v>
      </c>
      <c r="B10" s="12" t="s">
        <v>3101</v>
      </c>
      <c r="C10" s="12" t="s">
        <v>206</v>
      </c>
      <c r="D10" s="12" t="s">
        <v>24</v>
      </c>
      <c r="E10" s="12" t="s">
        <v>3104</v>
      </c>
    </row>
    <row r="11" spans="1:5" ht="18" customHeight="1" x14ac:dyDescent="0.25">
      <c r="A11" s="12" t="s">
        <v>3085</v>
      </c>
      <c r="B11" s="12" t="s">
        <v>3101</v>
      </c>
      <c r="C11" s="12" t="s">
        <v>371</v>
      </c>
      <c r="D11" s="12" t="s">
        <v>24</v>
      </c>
      <c r="E11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3106</v>
      </c>
      <c r="B1" s="5" t="s">
        <v>10</v>
      </c>
      <c r="C1" s="15" t="s">
        <v>3107</v>
      </c>
      <c r="D1" s="15" t="s">
        <v>3021</v>
      </c>
    </row>
    <row r="2" spans="1:4" ht="21" customHeight="1" x14ac:dyDescent="0.25">
      <c r="A2" s="103" t="s">
        <v>24</v>
      </c>
      <c r="B2" s="103" t="s">
        <v>38</v>
      </c>
      <c r="C2" s="12" t="s">
        <v>3108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2799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3080</v>
      </c>
      <c r="B1" s="12" t="s">
        <v>3081</v>
      </c>
      <c r="C1" s="13" t="s">
        <v>3082</v>
      </c>
      <c r="D1" s="13" t="s">
        <v>3083</v>
      </c>
      <c r="E1" s="13" t="s">
        <v>3084</v>
      </c>
    </row>
    <row r="2" spans="1:5" ht="18" customHeight="1" x14ac:dyDescent="0.25">
      <c r="A2" s="12" t="s">
        <v>3111</v>
      </c>
      <c r="B2" s="12" t="s">
        <v>3086</v>
      </c>
      <c r="C2" s="14" t="s">
        <v>25</v>
      </c>
      <c r="D2" s="12" t="s">
        <v>3087</v>
      </c>
      <c r="E2" s="17" t="s">
        <v>3112</v>
      </c>
    </row>
    <row r="3" spans="1:5" ht="18" customHeight="1" x14ac:dyDescent="0.25">
      <c r="A3" s="12" t="s">
        <v>3111</v>
      </c>
      <c r="B3" s="12" t="s">
        <v>3086</v>
      </c>
      <c r="C3" s="12" t="s">
        <v>75</v>
      </c>
      <c r="D3" s="12" t="s">
        <v>3089</v>
      </c>
      <c r="E3" s="12" t="s">
        <v>3113</v>
      </c>
    </row>
    <row r="4" spans="1:5" ht="18" customHeight="1" x14ac:dyDescent="0.25">
      <c r="A4" s="12" t="s">
        <v>3111</v>
      </c>
      <c r="B4" s="12" t="s">
        <v>3086</v>
      </c>
      <c r="C4" s="12" t="s">
        <v>79</v>
      </c>
      <c r="D4" s="12" t="s">
        <v>3092</v>
      </c>
      <c r="E4" s="12" t="s">
        <v>3114</v>
      </c>
    </row>
    <row r="5" spans="1:5" ht="27.75" customHeight="1" x14ac:dyDescent="0.25">
      <c r="A5" s="12" t="s">
        <v>3111</v>
      </c>
      <c r="B5" s="12" t="s">
        <v>3086</v>
      </c>
      <c r="C5" s="12" t="s">
        <v>2702</v>
      </c>
      <c r="D5" s="17" t="s">
        <v>3115</v>
      </c>
      <c r="E5" s="12" t="s">
        <v>3116</v>
      </c>
    </row>
    <row r="6" spans="1:5" ht="18" customHeight="1" x14ac:dyDescent="0.25">
      <c r="A6" s="12" t="s">
        <v>3111</v>
      </c>
      <c r="B6" s="12" t="s">
        <v>3086</v>
      </c>
      <c r="C6" s="12" t="s">
        <v>2749</v>
      </c>
      <c r="D6" s="12" t="s">
        <v>3094</v>
      </c>
      <c r="E6" s="12" t="s">
        <v>3095</v>
      </c>
    </row>
    <row r="7" spans="1:5" ht="18" customHeight="1" x14ac:dyDescent="0.25">
      <c r="A7" s="12" t="s">
        <v>3111</v>
      </c>
      <c r="B7" s="12" t="s">
        <v>3096</v>
      </c>
      <c r="C7" s="12" t="s">
        <v>2728</v>
      </c>
      <c r="D7" s="12" t="s">
        <v>3117</v>
      </c>
      <c r="E7" s="12" t="s">
        <v>3118</v>
      </c>
    </row>
    <row r="8" spans="1:5" ht="18" customHeight="1" x14ac:dyDescent="0.25">
      <c r="A8" s="12" t="s">
        <v>3111</v>
      </c>
      <c r="B8" s="12" t="s">
        <v>3096</v>
      </c>
      <c r="C8" s="12" t="s">
        <v>42</v>
      </c>
      <c r="D8" s="12" t="s">
        <v>3099</v>
      </c>
      <c r="E8" s="12" t="s">
        <v>3100</v>
      </c>
    </row>
    <row r="9" spans="1:5" ht="18" customHeight="1" x14ac:dyDescent="0.25">
      <c r="A9" s="12" t="s">
        <v>3111</v>
      </c>
      <c r="B9" s="12" t="s">
        <v>3096</v>
      </c>
      <c r="C9" s="12" t="s">
        <v>2708</v>
      </c>
      <c r="D9" s="12" t="s">
        <v>3119</v>
      </c>
      <c r="E9" s="17" t="s">
        <v>3120</v>
      </c>
    </row>
    <row r="10" spans="1:5" ht="18" customHeight="1" x14ac:dyDescent="0.25">
      <c r="A10" s="12" t="s">
        <v>3111</v>
      </c>
      <c r="B10" s="12" t="s">
        <v>3121</v>
      </c>
      <c r="C10" s="12" t="s">
        <v>3078</v>
      </c>
      <c r="D10" s="12" t="s">
        <v>3122</v>
      </c>
      <c r="E10" s="17" t="s">
        <v>3123</v>
      </c>
    </row>
    <row r="11" spans="1:5" ht="18" customHeight="1" x14ac:dyDescent="0.25">
      <c r="A11" s="12" t="s">
        <v>3111</v>
      </c>
      <c r="B11" s="12" t="s">
        <v>3121</v>
      </c>
      <c r="C11" s="12" t="s">
        <v>206</v>
      </c>
      <c r="D11" s="12" t="s">
        <v>24</v>
      </c>
      <c r="E11" s="12" t="s">
        <v>3104</v>
      </c>
    </row>
    <row r="12" spans="1:5" ht="18" customHeight="1" x14ac:dyDescent="0.25">
      <c r="A12" s="12" t="s">
        <v>3111</v>
      </c>
      <c r="B12" s="12" t="s">
        <v>3121</v>
      </c>
      <c r="C12" s="12" t="s">
        <v>371</v>
      </c>
      <c r="D12" s="12" t="s">
        <v>24</v>
      </c>
      <c r="E12" s="12" t="s">
        <v>3105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3125</v>
      </c>
    </row>
    <row r="4" spans="1:8" ht="21.95" customHeight="1" x14ac:dyDescent="0.25">
      <c r="A4" s="234" t="s">
        <v>3126</v>
      </c>
      <c r="B4" s="235"/>
      <c r="D4" s="234" t="s">
        <v>3127</v>
      </c>
      <c r="E4" s="235"/>
      <c r="G4" s="234" t="s">
        <v>3128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3129</v>
      </c>
      <c r="B7" s="62" t="s">
        <v>3130</v>
      </c>
      <c r="C7" s="62" t="s">
        <v>1</v>
      </c>
      <c r="D7" s="62" t="s">
        <v>3131</v>
      </c>
      <c r="E7" s="62" t="s">
        <v>3132</v>
      </c>
      <c r="F7" s="62" t="s">
        <v>3021</v>
      </c>
      <c r="G7" s="62" t="s">
        <v>5</v>
      </c>
      <c r="H7" s="62" t="s">
        <v>3133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3134</v>
      </c>
      <c r="B1" s="239"/>
      <c r="C1" s="239"/>
      <c r="D1" s="239"/>
      <c r="E1" s="239"/>
      <c r="F1" s="239"/>
    </row>
    <row r="2" spans="1:7" x14ac:dyDescent="0.25">
      <c r="A2" s="240" t="s">
        <v>3135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3024</v>
      </c>
      <c r="C4" s="25" t="s">
        <v>3025</v>
      </c>
      <c r="D4" s="25" t="s">
        <v>3136</v>
      </c>
      <c r="E4" s="25" t="s">
        <v>3026</v>
      </c>
      <c r="F4" s="25" t="s">
        <v>3137</v>
      </c>
    </row>
    <row r="5" spans="1:7" x14ac:dyDescent="0.25">
      <c r="A5" t="str" cm="1">
        <f t="array" ref="A5:A57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4</v>
      </c>
      <c r="C5" s="26">
        <f>IF($A5="","",SUMIFS('GECC 2026'!I$2:I$200,'GECC 2026'!F$2:F$200,$A5))</f>
        <v>1.2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5.2</v>
      </c>
      <c r="F5" s="24">
        <f>IF($A5="","",COUNTIFS('GECC 2026'!F$2:F$200,$A5))</f>
        <v>1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32</v>
      </c>
      <c r="C6" s="26">
        <f>IF($A6="","",SUMIFS('GECC 2026'!I$2:I$200,'GECC 2026'!F$2:F$200,$A6))</f>
        <v>8.64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40.64</v>
      </c>
      <c r="F6" s="24">
        <f>IF($A6="","",COUNTIFS('GECC 2026'!F$2:F$200,$A6))</f>
        <v>9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57</v>
      </c>
      <c r="C14" s="26">
        <f>IF($A14="","",SUMIFS('GECC 2026'!I$2:I$200,'GECC 2026'!F$2:F$200,$A14))</f>
        <v>12.539999999999997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69.540000000000006</v>
      </c>
      <c r="F14" s="24">
        <f>IF($A14="","",COUNTIFS('GECC 2026'!F$2:F$200,$A14))</f>
        <v>12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35</v>
      </c>
      <c r="C24" s="26">
        <f>IF($A24="","",SUMIFS('GECC 2026'!I$2:I$200,'GECC 2026'!F$2:F$200,$A24))</f>
        <v>9.5399999999999991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44.540000000000006</v>
      </c>
      <c r="F24" s="24">
        <f>IF($A24="","",COUNTIFS('GECC 2026'!F$2:F$200,$A24))</f>
        <v>9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Luiz Felipe Tenório de Lima Gondim</v>
      </c>
      <c r="B38" s="26">
        <f>IF($A38="","",SUMIFS('GECC 2026'!H$2:H$200,'GECC 2026'!F$2:F$200,$A38))</f>
        <v>20</v>
      </c>
      <c r="C38" s="26">
        <f>IF($A38="","",SUMIFS('GECC 2026'!I$2:I$200,'GECC 2026'!F$2:F$200,$A38))</f>
        <v>5.04</v>
      </c>
      <c r="D38" s="101">
        <f>IF($A38="","",SUMIFS('GECC 2026'!$AE$3:$AE$32,'GECC 2026'!$AD$3:$AD$32,$A38))</f>
        <v>0</v>
      </c>
      <c r="E38" s="93">
        <f>IF($A38="","",SUMIFS('GECC 2026'!J$2:J$200,'GECC 2026'!F$2:F$200,$A38)+SUMIFS('GECC 2026'!$AE$3:$AE$32,'GECC 2026'!$AD$3:$AD$32,$A38))</f>
        <v>25.04</v>
      </c>
      <c r="F38" s="24">
        <f>IF($A38="","",COUNTIFS('GECC 2026'!F$2:F$200,$A38))</f>
        <v>5</v>
      </c>
    </row>
    <row r="39" spans="1:6" x14ac:dyDescent="0.25">
      <c r="A39" t="str">
        <v>Marcelo Bálbio Moraes</v>
      </c>
      <c r="B39" s="26">
        <f>IF($A39="","",SUMIFS('GECC 2026'!H$2:H$200,'GECC 2026'!F$2:F$200,$A39))</f>
        <v>0</v>
      </c>
      <c r="C39" s="26">
        <f>IF($A39="","",SUMIFS('GECC 2026'!I$2:I$200,'GECC 2026'!F$2:F$200,$A39))</f>
        <v>0</v>
      </c>
      <c r="D39" s="101">
        <f>IF($A39="","",SUMIFS('GECC 2026'!$AE$3:$AE$32,'GECC 2026'!$AD$3:$AD$32,$A39))</f>
        <v>16</v>
      </c>
      <c r="E39" s="93">
        <f>IF($A39="","",SUMIFS('GECC 2026'!J$2:J$200,'GECC 2026'!F$2:F$200,$A39)+SUMIFS('GECC 2026'!$AE$3:$AE$32,'GECC 2026'!$AD$3:$AD$32,$A39))</f>
        <v>16</v>
      </c>
      <c r="F39" s="24">
        <f>IF($A39="","",COUNTIFS('GECC 2026'!F$2:F$200,$A39))</f>
        <v>0</v>
      </c>
    </row>
    <row r="40" spans="1:6" x14ac:dyDescent="0.25">
      <c r="A40" t="str">
        <v>Marcelo Santana</v>
      </c>
      <c r="B40" s="26">
        <f>IF($A40="","",SUMIFS('GECC 2026'!H$2:H$200,'GECC 2026'!F$2:F$200,$A40))</f>
        <v>1</v>
      </c>
      <c r="C40" s="26">
        <f>IF($A40="","",SUMIFS('GECC 2026'!I$2:I$200,'GECC 2026'!F$2:F$200,$A40))</f>
        <v>0.3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1.3</v>
      </c>
      <c r="F40" s="24">
        <f>IF($A40="","",COUNTIFS('GECC 2026'!F$2:F$200,$A40))</f>
        <v>1</v>
      </c>
    </row>
    <row r="41" spans="1:6" x14ac:dyDescent="0.25">
      <c r="A41" t="str">
        <v>Marcelo Silva Santana</v>
      </c>
      <c r="B41" s="26">
        <f>IF($A41="","",SUMIFS('GECC 2026'!H$2:H$200,'GECC 2026'!F$2:F$200,$A41))</f>
        <v>4</v>
      </c>
      <c r="C41" s="26">
        <f>IF($A41="","",SUMIFS('GECC 2026'!I$2:I$200,'GECC 2026'!F$2:F$200,$A41))</f>
        <v>1.2</v>
      </c>
      <c r="D41" s="101">
        <f>IF($A41="","",SUMIFS('GECC 2026'!$AE$3:$AE$32,'GECC 2026'!$AD$3:$AD$32,$A41))</f>
        <v>0</v>
      </c>
      <c r="E41" s="93">
        <f>IF($A41="","",SUMIFS('GECC 2026'!J$2:J$200,'GECC 2026'!F$2:F$200,$A41)+SUMIFS('GECC 2026'!$AE$3:$AE$32,'GECC 2026'!$AD$3:$AD$32,$A41))</f>
        <v>5.2</v>
      </c>
      <c r="F41" s="24">
        <f>IF($A41="","",COUNTIFS('GECC 2026'!F$2:F$200,$A41))</f>
        <v>1</v>
      </c>
    </row>
    <row r="42" spans="1:6" x14ac:dyDescent="0.25">
      <c r="A42" t="str">
        <v>Mauri Siqueira Montessi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Michel Martins de Morais</v>
      </c>
      <c r="B43" s="26">
        <f>IF($A43="","",SUMIFS('GECC 2026'!H$2:H$200,'GECC 2026'!F$2:F$200,$A43))</f>
        <v>0</v>
      </c>
      <c r="C43" s="26">
        <f>IF($A43="","",SUMIFS('GECC 2026'!I$2:I$200,'GECC 2026'!F$2:F$200,$A43))</f>
        <v>0</v>
      </c>
      <c r="D43" s="101">
        <f>IF($A43="","",SUMIFS('GECC 2026'!$AE$3:$AE$32,'GECC 2026'!$AD$3:$AD$32,$A43))</f>
        <v>16</v>
      </c>
      <c r="E43" s="93">
        <f>IF($A43="","",SUMIFS('GECC 2026'!J$2:J$200,'GECC 2026'!F$2:F$200,$A43)+SUMIFS('GECC 2026'!$AE$3:$AE$32,'GECC 2026'!$AD$3:$AD$32,$A43))</f>
        <v>16</v>
      </c>
      <c r="F43" s="24">
        <f>IF($A43="","",COUNTIFS('GECC 2026'!F$2:F$200,$A43))</f>
        <v>0</v>
      </c>
    </row>
    <row r="44" spans="1:6" x14ac:dyDescent="0.25">
      <c r="A44" t="str">
        <v>Paulo José Góes Daltro</v>
      </c>
      <c r="B44" s="26">
        <f>IF($A44="","",SUMIFS('GECC 2026'!H$2:H$200,'GECC 2026'!F$2:F$200,$A44))</f>
        <v>0</v>
      </c>
      <c r="C44" s="26">
        <f>IF($A44="","",SUMIFS('GECC 2026'!I$2:I$200,'GECC 2026'!F$2:F$200,$A44))</f>
        <v>0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0</v>
      </c>
      <c r="F44" s="24">
        <f>IF($A44="","",COUNTIFS('GECC 2026'!F$2:F$200,$A44))</f>
        <v>4</v>
      </c>
    </row>
    <row r="45" spans="1:6" x14ac:dyDescent="0.25">
      <c r="A45" t="str">
        <v>Priscila Nolasco de Oliveira</v>
      </c>
      <c r="B45" s="26">
        <f>IF($A45="","",SUMIFS('GECC 2026'!H$2:H$200,'GECC 2026'!F$2:F$200,$A45))</f>
        <v>32</v>
      </c>
      <c r="C45" s="26">
        <f>IF($A45="","",SUMIFS('GECC 2026'!I$2:I$200,'GECC 2026'!F$2:F$200,$A45))</f>
        <v>8.64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40.640000000000008</v>
      </c>
      <c r="F45" s="24">
        <f>IF($A45="","",COUNTIFS('GECC 2026'!F$2:F$200,$A45))</f>
        <v>8</v>
      </c>
    </row>
    <row r="46" spans="1:6" x14ac:dyDescent="0.25">
      <c r="A46" t="str">
        <v>Reinaldo Alencar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Renan Dias da Silva</v>
      </c>
      <c r="B47" s="26">
        <f>IF($A47="","",SUMIFS('GECC 2026'!H$2:H$200,'GECC 2026'!F$2:F$200,$A47))</f>
        <v>4</v>
      </c>
      <c r="C47" s="26">
        <f>IF($A47="","",SUMIFS('GECC 2026'!I$2:I$200,'GECC 2026'!F$2:F$200,$A47))</f>
        <v>1.2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5.2</v>
      </c>
      <c r="F47" s="24">
        <f>IF($A47="","",COUNTIFS('GECC 2026'!F$2:F$200,$A47))</f>
        <v>1</v>
      </c>
    </row>
    <row r="48" spans="1:6" x14ac:dyDescent="0.25">
      <c r="A48" t="str">
        <v>Rogério Ribeiro</v>
      </c>
      <c r="B48" s="26">
        <f>IF($A48="","",SUMIFS('GECC 2026'!H$2:H$200,'GECC 2026'!F$2:F$200,$A48))</f>
        <v>48</v>
      </c>
      <c r="C48" s="26">
        <f>IF($A48="","",SUMIFS('GECC 2026'!I$2:I$200,'GECC 2026'!F$2:F$200,$A48))</f>
        <v>7.1999999999999993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55.2</v>
      </c>
      <c r="F48" s="24">
        <f>IF($A48="","",COUNTIFS('GECC 2026'!F$2:F$200,$A48))</f>
        <v>3</v>
      </c>
    </row>
    <row r="49" spans="1:6" x14ac:dyDescent="0.25">
      <c r="A49" t="str">
        <v>Rômulo Miranda Alvim</v>
      </c>
      <c r="B49" s="26">
        <f>IF($A49="","",SUMIFS('GECC 2026'!H$2:H$200,'GECC 2026'!F$2:F$200,$A49))</f>
        <v>24</v>
      </c>
      <c r="C49" s="26">
        <f>IF($A49="","",SUMIFS('GECC 2026'!I$2:I$200,'GECC 2026'!F$2:F$200,$A49))</f>
        <v>3.6</v>
      </c>
      <c r="D49" s="101">
        <f>IF($A49="","",SUMIFS('GECC 2026'!$AE$3:$AE$32,'GECC 2026'!$AD$3:$AD$32,$A49))</f>
        <v>16</v>
      </c>
      <c r="E49" s="93">
        <f>IF($A49="","",SUMIFS('GECC 2026'!J$2:J$200,'GECC 2026'!F$2:F$200,$A49)+SUMIFS('GECC 2026'!$AE$3:$AE$32,'GECC 2026'!$AD$3:$AD$32,$A49))</f>
        <v>43.6</v>
      </c>
      <c r="F49" s="24">
        <f>IF($A49="","",COUNTIFS('GECC 2026'!F$2:F$200,$A49))</f>
        <v>2</v>
      </c>
    </row>
    <row r="50" spans="1:6" x14ac:dyDescent="0.25">
      <c r="A50" t="str">
        <v>Sara Cristina Lins Ramos</v>
      </c>
      <c r="B50" s="26">
        <f>IF($A50="","",SUMIFS('GECC 2026'!H$2:H$200,'GECC 2026'!F$2:F$200,$A50))</f>
        <v>8</v>
      </c>
      <c r="C50" s="26">
        <f>IF($A50="","",SUMIFS('GECC 2026'!I$2:I$200,'GECC 2026'!F$2:F$200,$A50))</f>
        <v>2.4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10.4</v>
      </c>
      <c r="F50" s="24">
        <f>IF($A50="","",COUNTIFS('GECC 2026'!F$2:F$200,$A50))</f>
        <v>1</v>
      </c>
    </row>
    <row r="51" spans="1:6" x14ac:dyDescent="0.25">
      <c r="A51" t="str">
        <v>Servidores, colaboradores e estagiários do TCDF</v>
      </c>
      <c r="B51" s="26">
        <f>IF($A51="","",SUMIFS('GECC 2026'!H$2:H$200,'GECC 2026'!F$2:F$200,$A51))</f>
        <v>0</v>
      </c>
      <c r="C51" s="26">
        <f>IF($A51="","",SUMIFS('GECC 2026'!I$2:I$200,'GECC 2026'!F$2:F$200,$A51))</f>
        <v>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0</v>
      </c>
      <c r="F51" s="24">
        <f>IF($A51="","",COUNTIFS('GECC 2026'!F$2:F$200,$A51))</f>
        <v>1</v>
      </c>
    </row>
    <row r="52" spans="1:6" x14ac:dyDescent="0.25">
      <c r="A52" t="str">
        <v>Silvia Lima Damasceno Carvalho</v>
      </c>
      <c r="B52" s="26">
        <f>IF($A52="","",SUMIFS('GECC 2026'!H$2:H$200,'GECC 2026'!F$2:F$200,$A52))</f>
        <v>21</v>
      </c>
      <c r="C52" s="26">
        <f>IF($A52="","",SUMIFS('GECC 2026'!I$2:I$200,'GECC 2026'!F$2:F$200,$A52))</f>
        <v>6.3000000000000007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27.299999999999997</v>
      </c>
      <c r="F52" s="24">
        <f>IF($A52="","",COUNTIFS('GECC 2026'!F$2:F$200,$A52))</f>
        <v>6</v>
      </c>
    </row>
    <row r="53" spans="1:6" x14ac:dyDescent="0.25">
      <c r="A53" t="str">
        <v>Tarsila Firmino Ely</v>
      </c>
      <c r="B53" s="26">
        <f>IF($A53="","",SUMIFS('GECC 2026'!H$2:H$200,'GECC 2026'!F$2:F$200,$A53))</f>
        <v>76</v>
      </c>
      <c r="C53" s="26">
        <f>IF($A53="","",SUMIFS('GECC 2026'!I$2:I$200,'GECC 2026'!F$2:F$200,$A53))</f>
        <v>79.999999999999986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155.99999999999997</v>
      </c>
      <c r="F53" s="24">
        <f>IF($A53="","",COUNTIFS('GECC 2026'!F$2:F$200,$A53))</f>
        <v>6</v>
      </c>
    </row>
    <row r="54" spans="1:6" x14ac:dyDescent="0.25">
      <c r="A54" t="str">
        <v>Thiago Magalhães de Oliveira</v>
      </c>
      <c r="B54" s="26">
        <f>IF($A54="","",SUMIFS('GECC 2026'!H$2:H$200,'GECC 2026'!F$2:F$200,$A54))</f>
        <v>4</v>
      </c>
      <c r="C54" s="26">
        <f>IF($A54="","",SUMIFS('GECC 2026'!I$2:I$200,'GECC 2026'!F$2:F$200,$A54))</f>
        <v>1.2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5.2</v>
      </c>
      <c r="F54" s="24">
        <f>IF($A54="","",COUNTIFS('GECC 2026'!F$2:F$200,$A54))</f>
        <v>1</v>
      </c>
    </row>
    <row r="55" spans="1:6" x14ac:dyDescent="0.25">
      <c r="A55" t="str">
        <v>Túllio Herbeth Teixeira Moraes</v>
      </c>
      <c r="B55" s="26">
        <f>IF($A55="","",SUMIFS('GECC 2026'!H$2:H$200,'GECC 2026'!F$2:F$200,$A55))</f>
        <v>3</v>
      </c>
      <c r="C55" s="26">
        <f>IF($A55="","",SUMIFS('GECC 2026'!I$2:I$200,'GECC 2026'!F$2:F$200,$A55))</f>
        <v>0.9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3.9</v>
      </c>
      <c r="F55" s="24">
        <f>IF($A55="","",COUNTIFS('GECC 2026'!F$2:F$200,$A55))</f>
        <v>1</v>
      </c>
    </row>
    <row r="56" spans="1:6" x14ac:dyDescent="0.25">
      <c r="A56" t="str">
        <v>Valéria Feitoza</v>
      </c>
      <c r="B56" s="26">
        <f>IF($A56="","",SUMIFS('GECC 2026'!H$2:H$200,'GECC 2026'!F$2:F$200,$A56))</f>
        <v>0</v>
      </c>
      <c r="C56" s="26">
        <f>IF($A56="","",SUMIFS('GECC 2026'!I$2:I$200,'GECC 2026'!F$2:F$200,$A56))</f>
        <v>0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0</v>
      </c>
      <c r="F56" s="24">
        <f>IF($A56="","",COUNTIFS('GECC 2026'!F$2:F$200,$A56))</f>
        <v>1</v>
      </c>
    </row>
    <row r="57" spans="1:6" x14ac:dyDescent="0.25">
      <c r="A57" t="str">
        <v>Wibys Pereira</v>
      </c>
      <c r="B57" s="26">
        <f>IF($A57="","",SUMIFS('GECC 2026'!H$2:H$200,'GECC 2026'!F$2:F$200,$A57))</f>
        <v>4</v>
      </c>
      <c r="C57" s="26">
        <f>IF($A57="","",SUMIFS('GECC 2026'!I$2:I$200,'GECC 2026'!F$2:F$200,$A57))</f>
        <v>1.2</v>
      </c>
      <c r="D57" s="101">
        <f>IF($A57="","",SUMIFS('GECC 2026'!$AE$3:$AE$32,'GECC 2026'!$AD$3:$AD$32,$A57))</f>
        <v>0</v>
      </c>
      <c r="E57" s="93">
        <f>IF($A57="","",SUMIFS('GECC 2026'!J$2:J$200,'GECC 2026'!F$2:F$200,$A57)+SUMIFS('GECC 2026'!$AE$3:$AE$32,'GECC 2026'!$AD$3:$AD$32,$A57))</f>
        <v>5.2</v>
      </c>
      <c r="F57" s="24">
        <f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3072</v>
      </c>
      <c r="B105" s="95">
        <f>SUM(B5:B100)</f>
        <v>748</v>
      </c>
      <c r="C105" s="95">
        <f>SUM(C5:C100)</f>
        <v>392.59999999999991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3138</v>
      </c>
      <c r="B1" s="125" t="s">
        <v>3139</v>
      </c>
      <c r="C1" s="125" t="s">
        <v>3140</v>
      </c>
      <c r="D1" s="125" t="s">
        <v>3141</v>
      </c>
      <c r="E1" s="125" t="s">
        <v>3142</v>
      </c>
      <c r="F1" s="125" t="s">
        <v>3143</v>
      </c>
      <c r="G1" s="125" t="s">
        <v>10</v>
      </c>
      <c r="H1" s="125" t="s">
        <v>3144</v>
      </c>
      <c r="I1" s="125" t="s">
        <v>3145</v>
      </c>
      <c r="J1" s="125" t="s">
        <v>3146</v>
      </c>
      <c r="K1" s="125" t="s">
        <v>3147</v>
      </c>
      <c r="L1" s="125" t="s">
        <v>3148</v>
      </c>
      <c r="N1" s="126" t="s">
        <v>3149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3150</v>
      </c>
      <c r="L2" t="str">
        <f>IF(K2="","",IFERROR(INDEX(Tabela2[Curso],MATCH(K2,Tabela2[ID],0)),""))</f>
        <v/>
      </c>
      <c r="N2" s="125" t="s">
        <v>3020</v>
      </c>
      <c r="O2" s="125" t="s">
        <v>4</v>
      </c>
      <c r="P2" s="125" t="s">
        <v>3151</v>
      </c>
      <c r="Q2" s="125" t="s">
        <v>3152</v>
      </c>
      <c r="R2" s="125" t="s">
        <v>3153</v>
      </c>
      <c r="S2" s="125" t="s">
        <v>3154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3150</v>
      </c>
      <c r="L3" t="str">
        <f>IF(K3="","",IFERROR(INDEX(Tabela2[Curso],MATCH(K3,Tabela2[ID],0)),""))</f>
        <v/>
      </c>
      <c r="N3" t="s">
        <v>2869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3150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3150</v>
      </c>
      <c r="L5" t="str">
        <f>IF(K5="","",IFERROR(INDEX(Tabela2[Curso],MATCH(K5,Tabela2[ID],0)),""))</f>
        <v/>
      </c>
      <c r="N5" t="s">
        <v>2931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3150</v>
      </c>
      <c r="L6" t="str">
        <f>IF(K6="","",IFERROR(INDEX(Tabela2[Curso],MATCH(K6,Tabela2[ID],0)),""))</f>
        <v/>
      </c>
      <c r="N6" t="s">
        <v>2791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3150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3150</v>
      </c>
      <c r="L8" t="str">
        <f>IF(K8="","",IFERROR(INDEX(Tabela2[Curso],MATCH(K8,Tabela2[ID],0)),""))</f>
        <v/>
      </c>
      <c r="N8" t="s">
        <v>2831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3150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3150</v>
      </c>
      <c r="L10" t="str">
        <f>IF(K10="","",IFERROR(INDEX(Tabela2[Curso],MATCH(K10,Tabela2[ID],0)),""))</f>
        <v/>
      </c>
      <c r="N10" s="124" t="s">
        <v>3155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3150</v>
      </c>
      <c r="L11" t="str">
        <f>IF(K11="","",IFERROR(INDEX(Tabela2[Curso],MATCH(K11,Tabela2[ID],0)),""))</f>
        <v/>
      </c>
      <c r="N11" s="127" t="s">
        <v>3156</v>
      </c>
      <c r="O11" s="127" t="s">
        <v>3157</v>
      </c>
      <c r="P11" s="127" t="s">
        <v>3158</v>
      </c>
      <c r="Q11" s="127" t="s">
        <v>3141</v>
      </c>
      <c r="R11" s="127" t="s">
        <v>3142</v>
      </c>
      <c r="S11" s="127" t="s">
        <v>3159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3150</v>
      </c>
      <c r="L12" t="str">
        <f>IF(K12="","",IFERROR(INDEX(Tabela2[Curso],MATCH(K12,Tabela2[ID],0)),""))</f>
        <v/>
      </c>
      <c r="N12" t="s">
        <v>3160</v>
      </c>
      <c r="O12" t="s">
        <v>2778</v>
      </c>
      <c r="P12" t="s">
        <v>3161</v>
      </c>
      <c r="Q12">
        <v>0</v>
      </c>
      <c r="R12">
        <v>0</v>
      </c>
      <c r="S12" t="s">
        <v>3162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3150</v>
      </c>
      <c r="L13" t="str">
        <f>IF(K13="","",IFERROR(INDEX(Tabela2[Curso],MATCH(K13,Tabela2[ID],0)),""))</f>
        <v/>
      </c>
      <c r="N13" t="s">
        <v>3163</v>
      </c>
      <c r="O13" t="s">
        <v>2869</v>
      </c>
      <c r="P13" t="s">
        <v>3164</v>
      </c>
      <c r="Q13">
        <v>0</v>
      </c>
      <c r="R13">
        <v>0</v>
      </c>
      <c r="S13" t="s">
        <v>3165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3150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3150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3150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3150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3150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3150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3150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3150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3150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3150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3150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3150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3150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3150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3150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3150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3150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3150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3150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3150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3150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3150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3150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3150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3150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3150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3150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3150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3150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3150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 t="shared" si="3"/>
        <v>sim</v>
      </c>
      <c r="J44" t="s">
        <v>3150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 t="shared" si="3"/>
        <v>sim</v>
      </c>
      <c r="J45" t="s">
        <v>3150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 t="shared" si="3"/>
        <v>sim</v>
      </c>
      <c r="J46" t="s">
        <v>3150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 t="shared" si="3"/>
        <v>sim</v>
      </c>
      <c r="J47" t="s">
        <v>3150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 t="shared" si="3"/>
        <v>sim</v>
      </c>
      <c r="J48" t="s">
        <v>3150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 t="shared" si="3"/>
        <v>sim</v>
      </c>
      <c r="J49" t="s">
        <v>3150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 t="shared" si="3"/>
        <v>sim</v>
      </c>
      <c r="J50" t="s">
        <v>3150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 t="shared" si="3"/>
        <v>sim</v>
      </c>
      <c r="J51" t="s">
        <v>3150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 t="shared" si="3"/>
        <v>sim</v>
      </c>
      <c r="J52" t="s">
        <v>3150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 t="shared" si="3"/>
        <v>sim</v>
      </c>
      <c r="J53" t="s">
        <v>3150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3150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 t="shared" si="3"/>
        <v>sim</v>
      </c>
      <c r="J55" t="s">
        <v>3150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3150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3150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3150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3150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3150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3150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3150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3150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3150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3150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2026-07-30T18:26:52Z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