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41" documentId="13_ncr:1_{6A2CC3E2-FAFB-4D8F-B284-5E8FB5045DFE}" xr6:coauthVersionLast="47" xr6:coauthVersionMax="47" xr10:uidLastSave="{1BB192DC-11C6-44C9-BCBE-F3528390A09F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A2" i="20" l="1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<sst xmlns="http://schemas.openxmlformats.org/spreadsheetml/2006/main" count="7274" uniqueCount="3197">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</sst>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1" activePane="bottomLeft" state="frozen"/>
      <selection pane="bottomLeft" activeCell="H739" sqref="H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 t="s">
        <v>69</v>
      </c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x14ac:dyDescent="0.25">
      <c r="A739" s="191" t="s">
        <v>3195</v>
      </c>
      <c r="B739" s="183">
        <v>2026</v>
      </c>
      <c r="C739" s="183" t="s">
        <v>2697</v>
      </c>
      <c r="D739" s="183" t="s">
        <v>3194</v>
      </c>
      <c r="E739" s="180" t="s">
        <v>3196</v>
      </c>
      <c r="F739" s="185" t="s">
        <v>24</v>
      </c>
      <c r="G739" s="186" t="s">
        <v>2700</v>
      </c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>
        <f t="shared" si="14"/>
        <v>0</v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1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2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83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72</v>
      </c>
      <c r="C37" s="26">
        <f ca="1">IF($A37="","",SUMIFS('GECC 2026'!I$2:I$200,'GECC 2026'!F$2:F$200,$A37))</f>
        <v>77.599999999999994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149.6</v>
      </c>
      <c r="F37" s="24">
        <f ca="1">IF($A37="","",COUNTIFS('GECC 2026'!F$2:F$200,$A37))</f>
        <v>7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88</v>
      </c>
      <c r="C51" s="26">
        <f ca="1">IF($A51="","",SUMIFS('GECC 2026'!I$2:I$200,'GECC 2026'!F$2:F$200,$A51))</f>
        <v>83.6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171.6</v>
      </c>
      <c r="F51" s="24">
        <f ca="1">IF($A51="","",COUNTIFS('GECC 2026'!F$2:F$200,$A51))</f>
        <v>7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728</v>
      </c>
      <c r="C105" s="95">
        <f ca="1">SUM(C5:C100)</f>
        <v>338.73999999999995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