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16" documentId="13_ncr:1_{6A2CC3E2-FAFB-4D8F-B284-5E8FB5045DFE}" xr6:coauthVersionLast="47" xr6:coauthVersionMax="47" xr10:uidLastSave="{233991EE-505C-4B19-ACDA-598CF791F1E0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R4" i="20" s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l="1"/>
  <c r="T4" i="20" s="1" a="1"/>
  <c r="A2" i="20" l="1" a="1"/>
  <c r="T4" i="20"/>
  <c r="A5" i="23" l="1" a="1"/>
  <c r="E105" i="23"/>
  <c r="A2" i="20"/>
  <c r="F6" i="23" l="1"/>
  <c r="C6" i="23"/>
  <c r="D7" i="23"/>
  <c r="F22" i="23"/>
  <c r="F53" i="23"/>
  <c r="D23" i="23"/>
  <c r="E11" i="23"/>
  <c r="C13" i="23"/>
  <c r="F21" i="23"/>
  <c r="B52" i="23"/>
  <c r="C24" i="23"/>
  <c r="D6" i="23"/>
  <c r="D53" i="23"/>
  <c r="F51" i="23"/>
  <c r="E16" i="23"/>
  <c r="B20" i="23"/>
  <c r="F44" i="23"/>
  <c r="F34" i="23"/>
  <c r="D32" i="23"/>
  <c r="D28" i="23"/>
  <c r="E7" i="23"/>
  <c r="C41" i="23"/>
  <c r="F49" i="23"/>
  <c r="B13" i="23"/>
  <c r="B19" i="23"/>
  <c r="E47" i="23"/>
  <c r="E51" i="23"/>
  <c r="E26" i="23"/>
  <c r="B33" i="23"/>
  <c r="F10" i="23"/>
  <c r="E55" i="23"/>
  <c r="E28" i="23"/>
  <c r="E36" i="23"/>
  <c r="C43" i="23"/>
  <c r="F28" i="23"/>
  <c r="E50" i="23"/>
  <c r="E34" i="23"/>
  <c r="F7" i="23"/>
  <c r="C28" i="23"/>
  <c r="C30" i="23"/>
  <c r="F20" i="23"/>
  <c r="C32" i="23"/>
  <c r="E32" i="23"/>
  <c r="F17" i="23"/>
  <c r="F33" i="23"/>
  <c r="B27" i="23"/>
  <c r="B44" i="23"/>
  <c r="C18" i="23"/>
  <c r="B32" i="23"/>
  <c r="B40" i="23"/>
  <c r="F27" i="23"/>
  <c r="D24" i="23"/>
  <c r="D51" i="23"/>
  <c r="E24" i="23"/>
  <c r="E27" i="23"/>
  <c r="F38" i="23"/>
  <c r="C49" i="23"/>
  <c r="C25" i="23"/>
  <c r="D35" i="23"/>
  <c r="D46" i="23"/>
  <c r="F13" i="23"/>
  <c r="F19" i="23"/>
  <c r="D19" i="23"/>
  <c r="D36" i="23"/>
  <c r="B11" i="23"/>
  <c r="C31" i="23"/>
  <c r="E14" i="23"/>
  <c r="B45" i="23"/>
  <c r="C26" i="23"/>
  <c r="D52" i="23"/>
  <c r="E19" i="23"/>
  <c r="D43" i="23"/>
  <c r="E33" i="23"/>
  <c r="D27" i="23"/>
  <c r="D48" i="23"/>
  <c r="B43" i="23"/>
  <c r="E54" i="23"/>
  <c r="F11" i="23"/>
  <c r="D42" i="23"/>
  <c r="D15" i="23"/>
  <c r="B50" i="23"/>
  <c r="E12" i="23"/>
  <c r="D17" i="23"/>
  <c r="B31" i="23"/>
  <c r="B29" i="23"/>
  <c r="C35" i="23"/>
  <c r="F32" i="23"/>
  <c r="F47" i="23"/>
  <c r="B18" i="23"/>
  <c r="F30" i="23"/>
  <c r="C29" i="23"/>
  <c r="C37" i="23"/>
  <c r="C21" i="23"/>
  <c r="C19" i="23"/>
  <c r="D25" i="23"/>
  <c r="F48" i="23"/>
  <c r="C7" i="23"/>
  <c r="C36" i="23"/>
  <c r="D33" i="23"/>
  <c r="F50" i="23"/>
  <c r="E43" i="23"/>
  <c r="B12" i="23"/>
  <c r="E40" i="23"/>
  <c r="D38" i="23"/>
  <c r="D34" i="23"/>
  <c r="B16" i="23"/>
  <c r="E20" i="23"/>
  <c r="F15" i="23"/>
  <c r="E44" i="23"/>
  <c r="E42" i="23"/>
  <c r="D44" i="23"/>
  <c r="F40" i="23"/>
  <c r="F42" i="23"/>
  <c r="F29" i="23"/>
  <c r="E10" i="23"/>
  <c r="D14" i="23"/>
  <c r="D39" i="23"/>
  <c r="E31" i="23"/>
  <c r="B10" i="23"/>
  <c r="C27" i="23"/>
  <c r="D50" i="23"/>
  <c r="D55" i="23"/>
  <c r="D13" i="23"/>
  <c r="E53" i="23"/>
  <c r="C16" i="23"/>
  <c r="E29" i="23"/>
  <c r="E22" i="23"/>
  <c r="B41" i="23"/>
  <c r="D41" i="23"/>
  <c r="E13" i="23"/>
  <c r="D47" i="23"/>
  <c r="D20" i="23"/>
  <c r="B24" i="23"/>
  <c r="B39" i="23"/>
  <c r="B7" i="23"/>
  <c r="F36" i="23"/>
  <c r="C15" i="23"/>
  <c r="B36" i="23"/>
  <c r="E18" i="23"/>
  <c r="E21" i="23"/>
  <c r="E52" i="23"/>
  <c r="E38" i="23"/>
  <c r="C9" i="23"/>
  <c r="D29" i="23"/>
  <c r="E6" i="23"/>
  <c r="F45" i="23"/>
  <c r="C23" i="23"/>
  <c r="C50" i="23"/>
  <c r="C34" i="23"/>
  <c r="E37" i="23"/>
  <c r="E23" i="23"/>
  <c r="F9" i="23"/>
  <c r="D45" i="23"/>
  <c r="C55" i="23"/>
  <c r="F12" i="23"/>
  <c r="D10" i="23"/>
  <c r="D9" i="23"/>
  <c r="E41" i="23"/>
  <c r="C44" i="23"/>
  <c r="C12" i="23"/>
  <c r="F23" i="23"/>
  <c r="B55" i="23"/>
  <c r="E35" i="23"/>
  <c r="D40" i="23"/>
  <c r="C11" i="23"/>
  <c r="C39" i="23"/>
  <c r="E39" i="23"/>
  <c r="F52" i="23"/>
  <c r="C54" i="23"/>
  <c r="B48" i="23"/>
  <c r="E46" i="23"/>
  <c r="F39" i="23"/>
  <c r="B21" i="23"/>
  <c r="B37" i="23"/>
  <c r="B30" i="23"/>
  <c r="E8" i="23"/>
  <c r="D18" i="23"/>
  <c r="F8" i="23"/>
  <c r="B22" i="23"/>
  <c r="F31" i="23"/>
  <c r="E9" i="23"/>
  <c r="D31" i="23"/>
  <c r="D16" i="23"/>
  <c r="C42" i="23"/>
  <c r="E15" i="23"/>
  <c r="B38" i="23"/>
  <c r="C45" i="23"/>
  <c r="E48" i="23"/>
  <c r="B23" i="23"/>
  <c r="C17" i="23"/>
  <c r="F26" i="23"/>
  <c r="C22" i="23"/>
  <c r="C40" i="23"/>
  <c r="D49" i="23"/>
  <c r="B14" i="23"/>
  <c r="B47" i="23"/>
  <c r="E30" i="23"/>
  <c r="D37" i="23"/>
  <c r="B15" i="23"/>
  <c r="C51" i="23"/>
  <c r="D26" i="23"/>
  <c r="C47" i="23"/>
  <c r="C10" i="23"/>
  <c r="F37" i="23"/>
  <c r="B8" i="23"/>
  <c r="B28" i="23"/>
  <c r="B25" i="23"/>
  <c r="F55" i="23"/>
  <c r="C48" i="23"/>
  <c r="F41" i="23"/>
  <c r="C14" i="23"/>
  <c r="E17" i="23"/>
  <c r="B6" i="23"/>
  <c r="B54" i="23"/>
  <c r="F16" i="23"/>
  <c r="B49" i="23"/>
  <c r="B42" i="23"/>
  <c r="F24" i="23"/>
  <c r="D30" i="23"/>
  <c r="F46" i="23"/>
  <c r="B46" i="23"/>
  <c r="B17" i="23"/>
  <c r="C46" i="23"/>
  <c r="B35" i="23"/>
  <c r="C20" i="23"/>
  <c r="C38" i="23"/>
  <c r="F25" i="23"/>
  <c r="B26" i="23"/>
  <c r="D22" i="23"/>
  <c r="B53" i="23"/>
  <c r="D12" i="23"/>
  <c r="F14" i="23"/>
  <c r="E49" i="23"/>
  <c r="E45" i="23"/>
  <c r="C33" i="23"/>
  <c r="F35" i="23"/>
  <c r="C8" i="23"/>
  <c r="D11" i="23"/>
  <c r="B34" i="23"/>
  <c r="B9" i="23"/>
  <c r="F43" i="23"/>
  <c r="D8" i="23"/>
  <c r="C53" i="23"/>
  <c r="D21" i="23"/>
  <c r="C52" i="23"/>
  <c r="D54" i="23"/>
  <c r="E25" i="23"/>
  <c r="B51" i="23"/>
  <c r="F18" i="23"/>
  <c r="F54" i="23"/>
  <c r="A5" i="23"/>
  <c r="C5" i="23" l="1"/>
  <c r="C105" i="23" s="1"/>
  <c r="F5" i="23"/>
  <c r="F105" i="23" s="1"/>
  <c r="E5" i="23"/>
  <c r="D5" i="23"/>
  <c r="B5" i="23"/>
  <c r="B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<sst xmlns="http://schemas.openxmlformats.org/spreadsheetml/2006/main" count="7253" uniqueCount="3188">
  <si>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</si>
  <si>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</si>
  <si>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</si>
  <si>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</si>
  <si>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</si>
  <si>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</si>
  <si>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</si>
  <si>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</si>
  <si>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</si>
  <si>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</si>
  <si>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</si>
  <si>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</si>
  <si>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</si>
  <si>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</si>
  <si>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</si>
  <si>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</si>
  <si>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</si>
  <si>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</si>
  <si>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</si>
  <si>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</si>
  <si>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</si>
  <si>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</si>
  <si>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</si>
  <si>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</si>
  <si>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</si>
  <si>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</si>
  <si>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</si>
  <si>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</si>
  <si>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</si>
  <si>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</si>
  <si>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</si>
  <si>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</si>
  <si>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</si>
  <si>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</si>
  <si>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</si>
  <si>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</si>
  <si>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</si>
  <si>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</si>
  <si>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</si>
  <si>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</si>
  <si>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</si>
  <si>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</si>
  <si>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</si>
  <si>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</si>
  <si>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</si>
  <si>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</si>
  <si>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</si>
  <si>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</si>
  <si>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</si>
  <si>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</si>
  <si>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</si>
  <si>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</si>
  <si>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</si>
  <si>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</si>
  <si>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</si>
  <si>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</si>
  <si>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</si>
  <si>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</si>
  <si>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</si>
  <si>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</si>
  <si>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</si>
  <si>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</si>
  <si>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</si>
  <si>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</si>
  <si>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</si>
  <si>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</si>
  <si>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</si>
  <si>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</si>
  <si>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</si>
  <si>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</si>
  <si>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</si>
  <si>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</si>
  <si>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</si>
  <si>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</si>
  <si>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</si>
  <si>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</si>
  <si>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</si>
  <si>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</si>
  <si>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</si>
  <si>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</si>
  <si>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</si>
  <si>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</si>
  <si>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</si>
  <si>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</si>
  <si>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</si>
  <si>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</si>
  <si>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</si>
  <si>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</si>
  <si>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</si>
  <si>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</si>
  <si>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</si>
  <si>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</si>
  <si>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</si>
  <si>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</si>
  <si>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</si>
  <si>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</si>
  <si>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</si>
  <si>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</si>
  <si>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</si>
  <si>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</si>
  <si>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</si>
  <si>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</si>
  <si>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</si>
  <si>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</si>
  <si>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</si>
  <si>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</si>
  <si>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</si>
  <si>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</si>
  <si>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</si>
  <si>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</si>
  <si>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</si>
  <si>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</si>
  <si>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</si>
  <si>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</si>
  <si>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</si>
  <si>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</si>
  <si>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</si>
  <si>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</si>
  <si>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</si>
  <si>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</si>
  <si>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</si>
  <si>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</si>
  <si>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</si>
  <si>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</si>
  <si>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</si>
  <si>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</si>
  <si>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</si>
  <si>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</si>
  <si>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</si>
  <si>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</si>
  <si>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</si>
  <si>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</si>
  <si>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</si>
  <si>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</si>
  <si>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</si>
  <si>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</si>
  <si>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</si>
  <si>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</si>
  <si>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</si>
  <si>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</si>
  <si>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</si>
  <si>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</si>
  <si>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</si>
  <si>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</si>
  <si>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</si>
  <si>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</si>
  <si>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</si>
  <si>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</si>
  <si>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</si>
  <si>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</si>
  <si>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</si>
  <si>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</si>
  <si>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</si>
  <si>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</si>
  <si>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</si>
  <si>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</si>
  <si>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</si>
  <si>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</si>
  <si>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</si>
  <si>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</si>
  <si>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</si>
  <si>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</si>
  <si>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</si>
  <si>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</si>
  <si>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</si>
  <si>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</si>
  <si>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</si>
  <si>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</si>
  <si>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</si>
  <si>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</si>
  <si>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</si>
  <si>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</si>
  <si>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</si>
  <si>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</si>
  <si>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</si>
  <si>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</si>
  <si>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</si>
  <si>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</si>
  <si>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</si>
  <si>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</si>
  <si>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</si>
  <si>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</si>
  <si>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</si>
  <si>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</si>
  <si>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</si>
  <si>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</si>
  <si>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</si>
  <si>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</si>
  <si>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</si>
  <si>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</si>
  <si>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</si>
  <si>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</si>
  <si>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</si>
  <si>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</si>
  <si>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</si>
  <si>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</si>
  <si>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</si>
  <si>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</si>
  <si>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</si>
  <si>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</si>
  <si>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</si>
  <si>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</si>
  <si>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</si>
  <si>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</si>
  <si>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</si>
  <si>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</si>
  <si>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</si>
  <si>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</si>
  <si>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</si>
  <si>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</si>
  <si>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</si>
  <si>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</si>
  <si>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</si>
  <si>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</si>
  <si>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</si>
  <si>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</si>
  <si>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</si>
  <si>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</si>
  <si>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</si>
  <si>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</si>
  <si>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</si>
  <si>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</si>
  <si>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</si>
  <si>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</si>
  <si>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</si>
  <si>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</si>
  <si>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</si>
  <si>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</si>
  <si>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</si>
  <si>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</si>
  <si>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</si>
  <si>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</si>
  <si>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</si>
  <si>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</si>
  <si>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</si>
  <si>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</si>
  <si>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</si>
  <si>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</si>
  <si>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</si>
  <si>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</si>
  <si>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</si>
  <si>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</si>
  <si>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</si>
  <si>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</si>
  <si>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</si>
  <si>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</si>
  <si>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</si>
  <si>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</si>
  <si>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</si>
  <si>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</si>
  <si>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</si>
  <si>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</si>
  <si>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</si>
  <si>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</si>
  <si>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</si>
  <si>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</si>
  <si>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</si>
  <si>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</si>
  <si>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</si>
  <si>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</si>
  <si>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</si>
  <si>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</si>
  <si>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</si>
  <si>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</si>
  <si>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</si>
  <si>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</si>
  <si>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</si>
  <si>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</si>
  <si>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</si>
  <si>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</si>
  <si>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</si>
  <si>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</si>
  <si>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</si>
  <si>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</si>
  <si>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</si>
  <si>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</si>
  <si>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</si>
  <si>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</si>
  <si>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</si>
  <si>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</si>
  <si>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</si>
  <si>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</si>
  <si>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</si>
  <si>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</si>
  <si>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</si>
  <si>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</si>
  <si>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</si>
  <si>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</si>
  <si>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</si>
  <si>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</si>
  <si>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</si>
  <si>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</si>
  <si>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</si>
  <si>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</si>
  <si>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</si>
  <si>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</si>
  <si>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</si>
  <si>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</si>
  <si>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</si>
  <si>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</si>
  <si>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</si>
  <si>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</si>
  <si>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</si>
  <si>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</si>
  <si>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</si>
  <si>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</si>
  <si>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</si>
  <si>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</si>
  <si>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</si>
  <si>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</si>
  <si>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</si>
  <si>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</si>
  <si>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</si>
  <si>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</si>
  <si>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</si>
  <si>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</si>
  <si>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</si>
  <si>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</si>
  <si>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</si>
  <si>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</si>
  <si>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</si>
  <si>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</si>
  <si>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</si>
  <si>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</si>
  <si>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</si>
  <si>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</si>
  <si>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</si>
  <si>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</si>
  <si>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</si>
  <si>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</si>
  <si>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</si>
  <si>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</si>
  <si>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</si>
  <si>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</si>
  <si>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</si>
  <si>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</si>
  <si>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</si>
  <si>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</si>
  <si>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</si>
  <si>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</si>
  <si>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</si>
  <si>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</si>
  <si>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</si>
  <si>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</si>
  <si>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</si>
  <si>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</si>
  <si>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</si>
  <si>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</si>
  <si>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</si>
  <si>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</si>
  <si>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</si>
  <si>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</si>
  <si>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</si>
  <si>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</si>
  <si>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</si>
  <si>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</si>
  <si>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</si>
  <si>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</si>
  <si>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</si>
  <si>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</si>
  <si>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</si>
  <si>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</si>
  <si>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</si>
  <si>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</si>
  <si>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</si>
  <si>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</si>
  <si>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</si>
  <si>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</si>
  <si>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</si>
  <si>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</si>
  <si>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</si>
  <si>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</si>
  <si>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</si>
  <si>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</si>
  <si>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</si>
  <si>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</si>
  <si>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</si>
  <si>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</si>
  <si>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</si>
  <si>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</si>
  <si>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</si>
  <si>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</si>
  <si>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</si>
  <si>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</si>
  <si>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</si>
  <si>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</si>
  <si>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</si>
  <si>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</si>
  <si>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</si>
  <si>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</si>
  <si>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</si>
  <si>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</si>
  <si>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</si>
  <si>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</si>
  <si>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</si>
  <si>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</si>
  <si>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</si>
  <si>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</si>
  <si>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</si>
  <si>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</si>
  <si>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</si>
  <si>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</si>
  <si>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</si>
  <si>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</si>
  <si>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</si>
  <si>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</si>
  <si>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</si>
  <si>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</si>
  <si>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</si>
  <si>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</si>
  <si>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</si>
  <si>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</si>
  <si>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</si>
  <si>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</si>
  <si>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</si>
  <si>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</si>
  <si>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</si>
  <si>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</si>
  <si>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</si>
  <si>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</si>
  <si>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</si>
  <si>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</si>
  <si>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</si>
  <si>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</si>
  <si>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</si>
  <si>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</si>
  <si>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</si>
  <si>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</si>
  <si>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</si>
  <si>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</si>
  <si>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</si>
  <si>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</si>
  <si>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</si>
  <si>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</si>
  <si>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</si>
  <si>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</si>
  <si>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</si>
  <si>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</si>
  <si>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</si>
  <si>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</si>
  <si>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</si>
  <si>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</si>
  <si>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</si>
  <si>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</si>
  <si>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</si>
  <si>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</si>
  <si>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</si>
  <si>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</si>
  <si>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</si>
  <si>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</si>
  <si>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</si>
  <si>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</si>
  <si>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</si>
  <si>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</si>
  <si>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</si>
  <si>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</si>
  <si>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</si>
  <si>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</si>
  <si>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</si>
  <si>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</si>
  <si>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</si>
  <si>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</si>
  <si>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</si>
  <si>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</si>
  <si>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</si>
  <si>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</si>
  <si>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</si>
  <si>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</si>
  <si>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</si>
  <si>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</si>
  <si>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</si>
  <si>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</si>
  <si>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</si>
  <si>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</si>
  <si>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</si>
  <si>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</si>
  <si>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</si>
  <si>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</si>
  <si>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</si>
  <si>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</si>
  <si>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</si>
  <si>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</si>
  <si>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</si>
  <si>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</si>
  <si>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</si>
  <si>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</si>
  <si>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</si>
  <si>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</si>
  <si>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</si>
  <si>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</si>
  <si>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</si>
  <si>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</si>
  <si>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</si>
  <si>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</si>
  <si>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</si>
  <si>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</si>
  <si>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</si>
  <si>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</si>
  <si>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</si>
  <si>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</si>
  <si>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</si>
  <si>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</si>
  <si>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</si>
  <si>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</si>
  <si>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</si>
  <si>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</si>
  <si>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</si>
  <si>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</si>
  <si>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</si>
  <si>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</si>
  <si>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</si>
  <si>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</si>
  <si>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</si>
  <si>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</si>
  <si>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</si>
  <si>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</si>
  <si>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</si>
  <si>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</si>
  <si>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</si>
  <si>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</si>
  <si>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</si>
  <si>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</si>
  <si>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</si>
  <si>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</si>
  <si>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</si>
  <si>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</si>
  <si>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</si>
  <si>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</si>
  <si>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</si>
  <si>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</si>
  <si>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</si>
  <si>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</si>
  <si>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</si>
  <si>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</si>
  <si>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</si>
  <si>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</si>
  <si>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</si>
  <si>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</si>
  <si>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</si>
  <si>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</si>
  <si>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</si>
  <si>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</si>
  <si>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</si>
  <si>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</si>
  <si>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</si>
  <si>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</si>
  <si>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</si>
  <si>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</si>
  <si>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</si>
  <si>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</si>
  <si>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</si>
  <si>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</si>
  <si>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</si>
  <si>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</si>
  <si>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</si>
  <si>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</si>
  <si>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</si>
  <si>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</si>
  <si>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</si>
  <si>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</si>
  <si>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</si>
  <si>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</si>
  <si>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</si>
  <si>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</si>
  <si>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</si>
  <si>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</si>
  <si>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</si>
  <si>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</si>
  <si>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</si>
  <si>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</si>
  <si>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</si>
  <si>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</si>
  <si>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</si>
  <si>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</si>
  <si>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</si>
  <si>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</si>
  <si>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</si>
  <si>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</si>
  <si>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</si>
  <si>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</si>
  <si>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</si>
  <si>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</si>
  <si>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</si>
  <si>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</si>
  <si>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</si>
  <si>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</si>
  <si>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</si>
  <si>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</si>
  <si>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</si>
  <si>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</si>
  <si>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</si>
  <si>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</si>
  <si>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</si>
  <si>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</si>
  <si>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</si>
  <si>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</si>
  <si>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</si>
  <si>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</si>
  <si>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</si>
  <si>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</si>
  <si>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</si>
  <si>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</si>
  <si>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</si>
  <si>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</si>
  <si>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</si>
  <si>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</si>
  <si>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</si>
  <si>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</si>
  <si>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</si>
  <si>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</si>
  <si>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</si>
  <si>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</si>
  <si>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</si>
  <si>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</si>
  <si>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</si>
  <si>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</si>
  <si>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</si>
  <si>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</si>
  <si>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</si>
  <si>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</si>
  <si>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</si>
  <si>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</si>
  <si>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</si>
  <si>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</si>
  <si>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</si>
  <si>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</si>
  <si>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</si>
  <si>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</si>
  <si>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</si>
  <si>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</si>
  <si>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</si>
  <si>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</si>
  <si>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</si>
  <si>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</si>
  <si>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</si>
  <si>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</si>
  <si>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</si>
  <si>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</si>
  <si>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</si>
  <si>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</si>
  <si>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</si>
  <si>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</si>
  <si>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</si>
  <si>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</si>
  <si>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</si>
  <si>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</si>
  <si>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</si>
  <si>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</si>
  <si>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</si>
  <si>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</si>
  <si>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</si>
  <si>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</si>
  <si>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</si>
  <si>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</si>
  <si>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</si>
  <si>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</si>
  <si>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</si>
  <si>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</si>
  <si>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</si>
  <si>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</si>
  <si>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</si>
  <si>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</si>
  <si>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</si>
  <si>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</si>
  <si>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</si>
  <si>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</si>
  <si>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</si>
  <si>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</si>
  <si>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</si>
  <si>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</si>
  <si>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</si>
  <si>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</si>
  <si>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</si>
  <si>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</si>
  <si>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</si>
  <si>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</si>
  <si>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</si>
  <si>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</si>
  <si>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</si>
  <si>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</si>
  <si>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</si>
  <si>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</si>
  <si>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</si>
  <si>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</si>
  <si>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</si>
  <si>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</si>
  <si>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</si>
  <si>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</si>
  <si>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</si>
  <si>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</si>
  <si>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</si>
  <si>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</si>
  <si>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</si>
  <si>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</si>
  <si>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</si>
  <si>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</si>
  <si>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</si>
  <si>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</si>
  <si>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</si>
  <si>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</si>
  <si>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</si>
  <si>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</si>
  <si>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</si>
  <si>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</si>
  <si>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</si>
  <si>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</si>
  <si>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</si>
  <si>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</si>
  <si>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</si>
  <si>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</si>
  <si>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</si>
  <si>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</si>
  <si>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</si>
  <si>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</si>
  <si>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</si>
  <si>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</si>
  <si>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</si>
  <si>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</si>
  <si>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</si>
  <si>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</si>
  <si>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</si>
  <si>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</si>
  <si>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</si>
  <si>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</si>
  <si>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</si>
  <si>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</si>
  <si>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</si>
  <si>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</si>
  <si>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</si>
  <si>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</si>
  <si>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</si>
  <si>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</si>
  <si>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</si>
  <si>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</si>
  <si>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</si>
  <si>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</si>
  <si>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</si>
  <si>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</si>
  <si>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</si>
  <si>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</si>
  <si>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</si>
  <si>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</si>
  <si>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</si>
  <si>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</si>
  <si>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</si>
  <si>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</si>
  <si>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</si>
  <si>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</si>
  <si>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</si>
  <si>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</si>
  <si>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</si>
  <si>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</si>
  <si>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</si>
  <si>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</si>
  <si>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</si>
  <si>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</si>
  <si>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</si>
  <si>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</si>
  <si>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</si>
  <si>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</si>
  <si>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</si>
  <si>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</si>
  <si>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</si>
  <si>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</si>
  <si>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</si>
  <si>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</si>
  <si>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</si>
  <si>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</si>
  <si>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</si>
  <si>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</si>
  <si>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</si>
  <si>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</si>
  <si>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</si>
  <si>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</si>
  <si>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</si>
  <si>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</si>
  <si>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</si>
  <si>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</si>
  <si>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</si>
  <si>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</si>
  <si>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</si>
  <si>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</si>
  <si>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</si>
  <si>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</si>
  <si>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</si>
  <si>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</si>
  <si>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</si>
  <si>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</si>
  <si>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</si>
  <si>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</si>
  <si>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</si>
  <si>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</si>
  <si>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</si>
  <si>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</si>
  <si>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</si>
  <si>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</si>
  <si>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</si>
  <si>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</si>
  <si>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</si>
  <si>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</si>
  <si>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</si>
  <si>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</si>
  <si>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</si>
  <si>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</si>
  <si>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</si>
  <si>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</si>
  <si>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</si>
  <si>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</si>
  <si>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</si>
  <si>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</si>
  <si>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</si>
  <si>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</si>
  <si>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</si>
  <si>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</si>
  <si>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</si>
  <si>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</si>
  <si>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</si>
  <si>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</si>
  <si>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</si>
  <si>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</si>
  <si>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</si>
  <si>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</si>
  <si>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</si>
  <si>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</si>
  <si>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</si>
  <si>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</si>
  <si>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</si>
  <si>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</si>
  <si>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</si>
  <si>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</si>
  <si>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</si>
  <si>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</si>
  <si>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</si>
  <si>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</si>
  <si>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</si>
  <si>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</si>
  <si>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</si>
  <si>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</si>
  <si>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</si>
  <si>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</si>
  <si>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</si>
  <si>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</si>
  <si>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</si>
  <si>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</si>
  <si>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</si>
  <si>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</si>
  <si>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</si>
  <si>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</si>
  <si>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</si>
  <si>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</si>
  <si>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</si>
  <si>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</si>
  <si>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</si>
  <si>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</si>
  <si>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</si>
  <si>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</si>
  <si>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</si>
  <si>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</si>
  <si>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</si>
  <si>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</si>
  <si>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</si>
  <si>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</si>
  <si>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</si>
  <si>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</si>
  <si>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</si>
  <si>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</si>
  <si>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</si>
  <si>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</si>
  <si>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</si>
  <si>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</si>
  <si>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</si>
  <si>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</si>
  <si>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</si>
  <si>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</si>
  <si>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</si>
  <si>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</si>
  <si>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</si>
  <si>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</si>
  <si>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</si>
  <si>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</si>
  <si>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</si>
  <si>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</si>
  <si>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</si>
  <si>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</si>
  <si>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</si>
  <si>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</si>
  <si>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</si>
  <si>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</si>
  <si>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</si>
  <si>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</si>
  <si>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</si>
  <si>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</si>
  <si>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</si>
  <si>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</si>
  <si>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</si>
  <si>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</si>
  <si>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</si>
  <si>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</si>
  <si>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</si>
  <si>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</si>
  <si>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</si>
  <si>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</si>
  <si>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</si>
  <si>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</si>
  <si>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</si>
  <si>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</si>
  <si>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</si>
  <si>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</si>
  <si>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</si>
  <si>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</si>
  <si>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</si>
  <si>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</si>
  <si>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</si>
  <si>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</si>
  <si>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</si>
  <si>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</si>
  <si>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</si>
  <si>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</si>
  <si>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</si>
  <si>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</si>
  <si>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</si>
  <si>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</si>
  <si>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</si>
  <si>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</si>
  <si>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</si>
  <si>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</si>
  <si>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</si>
  <si>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</si>
  <si>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</si>
  <si>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</si>
  <si>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</si>
  <si>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</si>
  <si>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</si>
  <si>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</si>
  <si>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</si>
  <si>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</si>
  <si>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</si>
  <si>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</si>
  <si>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</si>
  <si>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</si>
  <si>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</si>
  <si>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</si>
  <si>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</si>
  <si>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</si>
  <si>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</si>
  <si>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</si>
  <si>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</si>
  <si>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</si>
  <si>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</si>
  <si>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</si>
  <si>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</si>
  <si>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</si>
  <si>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</si>
  <si>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</si>
  <si>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</si>
  <si>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</si>
  <si>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</si>
  <si>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</si>
  <si>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</si>
  <si>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</si>
  <si>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</si>
  <si>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</si>
  <si>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</si>
  <si>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</si>
  <si>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</si>
  <si>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</si>
  <si>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</si>
  <si>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</si>
  <si>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</si>
  <si>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</si>
  <si>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</si>
  <si>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</si>
  <si>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</si>
  <si>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</si>
  <si>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</si>
  <si>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</si>
  <si>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</si>
  <si>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</si>
  <si>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</si>
  <si>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</si>
  <si>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</si>
  <si>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</si>
  <si>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</si>
  <si>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</si>
  <si>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</si>
  <si>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</si>
  <si>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</si>
  <si>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</si>
  <si>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</si>
  <si>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</si>
  <si>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</si>
  <si>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</si>
  <si>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</si>
  <si>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</si>
  <si>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</si>
  <si>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</si>
  <si>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</si>
  <si>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</si>
  <si>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</si>
  <si>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</si>
  <si>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</si>
  <si>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</si>
  <si>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</si>
  <si>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</si>
  <si>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</si>
  <si>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</si>
  <si>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</si>
  <si>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</si>
  <si>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</si>
  <si>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</si>
  <si>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</si>
  <si>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</si>
  <si>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</si>
  <si>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</si>
  <si>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</si>
  <si>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</si>
  <si>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</si>
  <si>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</si>
  <si>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</si>
  <si>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</si>
  <si>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</si>
  <si>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</si>
  <si>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</si>
  <si>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</si>
  <si>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</si>
  <si>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</si>
  <si>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</si>
  <si>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</si>
  <si>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</si>
  <si>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</si>
  <si>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</si>
  <si>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</si>
  <si>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</si>
  <si>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</si>
  <si>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</si>
  <si>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</si>
  <si>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</si>
  <si>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</si>
  <si>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</si>
  <si>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</si>
  <si>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</si>
  <si>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</si>
  <si>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</si>
  <si>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</si>
  <si>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</si>
  <si>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</si>
  <si>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</si>
  <si>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</si>
  <si>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</si>
  <si>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</si>
  <si>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</si>
  <si>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</si>
  <si>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</si>
  <si>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</si>
  <si>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</si>
  <si>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</si>
  <si>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</si>
  <si>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</si>
  <si>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</si>
  <si>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</si>
  <si>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</si>
  <si>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</si>
  <si>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</si>
  <si>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</si>
  <si>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</si>
  <si>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</si>
  <si>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</si>
  <si>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</si>
  <si>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</si>
  <si>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</si>
  <si>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</si>
  <si>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</si>
  <si>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</si>
  <si>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</si>
  <si>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</si>
  <si>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</si>
  <si>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</si>
  <si>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</si>
  <si>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</si>
  <si>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</si>
  <si>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</si>
  <si>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</si>
  <si>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</si>
  <si>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</si>
  <si>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</si>
  <si>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</si>
  <si>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</si>
  <si>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</si>
  <si>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</si>
  <si>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</si>
  <si>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</si>
  <si>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</si>
  <si>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</si>
  <si>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</si>
  <si>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</si>
  <si>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</si>
  <si>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</si>
  <si>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</si>
  <si>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</si>
  <si>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</si>
  <si>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</si>
  <si>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</si>
  <si>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</si>
  <si>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</si>
  <si>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</si>
  <si>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</si>
  <si>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</si>
  <si>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</si>
  <si>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</si>
  <si>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</si>
  <si>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</si>
  <si>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</si>
  <si>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</si>
  <si>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</si>
  <si>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</si>
  <si>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</si>
  <si>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</si>
  <si>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</si>
  <si>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</si>
  <si>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</si>
  <si>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</si>
  <si>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</si>
  <si>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</si>
  <si>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</si>
  <si>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</si>
  <si>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</si>
  <si>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</si>
  <si>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</si>
  <si>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</si>
  <si>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</si>
  <si>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</si>
  <si>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</si>
  <si>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</si>
  <si>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</si>
  <si>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</si>
  <si>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</si>
  <si>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</si>
  <si>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</si>
  <si>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</si>
  <si>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</si>
  <si>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</si>
  <si>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</si>
  <si>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</si>
  <si>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</si>
  <si>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</si>
  <si>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</si>
  <si>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</si>
  <si>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</si>
  <si>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</si>
  <si>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</si>
  <si>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</si>
  <si>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</si>
  <si>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</si>
  <si>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</si>
  <si>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</si>
  <si>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</si>
  <si>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</si>
  <si>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</si>
  <si>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</si>
  <si>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</si>
  <si>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</si>
  <si>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</si>
  <si>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</si>
  <si>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</si>
  <si>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</si>
  <si>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</si>
  <si>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</si>
  <si>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</si>
  <si>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</si>
  <si>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</si>
  <si>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</si>
  <si>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</si>
  <si>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</si>
  <si>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</si>
  <si>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</si>
  <si>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</si>
  <si>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</si>
  <si>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</si>
  <si>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</si>
  <si>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</si>
  <si>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</si>
  <si>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</si>
  <si>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</si>
  <si>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</si>
  <si>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</si>
  <si>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</si>
  <si>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</si>
  <si>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</si>
  <si>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</si>
  <si>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</si>
  <si>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</si>
  <si>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</si>
  <si>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</si>
  <si>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</si>
  <si>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</si>
  <si>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</si>
  <si>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</si>
  <si>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</si>
  <si>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</si>
  <si>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</si>
  <si>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</si>
  <si>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</si>
  <si>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</si>
  <si>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</si>
  <si>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</si>
  <si>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</si>
  <si>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</si>
  <si>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</si>
  <si>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</si>
  <si>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</si>
  <si>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</si>
  <si>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</si>
  <si>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</si>
  <si>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</si>
  <si>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</si>
  <si>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</si>
  <si>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</si>
  <si>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</si>
  <si>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</si>
  <si>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</si>
  <si>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</si>
  <si>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</si>
  <si>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</si>
  <si>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</si>
  <si>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</si>
  <si>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</si>
  <si>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</si>
  <si>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</si>
  <si>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</si>
  <si>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</si>
  <si>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</si>
  <si>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</si>
  <si>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</si>
  <si>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</si>
  <si>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</si>
  <si>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</si>
  <si>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</si>
  <si>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</si>
  <si>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</si>
  <si>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</si>
  <si>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</si>
  <si>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</si>
  <si>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</si>
  <si>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</si>
  <si>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</si>
  <si>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</si>
  <si>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</si>
  <si>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</si>
  <si>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</si>
  <si>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</si>
  <si>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</si>
  <si>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</si>
  <si>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</si>
  <si>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</si>
  <si>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</si>
  <si>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</si>
  <si>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</si>
  <si>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</si>
  <si>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</si>
  <si>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</si>
  <si>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</si>
  <si>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</si>
  <si>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</si>
  <si>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</si>
  <si>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</si>
  <si>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</si>
  <si>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</si>
  <si>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</si>
  <si>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</si>
  <si>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</si>
  <si>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</si>
  <si>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</si>
  <si>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</si>
  <si>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</si>
  <si>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</si>
  <si>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</si>
  <si>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</si>
  <si>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</si>
  <si>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</si>
  <si>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</si>
  <si>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</si>
  <si>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</si>
  <si>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</si>
  <si>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</si>
  <si>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</si>
  <si>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</si>
  <si>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</si>
  <si>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</si>
  <si>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</si>
  <si>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</si>
  <si>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</si>
  <si>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</si>
  <si>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</si>
  <si>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</si>
  <si>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</si>
  <si>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</si>
  <si>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</si>
  <si>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</si>
  <si>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</si>
  <si>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</si>
  <si>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</si>
  <si>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</si>
  <si>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</si>
  <si>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</si>
  <si>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</si>
  <si>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</si>
  <si>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</si>
  <si>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</si>
  <si>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</si>
  <si>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</si>
  <si>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</si>
  <si>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</si>
  <si>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</si>
  <si>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</si>
  <si>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</si>
  <si>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</si>
  <si>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</si>
  <si>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</si>
  <si>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</si>
  <si>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</si>
  <si>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</si>
  <si>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</si>
  <si>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</si>
  <si>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</si>
  <si>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</si>
  <si>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</si>
  <si>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</si>
  <si>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</si>
  <si>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</si>
  <si>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</si>
  <si>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</si>
  <si>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</si>
  <si>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</si>
  <si>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</si>
  <si>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</si>
  <si>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</si>
  <si>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</si>
  <si>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</si>
  <si>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</si>
  <si>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</si>
  <si>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</si>
  <si>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</si>
  <si>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</si>
  <si>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</si>
  <si>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</si>
  <si>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</si>
  <si>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</si>
  <si>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</si>
  <si>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</si>
  <si>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</si>
  <si>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</si>
  <si>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</si>
  <si>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</si>
  <si>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</si>
  <si>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</si>
  <si>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</si>
  <si>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</si>
  <si>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</si>
  <si>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</si>
  <si>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</si>
  <si>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</si>
  <si>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</si>
  <si>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</si>
  <si>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</si>
  <si>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</si>
  <si>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</si>
  <si>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</si>
  <si>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</si>
  <si>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</si>
  <si>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</si>
  <si>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</si>
  <si>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</si>
  <si>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</si>
  <si>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</si>
  <si>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</si>
  <si>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</si>
  <si>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</si>
  <si>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</si>
  <si>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</si>
  <si>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</si>
  <si>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</si>
  <si>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</si>
  <si>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</si>
  <si>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</si>
  <si>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</si>
  <si>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</si>
  <si>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</si>
  <si>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</si>
  <si>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</si>
  <si>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</si>
  <si>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</si>
  <si>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</si>
  <si>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</si>
  <si>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</si>
  <si>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</si>
  <si>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</si>
  <si>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</si>
  <si>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</si>
  <si>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</si>
  <si>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</si>
  <si>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</si>
  <si>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</si>
  <si>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</si>
  <si>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</si>
  <si>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</si>
  <si>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</si>
  <si>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</si>
  <si>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</si>
  <si>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</si>
  <si>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</si>
  <si>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</si>
  <si>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</si>
  <si>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</si>
  <si>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</si>
  <si>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</si>
  <si>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</si>
  <si>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</si>
  <si>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</si>
  <si>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</si>
  <si>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</si>
  <si>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</si>
  <si>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</si>
  <si>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</si>
  <si>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</si>
  <si>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</si>
  <si>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</si>
  <si>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</si>
  <si>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</si>
  <si>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</si>
  <si>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</si>
  <si>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</si>
  <si>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</si>
  <si>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</si>
  <si>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</si>
  <si>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</si>
  <si>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</si>
  <si>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</si>
  <si>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</si>
  <si>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</si>
  <si>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</si>
  <si>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</si>
  <si>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</si>
  <si>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</si>
  <si>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</si>
  <si>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</si>
  <si>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</si>
  <si>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</si>
  <si>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</si>
  <si>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</si>
  <si>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</si>
  <si>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</si>
  <si>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</si>
  <si>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</si>
  <si>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</si>
  <si>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</si>
  <si>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</si>
  <si>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</si>
  <si>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</si>
  <si>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</si>
  <si>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</si>
  <si>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</si>
  <si>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</si>
  <si>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</si>
  <si>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</si>
  <si>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</si>
  <si>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</si>
  <si>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</si>
  <si>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</si>
  <si>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</si>
  <si>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</si>
  <si>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</si>
  <si>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</si>
  <si>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</si>
  <si>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</si>
  <si>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</si>
  <si>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</si>
  <si>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</si>
  <si>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</si>
  <si>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</si>
  <si>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</si>
  <si>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</si>
  <si>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</si>
  <si>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</si>
  <si>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</si>
  <si>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</si>
  <si>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</si>
  <si>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</si>
  <si>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</si>
  <si>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</si>
  <si>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</si>
  <si>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</si>
  <si>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</si>
  <si>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</si>
  <si>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</si>
  <si>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</si>
  <si>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</si>
  <si>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</si>
  <si>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</si>
  <si>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</si>
  <si>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</si>
  <si>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</si>
  <si>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</si>
  <si>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</si>
  <si>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</si>
  <si>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</si>
  <si>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</si>
  <si>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</si>
  <si>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</si>
  <si>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</si>
  <si>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</si>
  <si>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</si>
  <si>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</si>
  <si>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</si>
  <si>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</si>
  <si>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</si>
  <si>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</si>
  <si>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</si>
  <si>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</si>
  <si>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</si>
  <si>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</si>
  <si>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</si>
  <si>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</si>
  <si>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</si>
  <si>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</si>
  <si>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</si>
  <si>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</si>
  <si>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</si>
  <si>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</si>
  <si>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</si>
  <si>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</si>
  <si>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</si>
  <si>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</si>
  <si>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</si>
  <si>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</si>
  <si>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</si>
  <si>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</si>
  <si>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</si>
  <si>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</si>
  <si>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</si>
  <si>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</si>
  <si>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</si>
  <si>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</si>
  <si>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</si>
  <si>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</si>
  <si>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</si>
  <si>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</si>
  <si>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</si>
  <si>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</si>
  <si>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</si>
  <si>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</si>
  <si>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</si>
  <si>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</si>
  <si>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</si>
  <si>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</si>
  <si>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</si>
  <si>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</si>
  <si>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</si>
  <si>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</si>
  <si>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</si>
  <si>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</si>
  <si>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</si>
  <si>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</si>
  <si>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</si>
  <si>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</si>
  <si>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</si>
  <si>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</si>
  <si>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</si>
  <si>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</si>
  <si>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</si>
  <si>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</si>
  <si>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</si>
  <si>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</si>
  <si>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</si>
  <si>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</si>
  <si>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</si>
  <si>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</si>
  <si>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</si>
  <si>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</si>
  <si>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</si>
  <si>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</si>
  <si>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</si>
  <si>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</si>
  <si>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</si>
  <si>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</si>
  <si>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</si>
  <si>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</si>
  <si>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</si>
  <si>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</si>
  <si>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</si>
  <si>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</si>
  <si>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</si>
  <si>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</si>
  <si>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</si>
  <si>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</si>
  <si>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</si>
  <si>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</si>
  <si>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</si>
  <si>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</si>
  <si>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</si>
  <si>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</si>
  <si>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</si>
  <si>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</si>
  <si>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</si>
  <si>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</si>
  <si>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</si>
  <si>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</si>
  <si>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</si>
  <si>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</si>
  <si>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</si>
  <si>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</si>
  <si>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</si>
  <si>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</si>
  <si>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</si>
  <si>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</si>
  <si>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</si>
  <si>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</si>
  <si>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</si>
  <si>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</si>
  <si>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</si>
  <si>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</si>
  <si>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</si>
  <si>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</si>
  <si>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</si>
  <si>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</si>
  <si>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</si>
  <si>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</si>
  <si>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</si>
  <si>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</si>
  <si>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</si>
  <si>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</si>
  <si>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</si>
  <si>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</si>
  <si>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</si>
  <si>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</si>
  <si>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</si>
  <si>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</si>
  <si>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</si>
  <si>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</si>
  <si>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</si>
  <si>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</si>
  <si>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</si>
  <si>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</si>
  <si>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</si>
  <si>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</si>
  <si>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</si>
  <si>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</si>
  <si>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</si>
  <si>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</si>
  <si>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</si>
  <si>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</si>
  <si>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</si>
  <si>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</si>
  <si>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</si>
  <si>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</si>
  <si>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</si>
  <si>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</si>
  <si>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</si>
  <si>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</si>
  <si>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</si>
  <si>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</si>
  <si>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</si>
  <si>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</si>
  <si>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</si>
  <si>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</si>
  <si>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</si>
  <si>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</si>
  <si>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</si>
  <si>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</si>
  <si>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</si>
  <si>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</si>
  <si>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</si>
  <si>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</si>
  <si>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</si>
  <si>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</si>
  <si>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</si>
  <si>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</si>
  <si>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</si>
  <si>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</si>
  <si>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</si>
  <si>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</si>
  <si>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</si>
  <si>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</si>
  <si>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</si>
  <si>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</si>
  <si>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</si>
  <si>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</si>
  <si>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</si>
  <si>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</si>
  <si>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</si>
  <si>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</si>
  <si>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</si>
  <si>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</si>
  <si>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</si>
  <si>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</si>
  <si>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</si>
  <si>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</si>
  <si>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</si>
  <si>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</si>
  <si>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</si>
  <si>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</si>
  <si>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</si>
  <si>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</si>
  <si>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</si>
  <si>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</si>
  <si>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</si>
  <si>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</si>
  <si>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</si>
  <si>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</si>
  <si>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</si>
  <si>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</si>
  <si>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</si>
  <si>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</si>
  <si>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</si>
  <si>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</si>
  <si>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</si>
  <si>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</si>
  <si>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</si>
  <si>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</si>
  <si>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</si>
  <si>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</si>
  <si>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</si>
  <si>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</si>
  <si>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</si>
  <si>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</si>
  <si>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</si>
  <si>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</si>
  <si>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</si>
  <si>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</si>
  <si>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</si>
  <si>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</si>
  <si>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</si>
  <si>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</si>
  <si>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</si>
  <si>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</si>
  <si>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</si>
  <si>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</si>
  <si>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</si>
  <si>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</si>
  <si>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</si>
  <si>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</si>
  <si>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</si>
  <si>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</si>
  <si>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</si>
  <si>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</si>
  <si>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</si>
  <si>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</si>
  <si>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</si>
  <si>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</si>
  <si>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</si>
  <si>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</si>
  <si>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</si>
  <si>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</si>
  <si>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</si>
  <si>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</si>
  <si>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</si>
  <si>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</si>
  <si>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</si>
  <si>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</si>
  <si>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</si>
  <si>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</si>
  <si>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</si>
  <si>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</si>
  <si>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</si>
  <si>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</si>
  <si>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</si>
  <si>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</si>
  <si>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</si>
  <si>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</si>
  <si>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</si>
  <si>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</si>
  <si>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</si>
  <si>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</si>
  <si>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</si>
  <si>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</si>
  <si>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</si>
  <si>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</si>
  <si>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</si>
  <si>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</si>
  <si>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</si>
  <si>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</si>
  <si>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</si>
  <si>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</si>
  <si>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</si>
  <si>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</si>
  <si>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</si>
  <si>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</si>
  <si>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</si>
  <si>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</si>
  <si>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</si>
  <si>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</si>
  <si>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</si>
  <si>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</si>
  <si>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</si>
  <si>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</si>
  <si>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</si>
  <si>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</si>
  <si>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</si>
  <si>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</si>
  <si>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</si>
  <si>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</si>
  <si>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</si>
  <si>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</si>
  <si>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</si>
  <si>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</si>
  <si>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</si>
  <si>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</si>
  <si>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</si>
  <si>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</si>
  <si>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</si>
  <si>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</si>
  <si>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</si>
  <si>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</si>
  <si>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</si>
  <si>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</si>
  <si>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</si>
  <si>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</si>
  <si>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</si>
  <si>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</si>
  <si>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</si>
  <si>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</si>
  <si>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</si>
  <si>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</si>
  <si>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</si>
  <si>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</si>
  <si>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</si>
  <si>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</si>
  <si>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</si>
  <si>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</si>
  <si>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</si>
  <si>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</si>
  <si>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</si>
  <si>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</si>
  <si>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</si>
  <si>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</si>
  <si>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</si>
  <si>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</si>
  <si>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</si>
  <si>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</si>
  <si>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</si>
  <si>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</si>
  <si>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</si>
  <si>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</si>
  <si>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</si>
  <si>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</si>
  <si>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</si>
  <si>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</si>
  <si>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</si>
  <si>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</si>
  <si>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</si>
  <si>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</si>
  <si>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</si>
  <si>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</si>
  <si>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</si>
  <si>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</si>
  <si>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</si>
  <si>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</si>
  <si>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</si>
  <si>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</si>
  <si>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</si>
  <si>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</si>
  <si>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</si>
  <si>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</si>
  <si>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</si>
  <si>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</si>
  <si>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</si>
  <si>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</si>
  <si>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</si>
  <si>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</si>
  <si>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</si>
  <si>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</si>
  <si>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</si>
  <si>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</si>
  <si>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</si>
  <si>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</si>
  <si>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</si>
  <si>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</si>
  <si>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</si>
  <si>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</si>
  <si>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</si>
  <si>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</si>
  <si>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</si>
  <si>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</si>
  <si>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</si>
  <si>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</si>
  <si>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</si>
  <si>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</si>
  <si>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</si>
  <si>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</si>
  <si>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</si>
  <si>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</si>
  <si>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</si>
  <si>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</si>
  <si>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</si>
  <si>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</si>
  <si>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</si>
  <si>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</si>
  <si>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</si>
  <si>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</si>
  <si>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</si>
  <si>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</si>
  <si>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</si>
  <si>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</si>
  <si>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</si>
  <si>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</si>
  <si>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</si>
  <si>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</si>
  <si>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</si>
  <si>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</si>
  <si>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</si>
  <si>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</si>
  <si>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</si>
  <si>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</si>
  <si>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</si>
  <si>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</si>
  <si>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</si>
  <si>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</si>
  <si>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</si>
  <si>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</si>
  <si>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</si>
  <si>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</si>
  <si>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</si>
  <si>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</si>
  <si>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</si>
  <si>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</si>
  <si>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</si>
  <si>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</si>
  <si>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</si>
  <si>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</si>
  <si>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</si>
  <si>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</si>
  <si>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</si>
  <si>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</si>
  <si>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</si>
  <si>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</si>
  <si>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</si>
  <si>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</si>
  <si>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</si>
  <si>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</si>
  <si>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</si>
  <si>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</si>
  <si>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</si>
  <si>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</si>
  <si>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</si>
  <si>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</si>
  <si>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</si>
  <si>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</si>
  <si>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</si>
  <si>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</si>
  <si>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</si>
  <si>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</si>
  <si>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</si>
  <si>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</si>
  <si>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</si>
  <si>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</si>
  <si>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</si>
  <si>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</si>
  <si>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</si>
  <si>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</si>
  <si>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</si>
  <si>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</si>
  <si>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</si>
  <si>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</si>
  <si>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</si>
  <si>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</si>
  <si>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</si>
  <si>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</si>
  <si>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</si>
  <si>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</si>
  <si>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</si>
  <si>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</si>
  <si>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</si>
  <si>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</si>
  <si>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</si>
  <si>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</si>
  <si>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</si>
  <si>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</si>
  <si>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</si>
  <si>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</si>
  <si>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</si>
  <si>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</si>
  <si>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</si>
  <si>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</si>
  <si>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</si>
  <si>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</si>
  <si>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</si>
  <si>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</si>
  <si>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</si>
  <si>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</si>
  <si>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</si>
  <si>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</si>
  <si>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</si>
  <si>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</si>
  <si>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</si>
  <si>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</si>
  <si>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</si>
  <si>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</si>
  <si>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</si>
  <si>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</si>
  <si>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</si>
  <si>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</si>
  <si>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</si>
  <si>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</si>
  <si>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</si>
  <si>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</si>
  <si>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</si>
  <si>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</si>
  <si>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</si>
  <si>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</si>
  <si>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</si>
  <si>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</si>
  <si>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</si>
  <si>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</si>
  <si>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</si>
  <si>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</si>
  <si>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</si>
  <si>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</si>
  <si>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</si>
  <si>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</si>
  <si>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</si>
  <si>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</si>
  <si>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</si>
  <si>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</si>
  <si>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</si>
  <si>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</si>
  <si>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</si>
  <si>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</si>
  <si>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</si>
  <si>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</si>
  <si>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</si>
  <si>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</si>
  <si>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</si>
  <si>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</si>
  <si>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</si>
  <si>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</si>
  <si>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</si>
  <si>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</si>
  <si>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</si>
  <si>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</si>
  <si>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</si>
  <si>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</si>
  <si>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</si>
  <si>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</si>
  <si>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</si>
  <si>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</si>
  <si>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</si>
  <si>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</si>
  <si>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</si>
  <si>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</si>
  <si>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</si>
  <si>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</si>
  <si>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</si>
  <si>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</si>
  <si>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</si>
  <si>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</si>
  <si>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</si>
  <si>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</si>
  <si>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</si>
  <si>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</si>
  <si>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</si>
  <si>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</si>
  <si>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</si>
  <si>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</si>
  <si>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</si>
  <si>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</si>
  <si>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</si>
  <si>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</si>
  <si>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</si>
  <si>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</si>
  <si>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</si>
  <si>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</si>
  <si>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</si>
  <si>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</si>
  <si>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</si>
  <si>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</si>
  <si>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</si>
  <si>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</si>
  <si>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</si>
  <si>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</si>
  <si>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</si>
  <si>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</si>
  <si>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</si>
  <si>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</si>
  <si>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</si>
  <si>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</si>
  <si>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</si>
  <si>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</si>
  <si>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</si>
  <si>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</si>
  <si>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</si>
  <si>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</si>
  <si>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</si>
  <si>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</si>
  <si>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</si>
  <si>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</si>
  <si>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</si>
  <si>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</si>
  <si>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</si>
  <si>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</si>
  <si>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</si>
  <si>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</si>
  <si>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</si>
  <si>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</si>
  <si>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</si>
  <si>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</si>
  <si>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</si>
  <si>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</si>
  <si>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</si>
  <si>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</si>
  <si>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</si>
  <si>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</si>
  <si>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</si>
  <si>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</si>
  <si>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</si>
  <si>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</si>
  <si>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</si>
  <si>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</si>
  <si>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</si>
  <si>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</si>
  <si>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</si>
  <si>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</si>
  <si>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</si>
  <si>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</si>
  <si>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</si>
  <si>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</si>
  <si>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</si>
  <si>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</si>
  <si>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</si>
  <si>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</si>
  <si>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</si>
  <si>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</si>
  <si>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</si>
  <si>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</si>
  <si>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</si>
  <si>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</si>
  <si>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</si>
  <si>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</si>
  <si>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</si>
  <si>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</si>
  <si>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</si>
  <si>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</si>
  <si>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</si>
  <si>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</si>
  <si>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</si>
  <si>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</si>
  <si>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</si>
  <si>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</si>
  <si>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</si>
  <si>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</si>
  <si>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</si>
  <si>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</si>
  <si>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</si>
  <si>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</si>
  <si>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</si>
  <si>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</si>
  <si>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</si>
  <si>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</si>
  <si>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</si>
  <si>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</si>
  <si>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</si>
  <si>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</si>
  <si>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</si>
  <si>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</si>
  <si>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</si>
  <si>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</si>
  <si>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</si>
  <si>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</si>
  <si>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</si>
  <si>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</si>
  <si>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</si>
  <si>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</si>
  <si>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</si>
  <si>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</si>
  <si>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</si>
  <si>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</si>
  <si>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</si>
  <si>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</si>
  <si>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</si>
  <si>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</si>
  <si>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</si>
  <si>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</si>
  <si>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</si>
  <si>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</si>
  <si>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</si>
  <si>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</si>
  <si>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</si>
  <si>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</si>
  <si>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</si>
  <si>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</si>
  <si>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</si>
  <si>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</si>
  <si>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</si>
  <si>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</si>
  <si>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</si>
  <si>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</si>
  <si>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</si>
  <si>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</si>
  <si>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</si>
  <si>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</si>
  <si>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</si>
  <si>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</si>
  <si>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</si>
  <si>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</si>
  <si>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</si>
  <si>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</si>
  <si>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</si>
  <si>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</si>
  <si>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</si>
  <si>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</si>
  <si>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</si>
  <si>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</si>
  <si>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</si>
  <si>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</si>
  <si>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</si>
  <si>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</si>
  <si>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</si>
  <si>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</si>
  <si>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</si>
  <si>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</si>
  <si>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</si>
  <si>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</si>
  <si>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</si>
  <si>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</si>
  <si>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</si>
  <si>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</si>
  <si>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</si>
  <si>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</si>
  <si>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</si>
  <si>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</si>
  <si>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</si>
  <si>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</si>
  <si>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</si>
  <si>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</si>
  <si>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</si>
  <si>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</si>
  <si>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</si>
  <si>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</si>
  <si>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</si>
  <si>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</si>
  <si>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</si>
  <si>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</si>
  <si>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</si>
  <si>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</si>
  <si>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</si>
  <si>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</si>
  <si>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</si>
  <si>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</si>
  <si>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</si>
  <si>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</si>
  <si>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</si>
  <si>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</si>
  <si>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</si>
  <si>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</si>
  <si>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</si>
  <si>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</si>
  <si>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</si>
  <si>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</si>
  <si>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</si>
  <si>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</si>
  <si>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</si>
  <si>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</si>
  <si>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</si>
  <si>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</si>
  <si>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</si>
  <si>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</si>
  <si>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</si>
  <si>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</si>
  <si>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</si>
  <si>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</si>
  <si>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</si>
  <si>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</si>
  <si>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</si>
  <si>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</si>
  <si>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</si>
  <si>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</si>
  <si>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</si>
  <si>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</si>
  <si>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</si>
  <si>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</si>
  <si>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</si>
  <si>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</si>
  <si>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</si>
  <si>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</si>
  <si>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</si>
  <si>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</si>
  <si>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</si>
  <si>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</si>
  <si>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</si>
  <si>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</si>
  <si>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</si>
  <si>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</si>
  <si>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</si>
  <si>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</si>
  <si>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</si>
  <si>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</si>
  <si>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</si>
  <si>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</si>
  <si>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</si>
  <si>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</si>
  <si>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</si>
  <si>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</si>
  <si>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</si>
  <si>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</si>
  <si>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</si>
  <si>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</si>
  <si>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</si>
  <si>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</si>
  <si>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</si>
  <si>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</si>
  <si>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</si>
  <si>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</si>
  <si>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</si>
  <si>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</si>
  <si>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</si>
  <si>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</si>
  <si>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</si>
  <si>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</si>
  <si>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</si>
  <si>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</si>
  <si>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</si>
  <si>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</si>
  <si>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</si>
  <si>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</si>
  <si>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</si>
  <si>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</si>
  <si>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</si>
  <si>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</si>
  <si>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</si>
  <si>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</si>
  <si>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</si>
  <si>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</si>
  <si>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</si>
  <si>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</si>
  <si>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</si>
  <si>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</si>
  <si>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</si>
  <si>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</si>
  <si>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</si>
  <si>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</si>
  <si>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</si>
  <si>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</si>
  <si>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</si>
  <si>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</si>
  <si>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</si>
  <si>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</si>
  <si>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</si>
  <si>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</si>
  <si>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</si>
  <si>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</si>
  <si>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</si>
  <si>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</si>
  <si>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</si>
  <si>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</si>
  <si>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</si>
  <si>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</si>
  <si>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</si>
  <si>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</si>
  <si>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</si>
  <si>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</si>
  <si>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</si>
  <si>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</si>
  <si>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</si>
  <si>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</si>
  <si>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</si>
  <si>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</si>
  <si>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</si>
  <si>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</si>
  <si>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</si>
  <si>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</si>
  <si>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</si>
  <si>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</si>
  <si>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</si>
  <si>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</si>
  <si>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</si>
  <si>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</si>
  <si>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</si>
  <si>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</si>
  <si>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</si>
  <si>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</si>
  <si>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</si>
  <si>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</si>
  <si>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</si>
  <si>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</si>
  <si>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</si>
  <si>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</si>
  <si>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</si>
  <si>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</si>
  <si>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</si>
  <si>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</si>
  <si>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</si>
  <si>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</si>
  <si>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</si>
  <si>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</si>
  <si>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</si>
  <si>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</si>
  <si>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</si>
  <si>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</si>
  <si>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</si>
  <si>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</si>
  <si>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</si>
  <si>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</si>
  <si>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</si>
  <si>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</si>
  <si>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</si>
  <si>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</si>
  <si>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</si>
  <si>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</si>
  <si>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</si>
  <si>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</si>
  <si>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</si>
  <si>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</si>
  <si>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</si>
  <si>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</si>
  <si>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</si>
  <si>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</si>
  <si>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</si>
  <si>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</si>
  <si>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</si>
  <si>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</si>
  <si>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</si>
  <si>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</si>
  <si>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</si>
  <si>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</si>
  <si>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</si>
  <si>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</si>
  <si>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</si>
  <si>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</si>
  <si>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</si>
  <si>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</si>
  <si>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</si>
  <si>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</si>
  <si>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</si>
  <si>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</si>
  <si>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</si>
  <si>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</si>
  <si>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</si>
  <si>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</si>
  <si>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</si>
  <si>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</si>
  <si>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</si>
  <si>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</si>
  <si>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</si>
  <si>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</si>
  <si>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</si>
  <si>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</si>
  <si>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</si>
  <si>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</si>
  <si>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</si>
  <si>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</si>
  <si>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</si>
  <si>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</si>
  <si>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</si>
  <si>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</si>
  <si>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</si>
  <si>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</si>
  <si>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</si>
  <si>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</si>
  <si>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</si>
  <si>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</si>
  <si>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</si>
  <si>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</si>
  <si>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</si>
  <si>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</si>
  <si>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</si>
  <si>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</si>
  <si>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</si>
  <si>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</si>
  <si>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</si>
  <si>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</si>
  <si>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</si>
  <si>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</si>
  <si>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</si>
  <si>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</si>
  <si>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</si>
  <si>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</si>
  <si>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</si>
  <si>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</si>
  <si>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</si>
  <si>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</si>
  <si>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</si>
  <si>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</si>
  <si>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</si>
  <si>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</si>
  <si>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</si>
  <si>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</si>
  <si>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</si>
  <si>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</si>
  <si>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</si>
  <si>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</si>
  <si>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</si>
  <si>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</si>
  <si>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</si>
  <si>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</si>
  <si>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</si>
  <si>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</si>
  <si>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</si>
  <si>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</si>
  <si>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</si>
  <si>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</si>
  <si>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</si>
  <si>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</si>
  <si>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</si>
  <si>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</si>
  <si>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</si>
  <si>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</si>
  <si>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</si>
  <si>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</si>
  <si>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</si>
  <si>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</si>
  <si>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</si>
  <si>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</si>
  <si>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</si>
  <si>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</si>
  <si>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</si>
  <si>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</si>
  <si>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</si>
  <si>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</si>
  <si>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</si>
  <si>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</si>
  <si>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</si>
  <si>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</si>
  <si>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</si>
  <si>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</si>
  <si>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</si>
  <si>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</si>
  <si>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</si>
  <si>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</si>
  <si>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</si>
  <si>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</si>
  <si>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</si>
  <si>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</si>
  <si>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</si>
  <si>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</si>
  <si>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</si>
  <si>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</si>
  <si>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</si>
  <si>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</si>
  <si>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</si>
  <si>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</si>
  <si>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</si>
  <si>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</si>
  <si>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</si>
  <si>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</si>
  <si>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</si>
  <si>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</si>
  <si>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</si>
  <si>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</si>
  <si>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</si>
  <si>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</si>
  <si>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</si>
  <si>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</si>
  <si>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</si>
  <si>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</si>
  <si>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</si>
  <si>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</si>
  <si>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</si>
  <si>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</si>
  <si>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</si>
  <si>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</si>
  <si>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</si>
  <si>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</si>
  <si>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</si>
  <si>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</si>
  <si>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</si>
  <si>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</si>
  <si>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</si>
  <si>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</si>
  <si>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</si>
  <si>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</si>
  <si>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</si>
  <si>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</si>
  <si>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</si>
  <si>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</si>
  <si>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</si>
  <si>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</si>
  <si>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</si>
  <si>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</si>
  <si>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</si>
  <si>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</si>
  <si>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</si>
  <si>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</si>
  <si>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</si>
  <si>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</si>
  <si>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</si>
  <si>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</si>
  <si>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</si>
  <si>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</si>
  <si>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</si>
  <si>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</si>
  <si>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</si>
  <si>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</si>
  <si>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</si>
  <si>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</si>
  <si>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</si>
  <si>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</si>
  <si>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</si>
  <si>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</si>
  <si>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</si>
  <si>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</si>
  <si>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</si>
  <si>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</si>
  <si>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</si>
  <si>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</si>
  <si>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</si>
  <si>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</si>
  <si>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</si>
  <si>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</si>
  <si>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</si>
  <si>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</si>
  <si>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</si>
  <si>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</si>
  <si>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</si>
  <si>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</si>
  <si>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</si>
  <si>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</si>
  <si>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</si>
  <si>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</si>
  <si>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</si>
  <si>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</si>
  <si>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</si>
  <si>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</si>
  <si>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</si>
  <si>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</si>
  <si>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</si>
  <si>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</si>
  <si>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</si>
  <si>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</si>
  <si>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</si>
  <si>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</si>
  <si>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</si>
  <si>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</si>
  <si>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</si>
  <si>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</si>
  <si>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</si>
  <si>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</si>
  <si>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</si>
  <si>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</si>
  <si>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</si>
  <si>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</si>
  <si>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</si>
  <si>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</si>
  <si>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</si>
  <si>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</si>
  <si>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</si>
  <si>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</si>
  <si>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</si>
  <si>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</si>
  <si>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</si>
  <si>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</si>
  <si>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</si>
  <si>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</si>
  <si>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</si>
  <si>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</si>
  <si>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</si>
  <si>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</si>
  <si>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</si>
  <si>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</si>
  <si>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</si>
  <si>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</si>
  <si>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</si>
  <si>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</si>
  <si>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</si>
  <si>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</si>
  <si>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</si>
  <si>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</si>
  <si>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</si>
  <si>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</si>
  <si>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</si>
  <si>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</si>
  <si>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</si>
  <si>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</si>
  <si>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</si>
  <si>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</si>
  <si>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</si>
  <si>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</si>
  <si>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</si>
  <si>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</si>
  <si>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</si>
  <si>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</si>
  <si>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</si>
  <si>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</si>
  <si>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</si>
  <si>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</si>
  <si>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</si>
  <si>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</si>
  <si>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</si>
  <si>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</si>
  <si>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</si>
  <si>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</si>
  <si>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</si>
  <si>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</si>
  <si>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</si>
  <si>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</si>
  <si>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</si>
  <si>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</si>
  <si>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</si>
  <si>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</si>
  <si>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</si>
  <si>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</si>
  <si>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</si>
  <si>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</si>
  <si>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</si>
  <si>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</si>
  <si>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</si>
  <si>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</si>
  <si>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</si>
  <si>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</si>
  <si>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</si>
  <si>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</si>
  <si>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</si>
  <si>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</si>
  <si>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</si>
  <si>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</si>
  <si>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</si>
  <si>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</si>
  <si>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</si>
  <si>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</si>
  <si>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</si>
  <si>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</si>
  <si>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</si>
  <si>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</si>
  <si>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</si>
  <si>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</si>
  <si>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</si>
  <si>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</si>
  <si>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</si>
  <si>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</si>
  <si>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</si>
  <si>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</si>
  <si>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</si>
  <si>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</si>
  <si>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</si>
  <si>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</si>
  <si>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</si>
  <si>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</si>
  <si>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</si>
  <si>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</si>
  <si>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</si>
  <si>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</si>
  <si>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</si>
  <si>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</si>
  <si>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</si>
  <si>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</si>
  <si>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</si>
  <si>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</si>
  <si>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</si>
  <si>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</si>
  <si>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</si>
  <si>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</si>
  <si>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</si>
  <si>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</si>
  <si>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</si>
  <si>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</si>
  <si>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</si>
  <si>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</si>
  <si>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</si>
  <si>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</si>
  <si>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</si>
  <si>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</si>
  <si>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</si>
  <si>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</si>
  <si>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</si>
  <si>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</si>
  <si>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</si>
  <si>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</si>
  <si>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</si>
  <si>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</si>
  <si>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</si>
  <si>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</si>
  <si>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</si>
  <si>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</si>
  <si>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</si>
  <si>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</si>
  <si>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</si>
  <si>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</si>
  <si>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</si>
  <si>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</si>
  <si>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</si>
  <si>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</si>
  <si>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</si>
  <si>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</si>
  <si>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</si>
  <si>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</si>
  <si>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</si>
  <si>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</si>
  <si>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</si>
  <si>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</si>
  <si>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</si>
  <si>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</si>
  <si>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</si>
  <si>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</si>
  <si>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</si>
  <si>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</si>
  <si>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</si>
  <si>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</si>
  <si>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</si>
  <si>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</si>
  <si>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</si>
  <si>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</si>
  <si>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</si>
  <si>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</si>
  <si>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</si>
  <si>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</si>
  <si>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</si>
  <si>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</si>
  <si>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</si>
  <si>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</si>
  <si>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</si>
  <si>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</si>
  <si>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</si>
  <si>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</si>
  <si>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</si>
  <si>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</si>
  <si>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</si>
  <si>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</si>
  <si>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</si>
  <si>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</si>
  <si>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</si>
  <si>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</si>
  <si>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</si>
  <si>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</si>
  <si>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</si>
  <si>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</si>
  <si>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</si>
  <si>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</si>
  <si>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</si>
  <si>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</si>
  <si>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</si>
  <si>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</si>
  <si>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</si>
  <si>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</si>
  <si>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</si>
  <si>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</si>
  <si>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</si>
  <si>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</si>
  <si>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</si>
  <si>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</si>
  <si>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</si>
  <si>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</si>
  <si>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</si>
  <si>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</si>
  <si>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</si>
  <si>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</si>
  <si>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</si>
  <si>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</si>
  <si>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</si>
  <si>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</si>
  <si>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</si>
  <si>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</si>
  <si>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</si>
  <si>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</si>
  <si>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</si>
  <si>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</si>
  <si>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</si>
  <si>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</si>
  <si>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</si>
  <si>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</si>
  <si>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</si>
  <si>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</si>
  <si>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</si>
  <si>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</si>
  <si>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</si>
  <si>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</si>
  <si>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</si>
  <si>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</si>
  <si>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</si>
  <si>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</si>
  <si>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</si>
  <si>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</si>
  <si>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</si>
  <si>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</si>
  <si>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</si>
  <si>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</si>
  <si>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</si>
  <si>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</si>
  <si>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</si>
  <si>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</si>
  <si>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</si>
  <si>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</si>
  <si>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</si>
  <si>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</si>
  <si>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</si>
  <si>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</si>
  <si>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</si>
  <si>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</si>
  <si>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</si>
  <si>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</si>
  <si>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</si>
  <si>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</si>
  <si>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</si>
  <si>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</si>
  <si>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</si>
  <si>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</si>
  <si>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</si>
  <si>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</si>
  <si>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</si>
  <si>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</si>
  <si>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</si>
  <si>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</si>
  <si>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</si>
  <si>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</si>
  <si>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</si>
  <si>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</si>
  <si>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</si>
  <si>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</si>
  <si>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</si>
  <si>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</si>
  <si>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</si>
  <si>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</si>
  <si>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</si>
  <si>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</si>
  <si>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</si>
  <si>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</si>
  <si>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</si>
  <si>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</si>
  <si>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</si>
  <si>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</si>
  <si>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</si>
  <si>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</si>
  <si>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</si>
  <si>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</si>
  <si>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</si>
  <si>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</si>
  <si>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</si>
  <si>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</si>
  <si>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</si>
  <si>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</si>
  <si>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</si>
  <si>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</si>
  <si>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</si>
  <si>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</si>
  <si>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</si>
  <si>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</si>
  <si>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</si>
  <si>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</si>
  <si>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</si>
  <si>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</si>
  <si>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</si>
  <si>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</si>
  <si>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</si>
  <si>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</si>
  <si>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</si>
  <si>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</si>
  <si>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</si>
  <si>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</si>
  <si>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</si>
  <si>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</si>
  <si>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</si>
  <si>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</si>
  <si>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</si>
  <si>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</si>
  <si>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</si>
  <si>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</si>
  <si>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</si>
  <si>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</si>
  <si>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</si>
  <si>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</si>
  <si>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</si>
  <si>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</si>
  <si>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</si>
  <si>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</si>
  <si>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</si>
  <si>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</si>
  <si>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</si>
  <si>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</si>
  <si>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</si>
  <si>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</si>
  <si>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</si>
  <si>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</si>
  <si>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</si>
  <si>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</si>
  <si>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</si>
  <si>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</si>
  <si>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</si>
  <si>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</si>
  <si>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</si>
  <si>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</si>
  <si>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</si>
  <si>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</si>
  <si>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</si>
  <si>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</si>
  <si>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</si>
  <si>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</si>
  <si>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</si>
  <si>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</si>
  <si>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</si>
  <si>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</si>
  <si>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</si>
  <si>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</si>
  <si>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</si>
  <si>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</si>
  <si>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</si>
  <si>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</si>
  <si>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</si>
  <si>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</si>
  <si>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</si>
  <si>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</si>
  <si>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</si>
  <si>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</si>
  <si>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</si>
  <si>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</si>
  <si>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</si>
  <si>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</si>
  <si>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</si>
  <si>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</si>
  <si>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</si>
  <si>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</si>
  <si>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</si>
  <si>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</si>
  <si>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</si>
  <si>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</si>
  <si>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</si>
  <si>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</si>
  <si>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</si>
  <si>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</si>
  <si>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</si>
  <si>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</si>
  <si>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</si>
  <si>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</si>
  <si>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</si>
  <si>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</si>
  <si>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</si>
  <si>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</si>
  <si>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</si>
  <si>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</si>
  <si>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</si>
  <si>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</si>
  <si>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</si>
  <si>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</si>
  <si>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</si>
  <si>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</si>
  <si>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</si>
  <si>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</si>
  <si>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</si>
  <si>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</si>
  <si>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</si>
  <si>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</si>
  <si>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</si>
  <si>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</si>
  <si>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</si>
  <si>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</si>
  <si>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</si>
  <si>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</si>
  <si>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</si>
  <si>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</si>
  <si>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</si>
  <si>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</si>
  <si>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</si>
  <si>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</si>
  <si>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</si>
  <si>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</si>
  <si>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</si>
  <si>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</si>
  <si>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</si>
  <si>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</si>
  <si>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</si>
  <si>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</si>
  <si>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</si>
  <si>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</si>
  <si>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</si>
  <si>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</si>
  <si>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</si>
  <si>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</si>
  <si>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</si>
  <si>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</si>
  <si>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</si>
  <si>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</si>
  <si>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</si>
  <si>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</si>
  <si>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</si>
  <si>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</si>
  <si>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</si>
  <si>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</si>
  <si>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</si>
  <si>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</si>
  <si>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</si>
  <si>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</si>
  <si>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</si>
  <si>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</si>
  <si>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</si>
  <si>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</si>
  <si>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</si>
  <si>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</si>
  <si>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</si>
  <si>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</si>
  <si>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</si>
  <si>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</si>
  <si>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</si>
  <si>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</si>
  <si>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</si>
  <si>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</si>
  <si>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</si>
  <si>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</si>
  <si>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</si>
  <si>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</si>
  <si>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</si>
  <si>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</si>
  <si>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</si>
  <si>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</si>
  <si>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</si>
  <si>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</si>
  <si>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</si>
  <si>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</si>
  <si>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</si>
  <si>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</si>
  <si>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</si>
  <si>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</si>
  <si>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</si>
  <si>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</si>
  <si>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</si>
  <si>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</si>
  <si>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</si>
  <si>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</si>
  <si>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</si>
  <si>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</si>
  <si>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</si>
  <si>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</si>
  <si>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</si>
  <si>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</si>
  <si>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</si>
  <si>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</si>
  <si>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</si>
  <si>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</si>
  <si>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</si>
  <si>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</si>
  <si>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</si>
  <si>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</si>
  <si>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</si>
  <si>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</si>
  <si>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</si>
  <si>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</si>
  <si>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</si>
  <si>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</si>
  <si>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</si>
  <si>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</si>
  <si>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</si>
  <si>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</si>
  <si>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</si>
  <si>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</si>
  <si>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</si>
  <si>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</si>
  <si>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</si>
  <si>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</si>
  <si>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</si>
  <si>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</si>
  <si>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</si>
  <si>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</si>
  <si>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</si>
  <si>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</si>
  <si>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</si>
  <si>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</si>
  <si>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</si>
  <si>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</si>
  <si>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</si>
  <si>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</si>
  <si>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</si>
  <si>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</si>
  <si>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</si>
  <si>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</si>
  <si>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</si>
  <si>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</si>
  <si>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</si>
  <si>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</si>
  <si>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</si>
  <si>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</si>
  <si>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</si>
  <si>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</si>
  <si>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</si>
  <si>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</si>
  <si>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</si>
  <si>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</si>
  <si>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</si>
  <si>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</si>
  <si>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</si>
  <si>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</si>
  <si>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</si>
  <si>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</si>
  <si>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</si>
  <si>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</si>
  <si>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</si>
  <si>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</si>
  <si>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</si>
  <si>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</si>
  <si>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</si>
  <si>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</si>
  <si>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</si>
  <si>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</si>
  <si>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2026-081</t>
  </si>
  <si>
    <t>9520/2026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</si>
</sst>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18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12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8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14" activePane="bottomLeft" state="frozen"/>
      <selection pane="bottomLeft" activeCell="E737" sqref="E737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2566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2697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2697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2893</v>
      </c>
    </row>
    <row r="705" spans="1:21" ht="15" x14ac:dyDescent="0.25">
      <c r="A705" s="191" t="s">
        <v>2894</v>
      </c>
      <c r="B705" s="152">
        <v>2026</v>
      </c>
      <c r="C705" s="183" t="s">
        <v>2697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2900</v>
      </c>
      <c r="F706" s="185" t="s">
        <v>69</v>
      </c>
      <c r="G706" s="186" t="s">
        <v>79</v>
      </c>
      <c r="H706" s="191" t="s">
        <v>2901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 x14ac:dyDescent="0.25">
      <c r="A707" s="191" t="s">
        <v>2902</v>
      </c>
      <c r="B707" s="152">
        <v>2026</v>
      </c>
      <c r="C707" s="183" t="s">
        <v>2697</v>
      </c>
      <c r="D707" s="183" t="s">
        <v>2903</v>
      </c>
      <c r="E707" s="184" t="s">
        <v>2904</v>
      </c>
      <c r="F707" s="185" t="s">
        <v>69</v>
      </c>
      <c r="G707" s="186" t="s">
        <v>79</v>
      </c>
      <c r="H707" s="191" t="s">
        <v>2905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2906</v>
      </c>
      <c r="B708" s="152">
        <v>2026</v>
      </c>
      <c r="C708" s="183" t="s">
        <v>22</v>
      </c>
      <c r="D708" s="183" t="s">
        <v>2907</v>
      </c>
      <c r="E708" s="184" t="s">
        <v>2908</v>
      </c>
      <c r="F708" s="185" t="s">
        <v>69</v>
      </c>
      <c r="G708" s="186" t="s">
        <v>79</v>
      </c>
      <c r="H708" s="191" t="s">
        <v>2901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2909</v>
      </c>
    </row>
    <row r="709" spans="1:21" ht="15" x14ac:dyDescent="0.25">
      <c r="A709" s="191" t="s">
        <v>2910</v>
      </c>
      <c r="B709" s="152">
        <v>2026</v>
      </c>
      <c r="C709" s="183" t="s">
        <v>2697</v>
      </c>
      <c r="D709" s="183" t="s">
        <v>2911</v>
      </c>
      <c r="E709" s="184" t="s">
        <v>2912</v>
      </c>
      <c r="F709" s="185" t="s">
        <v>24</v>
      </c>
      <c r="G709" s="186" t="s">
        <v>75</v>
      </c>
      <c r="H709" s="191" t="s">
        <v>2913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2914</v>
      </c>
      <c r="U709" s="106"/>
    </row>
    <row r="710" spans="1:21" ht="15" x14ac:dyDescent="0.25">
      <c r="A710" s="191" t="s">
        <v>2915</v>
      </c>
      <c r="B710" s="152">
        <v>2026</v>
      </c>
      <c r="C710" s="183" t="s">
        <v>22</v>
      </c>
      <c r="D710" s="183" t="s">
        <v>2916</v>
      </c>
      <c r="E710" s="184" t="s">
        <v>2917</v>
      </c>
      <c r="F710" s="185" t="s">
        <v>69</v>
      </c>
      <c r="G710" s="186" t="s">
        <v>79</v>
      </c>
      <c r="H710" s="191" t="s">
        <v>2918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2919</v>
      </c>
      <c r="B711" s="152">
        <v>2026</v>
      </c>
      <c r="C711" s="183" t="s">
        <v>2697</v>
      </c>
      <c r="D711" s="183" t="s">
        <v>2920</v>
      </c>
      <c r="E711" s="184" t="s">
        <v>2921</v>
      </c>
      <c r="F711" s="185" t="s">
        <v>24</v>
      </c>
      <c r="G711" s="186" t="s">
        <v>206</v>
      </c>
      <c r="H711" s="191" t="s">
        <v>2901</v>
      </c>
      <c r="I711" s="191" t="s">
        <v>2901</v>
      </c>
      <c r="J711" s="191" t="s">
        <v>2901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2922</v>
      </c>
    </row>
    <row r="712" spans="1:21" ht="15" x14ac:dyDescent="0.25">
      <c r="A712" s="137" t="s">
        <v>2923</v>
      </c>
      <c r="B712" s="152">
        <v>2026</v>
      </c>
      <c r="C712" s="127" t="s">
        <v>22</v>
      </c>
      <c r="D712" s="131" t="s">
        <v>2924</v>
      </c>
      <c r="E712" s="128" t="s">
        <v>2925</v>
      </c>
      <c r="F712" s="129" t="s">
        <v>69</v>
      </c>
      <c r="G712" s="130" t="s">
        <v>79</v>
      </c>
      <c r="H712" s="131" t="s">
        <v>2926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2927</v>
      </c>
      <c r="B713" s="152">
        <v>2026</v>
      </c>
      <c r="C713" s="127" t="s">
        <v>22</v>
      </c>
      <c r="D713" s="131" t="s">
        <v>2924</v>
      </c>
      <c r="E713" s="128" t="s">
        <v>2928</v>
      </c>
      <c r="F713" s="129" t="s">
        <v>69</v>
      </c>
      <c r="G713" s="130" t="s">
        <v>79</v>
      </c>
      <c r="H713" s="131" t="s">
        <v>2929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2930</v>
      </c>
      <c r="B714" s="152">
        <v>2026</v>
      </c>
      <c r="C714" s="183" t="s">
        <v>2697</v>
      </c>
      <c r="D714" s="183" t="s">
        <v>2931</v>
      </c>
      <c r="E714" s="184" t="s">
        <v>2932</v>
      </c>
      <c r="F714" s="185" t="s">
        <v>88</v>
      </c>
      <c r="G714" s="186" t="s">
        <v>2719</v>
      </c>
      <c r="H714" s="191" t="s">
        <v>2933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2934</v>
      </c>
      <c r="B715" s="152">
        <v>2026</v>
      </c>
      <c r="C715" s="183" t="s">
        <v>2697</v>
      </c>
      <c r="D715" s="183" t="s">
        <v>2931</v>
      </c>
      <c r="E715" s="184" t="s">
        <v>2932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2936</v>
      </c>
      <c r="B716" s="152">
        <v>2026</v>
      </c>
      <c r="C716" s="183" t="s">
        <v>2697</v>
      </c>
      <c r="D716" s="183" t="s">
        <v>2931</v>
      </c>
      <c r="E716" s="184" t="s">
        <v>2932</v>
      </c>
      <c r="F716" s="185" t="s">
        <v>88</v>
      </c>
      <c r="G716" s="186" t="s">
        <v>2719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2938</v>
      </c>
      <c r="B717" s="152">
        <v>2026</v>
      </c>
      <c r="C717" s="183" t="s">
        <v>2697</v>
      </c>
      <c r="D717" s="183" t="s">
        <v>2931</v>
      </c>
      <c r="E717" s="184" t="s">
        <v>2932</v>
      </c>
      <c r="F717" s="185" t="s">
        <v>88</v>
      </c>
      <c r="G717" s="186" t="s">
        <v>2719</v>
      </c>
      <c r="H717" s="191" t="s">
        <v>2939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2940</v>
      </c>
      <c r="B718" s="152">
        <v>2026</v>
      </c>
      <c r="C718" s="183" t="s">
        <v>2697</v>
      </c>
      <c r="D718" s="183" t="s">
        <v>2931</v>
      </c>
      <c r="E718" s="184" t="s">
        <v>2932</v>
      </c>
      <c r="F718" s="185" t="s">
        <v>88</v>
      </c>
      <c r="G718" s="186" t="s">
        <v>2719</v>
      </c>
      <c r="H718" s="191" t="s">
        <v>2941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2942</v>
      </c>
      <c r="B719" s="152">
        <v>2026</v>
      </c>
      <c r="C719" s="183" t="s">
        <v>2697</v>
      </c>
      <c r="D719" s="183" t="s">
        <v>2931</v>
      </c>
      <c r="E719" s="184" t="s">
        <v>2932</v>
      </c>
      <c r="F719" s="185" t="s">
        <v>88</v>
      </c>
      <c r="G719" s="186" t="s">
        <v>2719</v>
      </c>
      <c r="H719" s="191" t="s">
        <v>2943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2944</v>
      </c>
      <c r="B720" s="152">
        <v>2026</v>
      </c>
      <c r="C720" s="127" t="s">
        <v>22</v>
      </c>
      <c r="D720" s="127" t="s">
        <v>2945</v>
      </c>
      <c r="E720" s="128" t="s">
        <v>2946</v>
      </c>
      <c r="F720" s="129" t="s">
        <v>24</v>
      </c>
      <c r="G720" s="130" t="s">
        <v>206</v>
      </c>
      <c r="H720" s="131" t="s">
        <v>2947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2948</v>
      </c>
    </row>
    <row r="721" spans="1:20" ht="30" x14ac:dyDescent="0.25">
      <c r="A721" s="137" t="s">
        <v>2949</v>
      </c>
      <c r="B721" s="152">
        <v>2026</v>
      </c>
      <c r="C721" s="152" t="s">
        <v>22</v>
      </c>
      <c r="D721" s="152" t="s">
        <v>2931</v>
      </c>
      <c r="E721" s="153" t="s">
        <v>2950</v>
      </c>
      <c r="F721" s="161" t="s">
        <v>88</v>
      </c>
      <c r="G721" s="168" t="s">
        <v>2719</v>
      </c>
      <c r="H721" s="155" t="s">
        <v>2951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2952</v>
      </c>
    </row>
    <row r="722" spans="1:20" ht="30" x14ac:dyDescent="0.25">
      <c r="A722" s="137" t="s">
        <v>2953</v>
      </c>
      <c r="B722" s="127">
        <v>2026</v>
      </c>
      <c r="C722" s="127" t="s">
        <v>22</v>
      </c>
      <c r="D722" s="127" t="s">
        <v>2931</v>
      </c>
      <c r="E722" s="128" t="s">
        <v>2954</v>
      </c>
      <c r="F722" s="129" t="s">
        <v>88</v>
      </c>
      <c r="G722" s="164" t="s">
        <v>2719</v>
      </c>
      <c r="H722" s="131" t="s">
        <v>2955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2952</v>
      </c>
    </row>
    <row r="723" spans="1:20" ht="15" x14ac:dyDescent="0.25">
      <c r="A723" s="137" t="s">
        <v>2956</v>
      </c>
      <c r="B723" s="152">
        <v>2026</v>
      </c>
      <c r="C723" s="183" t="s">
        <v>22</v>
      </c>
      <c r="D723" s="183" t="s">
        <v>2957</v>
      </c>
      <c r="E723" s="184" t="s">
        <v>2958</v>
      </c>
      <c r="F723" s="185" t="s">
        <v>88</v>
      </c>
      <c r="G723" s="186" t="s">
        <v>2719</v>
      </c>
      <c r="H723" s="191" t="s">
        <v>2959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2960</v>
      </c>
      <c r="B724" s="151">
        <v>2026</v>
      </c>
      <c r="C724" s="183" t="s">
        <v>22</v>
      </c>
      <c r="D724" s="183" t="s">
        <v>2961</v>
      </c>
      <c r="E724" s="184" t="s">
        <v>2962</v>
      </c>
      <c r="F724" s="185" t="s">
        <v>88</v>
      </c>
      <c r="G724" s="186" t="s">
        <v>2719</v>
      </c>
      <c r="H724" s="191" t="s">
        <v>2963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2964</v>
      </c>
      <c r="B725" s="183">
        <v>2026</v>
      </c>
      <c r="C725" s="183" t="s">
        <v>22</v>
      </c>
      <c r="D725" s="183" t="s">
        <v>2957</v>
      </c>
      <c r="E725" s="184" t="s">
        <v>2965</v>
      </c>
      <c r="F725" s="185"/>
      <c r="G725" s="186" t="s">
        <v>2719</v>
      </c>
      <c r="H725" s="191" t="s">
        <v>2966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2967</v>
      </c>
      <c r="B726" s="183">
        <v>2026</v>
      </c>
      <c r="C726" s="183" t="s">
        <v>2697</v>
      </c>
      <c r="D726" s="183" t="s">
        <v>2957</v>
      </c>
      <c r="E726" s="184" t="s">
        <v>2968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2969</v>
      </c>
      <c r="B727" s="183">
        <v>2026</v>
      </c>
      <c r="C727" s="183" t="s">
        <v>2697</v>
      </c>
      <c r="D727" s="183" t="s">
        <v>2957</v>
      </c>
      <c r="E727" s="180" t="s">
        <v>2970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2971</v>
      </c>
      <c r="B728" s="183">
        <v>2026</v>
      </c>
      <c r="C728" s="183" t="s">
        <v>2697</v>
      </c>
      <c r="D728" s="183" t="s">
        <v>2957</v>
      </c>
      <c r="E728" s="180" t="s">
        <v>2972</v>
      </c>
      <c r="F728" s="185"/>
      <c r="G728" s="186" t="s">
        <v>2719</v>
      </c>
      <c r="H728" s="191" t="s">
        <v>2973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2974</v>
      </c>
      <c r="B729" s="183">
        <v>2026</v>
      </c>
      <c r="C729" s="183" t="s">
        <v>2697</v>
      </c>
      <c r="D729" s="183" t="s">
        <v>2957</v>
      </c>
      <c r="E729" s="180" t="s">
        <v>2975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2976</v>
      </c>
      <c r="B730" s="183">
        <v>2026</v>
      </c>
      <c r="C730" s="183" t="s">
        <v>2697</v>
      </c>
      <c r="D730" s="183" t="s">
        <v>2957</v>
      </c>
      <c r="E730" s="203" t="s">
        <v>2977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2978</v>
      </c>
      <c r="B731" s="183">
        <v>2026</v>
      </c>
      <c r="C731" s="183" t="s">
        <v>2697</v>
      </c>
      <c r="D731" s="183" t="s">
        <v>2957</v>
      </c>
      <c r="E731" s="203" t="s">
        <v>2979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3186</v>
      </c>
      <c r="B737" s="183">
        <v>2026</v>
      </c>
      <c r="C737" s="183" t="s">
        <v>2697</v>
      </c>
      <c r="D737" s="183" t="s">
        <v>3187</v>
      </c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>
        <f t="shared" si="14"/>
        <v>0</v>
      </c>
      <c r="S737" s="183"/>
      <c r="T737" s="186"/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2991</v>
      </c>
      <c r="H1" s="213" t="s">
        <v>2992</v>
      </c>
    </row>
    <row r="2" spans="1:8" x14ac:dyDescent="0.25">
      <c r="H2" s="212" t="s">
        <v>2993</v>
      </c>
    </row>
    <row r="3" spans="1:8" x14ac:dyDescent="0.25">
      <c r="A3" t="s">
        <v>0</v>
      </c>
      <c r="B3" t="s">
        <v>19</v>
      </c>
      <c r="C3" t="s">
        <v>2994</v>
      </c>
      <c r="D3" t="s">
        <v>2995</v>
      </c>
      <c r="E3" t="s">
        <v>2996</v>
      </c>
      <c r="H3" s="212" t="s">
        <v>2997</v>
      </c>
    </row>
    <row r="4" spans="1:8" x14ac:dyDescent="0.25">
      <c r="A4">
        <v>1</v>
      </c>
      <c r="B4" t="s">
        <v>2998</v>
      </c>
      <c r="D4" t="s">
        <v>2999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3000</v>
      </c>
    </row>
    <row r="5" spans="1:8" x14ac:dyDescent="0.25">
      <c r="A5">
        <v>2</v>
      </c>
      <c r="B5" t="s">
        <v>2507</v>
      </c>
      <c r="D5" t="s">
        <v>2999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3001</v>
      </c>
    </row>
    <row r="6" spans="1:8" x14ac:dyDescent="0.25">
      <c r="A6">
        <v>3</v>
      </c>
      <c r="B6" t="s">
        <v>1030</v>
      </c>
      <c r="D6" t="s">
        <v>2999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3002</v>
      </c>
      <c r="D7" t="s">
        <v>2999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3003</v>
      </c>
    </row>
    <row r="8" spans="1:8" x14ac:dyDescent="0.25">
      <c r="A8">
        <v>5</v>
      </c>
      <c r="B8" t="s">
        <v>3004</v>
      </c>
      <c r="D8" t="s">
        <v>2999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2999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2999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2999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2999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2999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2999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2999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2999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2999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2999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2999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2999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2999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2999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3005</v>
      </c>
      <c r="D23" t="s">
        <v>2999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2999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3006</v>
      </c>
      <c r="D25" t="s">
        <v>2999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3007</v>
      </c>
      <c r="D26" t="s">
        <v>2999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2999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2999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3008</v>
      </c>
      <c r="D29" t="s">
        <v>2999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2999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2999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2999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3009</v>
      </c>
      <c r="D33" t="s">
        <v>2999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3010</v>
      </c>
      <c r="D34" t="s">
        <v>2999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2999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2999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2999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3011</v>
      </c>
      <c r="D38" t="s">
        <v>2999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2999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3012</v>
      </c>
      <c r="D40" t="s">
        <v>2999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2999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3013</v>
      </c>
      <c r="D42" t="s">
        <v>2999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2999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2999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3014</v>
      </c>
      <c r="D45" t="s">
        <v>2999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2999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2999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2999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2999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3015</v>
      </c>
      <c r="D50" t="s">
        <v>2999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2999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3016</v>
      </c>
      <c r="D52" t="s">
        <v>2999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2999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2999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3017</v>
      </c>
      <c r="D55" t="s">
        <v>2999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2999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2999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2999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3018</v>
      </c>
      <c r="D59" t="s">
        <v>2999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2999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2999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2999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3019</v>
      </c>
      <c r="D63" t="s">
        <v>2999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3020</v>
      </c>
      <c r="D64" t="s">
        <v>2999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3021</v>
      </c>
      <c r="D65" t="s">
        <v>2999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3022</v>
      </c>
      <c r="D66" t="s">
        <v>2999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2999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2999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3023</v>
      </c>
      <c r="D69" t="s">
        <v>2999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3024</v>
      </c>
      <c r="D70" t="s">
        <v>2999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2999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3025</v>
      </c>
      <c r="D72" t="s">
        <v>2999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2999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2999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2999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3026</v>
      </c>
      <c r="D76" t="s">
        <v>2999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2999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2999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2999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2999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3027</v>
      </c>
      <c r="D81" t="s">
        <v>2999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3028</v>
      </c>
      <c r="D82" t="s">
        <v>2999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3029</v>
      </c>
      <c r="D83" t="s">
        <v>2999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3030</v>
      </c>
      <c r="D84" t="s">
        <v>2999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2999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3031</v>
      </c>
      <c r="D86" t="s">
        <v>2999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2999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3032</v>
      </c>
      <c r="D88" t="s">
        <v>2999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3033</v>
      </c>
      <c r="D89" t="s">
        <v>2999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3034</v>
      </c>
      <c r="D90" t="s">
        <v>2999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3035</v>
      </c>
      <c r="D91" t="s">
        <v>2999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3036</v>
      </c>
      <c r="D92" t="s">
        <v>2999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3037</v>
      </c>
      <c r="D93" t="s">
        <v>2999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3038</v>
      </c>
      <c r="D94" t="s">
        <v>2999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3039</v>
      </c>
      <c r="D95" t="s">
        <v>2999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3040</v>
      </c>
      <c r="D96" t="s">
        <v>2999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2922</v>
      </c>
      <c r="D97" t="s">
        <v>2999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3041</v>
      </c>
      <c r="D98" t="s">
        <v>2999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2914</v>
      </c>
      <c r="D99" t="s">
        <v>2999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3042</v>
      </c>
      <c r="D100" t="s">
        <v>2999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3043</v>
      </c>
      <c r="D101" t="s">
        <v>2999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3044</v>
      </c>
      <c r="D102" t="s">
        <v>2999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3045</v>
      </c>
      <c r="D103" t="s">
        <v>2999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2893</v>
      </c>
      <c r="D104" t="s">
        <v>2999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3046</v>
      </c>
      <c r="D105" t="s">
        <v>2999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3047</v>
      </c>
      <c r="D106" t="s">
        <v>2999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3048</v>
      </c>
      <c r="D107" t="s">
        <v>2999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2999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2999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3049</v>
      </c>
      <c r="C1" s="19" t="s">
        <v>3050</v>
      </c>
      <c r="D1" s="19" t="s">
        <v>4</v>
      </c>
      <c r="E1" s="19" t="s">
        <v>3051</v>
      </c>
      <c r="F1" s="19" t="s">
        <v>19</v>
      </c>
      <c r="G1" s="19" t="s">
        <v>3052</v>
      </c>
      <c r="H1" s="19" t="s">
        <v>3053</v>
      </c>
      <c r="I1" s="19" t="s">
        <v>3054</v>
      </c>
      <c r="J1" s="19" t="s">
        <v>3055</v>
      </c>
      <c r="L1" s="112" t="s">
        <v>3056</v>
      </c>
      <c r="M1" s="23">
        <v>2026</v>
      </c>
      <c r="U1" s="80" t="s">
        <v>3057</v>
      </c>
      <c r="V1" s="79"/>
      <c r="X1" s="78" t="s">
        <v>3058</v>
      </c>
      <c r="Y1" s="27"/>
      <c r="Z1" s="27"/>
      <c r="AA1" s="27"/>
      <c r="AC1" s="100" t="s">
        <v>3059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3060</v>
      </c>
      <c r="M2" s="107" t="s">
        <v>2930</v>
      </c>
      <c r="X2" s="114" t="s">
        <v>3049</v>
      </c>
      <c r="Y2" s="114" t="s">
        <v>19</v>
      </c>
      <c r="Z2" s="114" t="s">
        <v>3061</v>
      </c>
      <c r="AA2" s="114" t="s">
        <v>3062</v>
      </c>
      <c r="AC2" s="115" t="s">
        <v>1</v>
      </c>
      <c r="AD2" s="115" t="s">
        <v>3063</v>
      </c>
      <c r="AE2" s="115" t="s">
        <v>3064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3065</v>
      </c>
      <c r="M3" s="113" t="s">
        <v>3066</v>
      </c>
      <c r="N3" s="113" t="s">
        <v>3067</v>
      </c>
      <c r="O3" s="113" t="s">
        <v>3068</v>
      </c>
      <c r="P3" s="113" t="s">
        <v>3069</v>
      </c>
      <c r="Q3" s="113" t="s">
        <v>3070</v>
      </c>
      <c r="R3" s="113" t="s">
        <v>3071</v>
      </c>
      <c r="S3" s="113" t="s">
        <v>3072</v>
      </c>
      <c r="T3" s="113" t="s">
        <v>3073</v>
      </c>
      <c r="X3" t="s">
        <v>2837</v>
      </c>
      <c r="Y3" t="s">
        <v>3012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5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0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3074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3012</v>
      </c>
      <c r="Z6">
        <v>1</v>
      </c>
      <c r="AA6">
        <v>0</v>
      </c>
      <c r="AC6" s="97">
        <v>2026</v>
      </c>
      <c r="AD6" s="18" t="s">
        <v>3075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17.45</v>
      </c>
      <c r="Q7" t="str">
        <f ca="1"/>
        <v>Flávio José Fonseca de Souza; Felipe da Costa Malaquias</v>
      </c>
      <c r="R7">
        <f ca="1"/>
        <v>2</v>
      </c>
      <c r="S7">
        <f ca="1"/>
        <v>17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20</v>
      </c>
      <c r="T8">
        <f ca="1"/>
        <v>17</v>
      </c>
      <c r="X8" t="s">
        <v>2944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21</v>
      </c>
      <c r="T9">
        <f ca="1"/>
        <v>20</v>
      </c>
      <c r="X9" t="s">
        <v>2944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22</v>
      </c>
      <c r="T10">
        <f ca="1"/>
        <v>21</v>
      </c>
      <c r="X10" t="s">
        <v>2944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23</v>
      </c>
      <c r="T11">
        <f ca="1"/>
        <v>22</v>
      </c>
      <c r="X11" t="s">
        <v>2944</v>
      </c>
      <c r="Y11" s="18" t="s">
        <v>3006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25</v>
      </c>
      <c r="T12">
        <f ca="1"/>
        <v>23</v>
      </c>
      <c r="X12" t="s">
        <v>2944</v>
      </c>
      <c r="Y12" s="18" t="s">
        <v>3024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27</v>
      </c>
      <c r="T13">
        <f ca="1"/>
        <v>25</v>
      </c>
      <c r="X13" t="s">
        <v>2953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31</v>
      </c>
      <c r="T14">
        <f ca="1"/>
        <v>27</v>
      </c>
      <c r="X14" t="s">
        <v>2953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36</v>
      </c>
      <c r="T15">
        <f ca="1"/>
        <v>31</v>
      </c>
      <c r="X15" t="s">
        <v>2953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38</v>
      </c>
      <c r="T16">
        <f ca="1"/>
        <v>36</v>
      </c>
      <c r="X16" t="s">
        <v>2953</v>
      </c>
      <c r="Y16" s="18" t="s">
        <v>3006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17.45</v>
      </c>
      <c r="F17" s="18" t="str">
        <f ca="1"/>
        <v>Flávio José Fonseca de Souza</v>
      </c>
      <c r="G17" s="20">
        <f ca="1"/>
        <v>2</v>
      </c>
      <c r="H17" s="22">
        <f ca="1"/>
        <v>0</v>
      </c>
      <c r="I17" s="22">
        <f ca="1"/>
        <v>34.9</v>
      </c>
      <c r="J17" s="22">
        <f ca="1"/>
        <v>34.9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40</v>
      </c>
      <c r="T17">
        <f ca="1"/>
        <v>38</v>
      </c>
      <c r="X17" t="s">
        <v>2953</v>
      </c>
      <c r="Y17" s="18" t="s">
        <v>3024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2026-066</v>
      </c>
      <c r="C18" s="21" t="str">
        <f ca="1"/>
        <v>A realizar</v>
      </c>
      <c r="D18" s="18" t="str">
        <f ca="1"/>
        <v>Contratações de TIC com base na jurisprudência do TCDF - EAD</v>
      </c>
      <c r="E18" s="20">
        <f ca="1"/>
        <v>17.45</v>
      </c>
      <c r="F18" s="18" t="str">
        <f ca="1"/>
        <v>Felipe da Costa Malaquias</v>
      </c>
      <c r="G18" s="20">
        <f ca="1"/>
        <v>2</v>
      </c>
      <c r="H18" s="22">
        <f ca="1"/>
        <v>0</v>
      </c>
      <c r="I18" s="22">
        <f ca="1"/>
        <v>34.9</v>
      </c>
      <c r="J18" s="22">
        <f ca="1"/>
        <v>34.9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42</v>
      </c>
      <c r="T18">
        <f ca="1"/>
        <v>40</v>
      </c>
      <c r="X18" t="s">
        <v>2949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 Assunção Salvador Nery de Castro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44</v>
      </c>
      <c r="T19">
        <f ca="1"/>
        <v>42</v>
      </c>
      <c r="X19" t="s">
        <v>2949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David da Silva de Araújo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Em andamento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2949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2026-034</v>
      </c>
      <c r="C21" s="21" t="str">
        <f ca="1"/>
        <v>Realizado</v>
      </c>
      <c r="D21" s="18" t="str">
        <f ca="1"/>
        <v>Curso “Sisaudit na Prática”</v>
      </c>
      <c r="E21" s="20">
        <f ca="1"/>
        <v>12</v>
      </c>
      <c r="F21" s="18" t="str">
        <f ca="1"/>
        <v>Hamilton de Jesus Lopes Neto</v>
      </c>
      <c r="G21" s="20">
        <f ca="1"/>
        <v>3</v>
      </c>
      <c r="H21" s="22">
        <f ca="1"/>
        <v>12</v>
      </c>
      <c r="I21" s="22">
        <f ca="1"/>
        <v>1.2</v>
      </c>
      <c r="J21" s="22">
        <f ca="1"/>
        <v>13.2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2949</v>
      </c>
      <c r="Y21" s="18" t="s">
        <v>3006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2026-027</v>
      </c>
      <c r="C22" s="21" t="str">
        <f ca="1"/>
        <v>Realizado</v>
      </c>
      <c r="D22" s="18" t="str">
        <f ca="1"/>
        <v>Curso básico de e-TCDF</v>
      </c>
      <c r="E22" s="20">
        <f ca="1"/>
        <v>16</v>
      </c>
      <c r="F22" s="18" t="str">
        <f ca="1"/>
        <v>Cássio Murilo Alves Costa Filho</v>
      </c>
      <c r="G22" s="20">
        <f ca="1"/>
        <v>1</v>
      </c>
      <c r="H22" s="22">
        <f ca="1"/>
        <v>16</v>
      </c>
      <c r="I22" s="22">
        <f ca="1"/>
        <v>4.8</v>
      </c>
      <c r="J22" s="22">
        <f ca="1"/>
        <v>20.8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2949</v>
      </c>
      <c r="Y22" s="18" t="s">
        <v>3024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2026-019</v>
      </c>
      <c r="C23" s="21" t="str">
        <f ca="1"/>
        <v>Realizado</v>
      </c>
      <c r="D23" s="18" t="str">
        <f ca="1"/>
        <v>Curso de Ambientação para os novos Auditores de Controle Externo - Área Auditoria</v>
      </c>
      <c r="E23" s="20">
        <f ca="1"/>
        <v>20</v>
      </c>
      <c r="F23" s="18" t="str">
        <f ca="1"/>
        <v>Diversos</v>
      </c>
      <c r="G23" s="20">
        <f ca="1"/>
        <v>1</v>
      </c>
      <c r="H23" s="22">
        <f ca="1"/>
        <v>0</v>
      </c>
      <c r="I23" s="22">
        <f ca="1"/>
        <v>0</v>
      </c>
      <c r="J23" s="22">
        <f ca="1"/>
        <v>0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2026-042</v>
      </c>
      <c r="C24" s="21" t="str">
        <f ca="1"/>
        <v>Realizado</v>
      </c>
      <c r="D24" s="18" t="str">
        <f ca="1"/>
        <v>Curso de Formação para Conselheiros de Saúde do DF</v>
      </c>
      <c r="E24" s="20">
        <f ca="1"/>
        <v>20</v>
      </c>
      <c r="F24" s="18" t="str">
        <f ca="1"/>
        <v>Tarsila Firmino Ely</v>
      </c>
      <c r="G24" s="20">
        <f ca="1"/>
        <v>1</v>
      </c>
      <c r="H24" s="22">
        <f ca="1"/>
        <v>20</v>
      </c>
      <c r="I24" s="22">
        <f ca="1"/>
        <v>6</v>
      </c>
      <c r="J24" s="22">
        <f ca="1"/>
        <v>26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1" t="s">
        <v>2834</v>
      </c>
      <c r="Y24" s="18" t="s">
        <v>3012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Tarsila Firmino Ely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2026-032</v>
      </c>
      <c r="C26" s="21" t="str">
        <f ca="1"/>
        <v>Realizado</v>
      </c>
      <c r="D26" s="18" t="str">
        <f ca="1"/>
        <v>Curso de formação para gestores e fiscais de Contrato em equipamentos nas unidades hospitalares - T2</v>
      </c>
      <c r="E26" s="20">
        <f ca="1"/>
        <v>12</v>
      </c>
      <c r="F26" s="18" t="str">
        <f ca="1"/>
        <v>Luciana Alvim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2841</v>
      </c>
      <c r="Y26" s="18" t="s">
        <v>3012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Tarsila Firmino Ely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2026-033</v>
      </c>
      <c r="C28" s="21" t="str">
        <f ca="1"/>
        <v>Realizado</v>
      </c>
      <c r="D28" s="18" t="str">
        <f ca="1"/>
        <v>Curso de formação para gestores e fiscais de Contrato em equipamentos nas unidades hospitalares - T3</v>
      </c>
      <c r="E28" s="20">
        <f ca="1"/>
        <v>12</v>
      </c>
      <c r="F28" s="18" t="str">
        <f ca="1"/>
        <v>Luciana Alvim</v>
      </c>
      <c r="G28" s="20">
        <f ca="1"/>
        <v>2</v>
      </c>
      <c r="H28" s="22">
        <f ca="1"/>
        <v>12</v>
      </c>
      <c r="I28" s="22">
        <f ca="1"/>
        <v>1.7999999999999998</v>
      </c>
      <c r="J28" s="22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2" t="s">
        <v>2722</v>
      </c>
      <c r="Y28" s="18" t="s">
        <v>3047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Tarsila Firmino Ely</v>
      </c>
      <c r="G29" s="20">
        <f ca="1"/>
        <v>4</v>
      </c>
      <c r="H29" s="22">
        <f ca="1"/>
        <v>20</v>
      </c>
      <c r="I29" s="22">
        <f ca="1"/>
        <v>3.6</v>
      </c>
      <c r="J29" s="22">
        <f ca="1"/>
        <v>23.6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Sara Cristina Lins Ramos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2" t="s">
        <v>2722</v>
      </c>
      <c r="Y30" s="18" t="s">
        <v>3043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Carina de Souza Mariuba Herthel</v>
      </c>
      <c r="G31" s="20">
        <f ca="1"/>
        <v>4</v>
      </c>
      <c r="H31" s="22">
        <f ca="1"/>
        <v>8</v>
      </c>
      <c r="I31" s="22">
        <f ca="1"/>
        <v>2.4</v>
      </c>
      <c r="J31" s="22">
        <f ca="1"/>
        <v>10.4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63</v>
      </c>
      <c r="T31">
        <f ca="1"/>
        <v>62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2026-057</v>
      </c>
      <c r="C32" s="21" t="str">
        <f ca="1"/>
        <v>A realizar</v>
      </c>
      <c r="D32" s="18" t="str">
        <f ca="1"/>
        <v>Curso de formação sobre "Programa de Descentralização Progressiva das Ações de Saúde - PDPAS</v>
      </c>
      <c r="E32" s="20">
        <f ca="1"/>
        <v>20</v>
      </c>
      <c r="F32" s="18" t="str">
        <f ca="1"/>
        <v>Elvis Aaron Teixeira dos Santos Lima</v>
      </c>
      <c r="G32" s="20">
        <f ca="1"/>
        <v>4</v>
      </c>
      <c r="H32" s="22">
        <f ca="1"/>
        <v>0</v>
      </c>
      <c r="I32" s="22">
        <f ca="1"/>
        <v>0</v>
      </c>
      <c r="J32" s="22">
        <f ca="1"/>
        <v>0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65</v>
      </c>
      <c r="T32">
        <f ca="1"/>
        <v>63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Cinthia Thais de Carvalho Luz Thomazi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66</v>
      </c>
      <c r="T33">
        <f ca="1"/>
        <v>65</v>
      </c>
      <c r="X33" s="102" t="s">
        <v>2755</v>
      </c>
      <c r="Y33" t="s">
        <v>3025</v>
      </c>
      <c r="Z33">
        <v>4</v>
      </c>
      <c r="AA33">
        <v>0.6</v>
      </c>
      <c r="AC33" s="99"/>
      <c r="AD33" s="116" t="s">
        <v>3076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Reinaldo Alencar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68</v>
      </c>
      <c r="T34">
        <f ca="1"/>
        <v>66</v>
      </c>
      <c r="X34" s="102" t="s">
        <v>2755</v>
      </c>
      <c r="Y34" t="s">
        <v>3026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Rogério Ribeiro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70</v>
      </c>
      <c r="T35">
        <f ca="1"/>
        <v>68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Rômulo Miranda Alvim</v>
      </c>
      <c r="G36" s="20">
        <f ca="1"/>
        <v>5</v>
      </c>
      <c r="H36" s="22">
        <f ca="1"/>
        <v>4</v>
      </c>
      <c r="I36" s="22">
        <f ca="1"/>
        <v>0.6</v>
      </c>
      <c r="J36" s="22">
        <f ca="1"/>
        <v>4.5999999999999996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72</v>
      </c>
      <c r="T36">
        <f ca="1"/>
        <v>70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1" t="str">
        <f ca="1"/>
        <v>Realizado</v>
      </c>
      <c r="D37" t="str">
        <f ca="1"/>
        <v>Curso de Fundamentos básicos de controle externo no TCDF</v>
      </c>
      <c r="E37" s="81">
        <f ca="1"/>
        <v>12</v>
      </c>
      <c r="F37" t="str">
        <f ca="1"/>
        <v>Gabriel Heller</v>
      </c>
      <c r="G37" s="81">
        <f ca="1"/>
        <v>5</v>
      </c>
      <c r="H37" s="81">
        <f ca="1"/>
        <v>4</v>
      </c>
      <c r="I37" s="81">
        <f ca="1"/>
        <v>1.2</v>
      </c>
      <c r="J37" s="81">
        <f ca="1"/>
        <v>5.2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74</v>
      </c>
      <c r="T37">
        <f ca="1"/>
        <v>72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Rômulo Miranda Alvim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75</v>
      </c>
      <c r="T38">
        <f ca="1"/>
        <v>74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1" t="str">
        <f ca="1"/>
        <v>Realizado</v>
      </c>
      <c r="D39" t="str">
        <f ca="1"/>
        <v>Curso de Promoção Funcional 2026/2027</v>
      </c>
      <c r="E39" s="81">
        <f ca="1"/>
        <v>20</v>
      </c>
      <c r="F39" t="str">
        <f ca="1"/>
        <v>Cinthia Thais de Carvalho Luz Thomazi</v>
      </c>
      <c r="G39" s="81">
        <f ca="1"/>
        <v>2</v>
      </c>
      <c r="H39" s="81">
        <f ca="1"/>
        <v>20</v>
      </c>
      <c r="I39" s="81">
        <f ca="1"/>
        <v>3</v>
      </c>
      <c r="J39" s="81">
        <f ca="1"/>
        <v>23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77</v>
      </c>
      <c r="T39">
        <f ca="1"/>
        <v>75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Adriana Magalhães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79</v>
      </c>
      <c r="T40">
        <f ca="1"/>
        <v>77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1" t="str">
        <f ca="1"/>
        <v>Realizado</v>
      </c>
      <c r="D41" t="str">
        <f ca="1"/>
        <v>Curso para gestores e fiscais de contratos de serviços assistenciais complementares – SES/DF</v>
      </c>
      <c r="E41" s="81">
        <f ca="1"/>
        <v>12</v>
      </c>
      <c r="F41" t="str">
        <f ca="1"/>
        <v>Luciana Alvim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81</v>
      </c>
      <c r="T41">
        <f ca="1"/>
        <v>79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Adriana Magalhães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83</v>
      </c>
      <c r="T42">
        <f ca="1"/>
        <v>81</v>
      </c>
      <c r="X42" t="s">
        <v>2898</v>
      </c>
      <c r="Y42" t="s">
        <v>3017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Luciana Alvim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84</v>
      </c>
      <c r="T43">
        <f ca="1"/>
        <v>83</v>
      </c>
      <c r="X43" t="s">
        <v>2906</v>
      </c>
      <c r="Y43" s="18" t="s">
        <v>3034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Tarsila Firmino Ely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85</v>
      </c>
      <c r="T44">
        <f ca="1"/>
        <v>84</v>
      </c>
      <c r="X44" t="s">
        <v>2906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2026-025</v>
      </c>
      <c r="C45" t="str">
        <f ca="1"/>
        <v>A realizar</v>
      </c>
      <c r="D45" t="str">
        <f ca="1"/>
        <v>Elaboração da Cartilha "Gestão e Fiscalização de Contratos em Saúde"</v>
      </c>
      <c r="E45">
        <f ca="1"/>
        <v>65</v>
      </c>
      <c r="F45" t="str">
        <f ca="1"/>
        <v>Luciana Alvim</v>
      </c>
      <c r="G45">
        <f ca="1"/>
        <v>2</v>
      </c>
      <c r="H45">
        <f ca="1"/>
        <v>0</v>
      </c>
      <c r="I45">
        <f ca="1"/>
        <v>65</v>
      </c>
      <c r="J45">
        <f ca="1"/>
        <v>65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86</v>
      </c>
      <c r="T45">
        <f ca="1"/>
        <v>85</v>
      </c>
      <c r="X45" t="s">
        <v>2686</v>
      </c>
      <c r="Y45" t="s">
        <v>3033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Em andamento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87</v>
      </c>
      <c r="T46">
        <f ca="1"/>
        <v>86</v>
      </c>
      <c r="X46" t="s">
        <v>2686</v>
      </c>
      <c r="Y46" t="s">
        <v>3045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88</v>
      </c>
      <c r="T47">
        <f ca="1"/>
        <v>87</v>
      </c>
      <c r="X47" t="s">
        <v>2686</v>
      </c>
      <c r="Y47" t="s">
        <v>3042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A realizar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89</v>
      </c>
      <c r="T48">
        <f ca="1"/>
        <v>88</v>
      </c>
      <c r="X48" t="s">
        <v>2686</v>
      </c>
      <c r="Y48" t="s">
        <v>3044</v>
      </c>
      <c r="Z48">
        <v>1</v>
      </c>
      <c r="AA48">
        <v>0.3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90</v>
      </c>
      <c r="T49">
        <f ca="1"/>
        <v>89</v>
      </c>
      <c r="X49" t="s">
        <v>2686</v>
      </c>
      <c r="Y49" t="s">
        <v>3041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91</v>
      </c>
      <c r="T50">
        <f ca="1"/>
        <v>90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92</v>
      </c>
      <c r="T51">
        <f ca="1"/>
        <v>91</v>
      </c>
      <c r="X51" t="s">
        <v>2686</v>
      </c>
      <c r="Y51" t="s">
        <v>3077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97</v>
      </c>
      <c r="T52">
        <f ca="1"/>
        <v>92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102</v>
      </c>
      <c r="T53">
        <f ca="1"/>
        <v>97</v>
      </c>
      <c r="X53" t="s">
        <v>2686</v>
      </c>
      <c r="Y53" t="s">
        <v>3048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107</v>
      </c>
      <c r="T54">
        <f ca="1"/>
        <v>102</v>
      </c>
      <c r="X54" t="s">
        <v>2686</v>
      </c>
      <c r="Y54" t="s">
        <v>3046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109</v>
      </c>
      <c r="T55">
        <f ca="1"/>
        <v>107</v>
      </c>
      <c r="X55" t="s">
        <v>2785</v>
      </c>
      <c r="Y55" t="s">
        <v>3033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110</v>
      </c>
      <c r="T56">
        <f ca="1"/>
        <v>109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112</v>
      </c>
      <c r="T57">
        <f ca="1"/>
        <v>110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114</v>
      </c>
      <c r="T58">
        <f ca="1"/>
        <v>112</v>
      </c>
      <c r="X58" t="s">
        <v>2750</v>
      </c>
      <c r="Y58" s="110" t="s">
        <v>3040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117</v>
      </c>
      <c r="T59">
        <f ca="1"/>
        <v>114</v>
      </c>
      <c r="X59" t="s">
        <v>2750</v>
      </c>
      <c r="Y59" t="s">
        <v>3039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R60" t="str">
        <f ca="1"/>
        <v/>
      </c>
      <c r="S60" t="str">
        <f ca="1"/>
        <v/>
      </c>
      <c r="T60">
        <f ca="1"/>
        <v>117</v>
      </c>
      <c r="X60" t="s">
        <v>2750</v>
      </c>
      <c r="Y60" t="s">
        <v>3038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R61" t="str">
        <f ca="1"/>
        <v/>
      </c>
      <c r="S61" t="str">
        <f ca="1"/>
        <v/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2026-038</v>
      </c>
      <c r="C64" t="str">
        <f ca="1"/>
        <v>A realizar</v>
      </c>
      <c r="D64" t="str">
        <f ca="1"/>
        <v>Introdução ao processo de controle externo - EAD</v>
      </c>
      <c r="E64">
        <f ca="1"/>
        <v>16</v>
      </c>
      <c r="F64" t="str">
        <f ca="1"/>
        <v>Gabriel Heller</v>
      </c>
      <c r="G64">
        <f ca="1"/>
        <v>1</v>
      </c>
      <c r="H64">
        <f ca="1"/>
        <v>0</v>
      </c>
      <c r="I64">
        <f ca="1"/>
        <v>32</v>
      </c>
      <c r="J64">
        <f ca="1"/>
        <v>32</v>
      </c>
      <c r="R64" t="str">
        <f ca="1"/>
        <v/>
      </c>
      <c r="S64" t="str">
        <f ca="1"/>
        <v/>
      </c>
      <c r="X64" t="s">
        <v>2702</v>
      </c>
      <c r="Y64" t="s">
        <v>3030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Arthur Wú</v>
      </c>
      <c r="G65">
        <f ca="1"/>
        <v>2</v>
      </c>
      <c r="H65">
        <f ca="1"/>
        <v>1</v>
      </c>
      <c r="I65">
        <f ca="1"/>
        <v>0.6</v>
      </c>
      <c r="J65">
        <f ca="1"/>
        <v>1.6</v>
      </c>
      <c r="R65" t="str">
        <f ca="1"/>
        <v/>
      </c>
      <c r="S65" t="str">
        <f ca="1"/>
        <v/>
      </c>
      <c r="X65" t="s">
        <v>2710</v>
      </c>
      <c r="Y65" t="s">
        <v>2893</v>
      </c>
      <c r="Z65">
        <v>0</v>
      </c>
      <c r="AA65">
        <v>34.9</v>
      </c>
    </row>
    <row r="66" spans="1:27" x14ac:dyDescent="0.25">
      <c r="A66">
        <f ca="1"/>
        <v>2026</v>
      </c>
      <c r="B66" t="str">
        <f ca="1"/>
        <v>2026-016</v>
      </c>
      <c r="C66" t="str">
        <f ca="1"/>
        <v>Realizado</v>
      </c>
      <c r="D66" t="str">
        <f ca="1"/>
        <v>Mentoria de introdução à Engenharia de Prompt</v>
      </c>
      <c r="E66">
        <f ca="1"/>
        <v>2</v>
      </c>
      <c r="F66" t="str">
        <f ca="1"/>
        <v>Gustavo Takahashi</v>
      </c>
      <c r="G66">
        <f ca="1"/>
        <v>2</v>
      </c>
      <c r="H66">
        <f ca="1"/>
        <v>1</v>
      </c>
      <c r="I66">
        <f ca="1"/>
        <v>0</v>
      </c>
      <c r="J66">
        <f ca="1"/>
        <v>1</v>
      </c>
      <c r="R66" t="str">
        <f ca="1"/>
        <v/>
      </c>
      <c r="S66" t="str">
        <f ca="1"/>
        <v/>
      </c>
      <c r="X66" t="s">
        <v>2710</v>
      </c>
      <c r="Y66" t="s">
        <v>1479</v>
      </c>
      <c r="Z66">
        <v>0</v>
      </c>
      <c r="AA66">
        <v>34.9</v>
      </c>
    </row>
    <row r="67" spans="1:27" x14ac:dyDescent="0.25">
      <c r="A67">
        <f ca="1"/>
        <v>2026</v>
      </c>
      <c r="B67" t="str">
        <f ca="1"/>
        <v>2026-017</v>
      </c>
      <c r="C67" t="str">
        <f ca="1"/>
        <v>Realizado</v>
      </c>
      <c r="D67" t="str">
        <f ca="1"/>
        <v>Mostra Fotográfica “Meu Olhar sobre Brasília”</v>
      </c>
      <c r="E67">
        <f ca="1"/>
        <v>0</v>
      </c>
      <c r="F67" t="str">
        <f ca="1"/>
        <v>Servidores, colaboradores e estagiários do TCDF</v>
      </c>
      <c r="G67">
        <f ca="1"/>
        <v>1</v>
      </c>
      <c r="H67">
        <f ca="1"/>
        <v>0</v>
      </c>
      <c r="I67">
        <f ca="1"/>
        <v>0</v>
      </c>
      <c r="J67">
        <f ca="1"/>
        <v>0</v>
      </c>
      <c r="R67" t="str">
        <f ca="1"/>
        <v/>
      </c>
      <c r="S67" t="str">
        <f ca="1"/>
        <v/>
      </c>
      <c r="X67" t="s">
        <v>2956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Indio Artiaga do Brasil Rabelo</v>
      </c>
      <c r="G68">
        <f ca="1"/>
        <v>2</v>
      </c>
      <c r="H68">
        <f ca="1"/>
        <v>12</v>
      </c>
      <c r="I68">
        <f ca="1"/>
        <v>3.6</v>
      </c>
      <c r="J68">
        <f ca="1"/>
        <v>15.6</v>
      </c>
      <c r="R68" t="str">
        <f ca="1"/>
        <v/>
      </c>
      <c r="S68" t="str">
        <f ca="1"/>
        <v/>
      </c>
      <c r="X68" t="s">
        <v>2956</v>
      </c>
      <c r="Y68" t="s">
        <v>3028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2026-039</v>
      </c>
      <c r="C69" t="str">
        <f ca="1"/>
        <v>Realizado</v>
      </c>
      <c r="D69" t="str">
        <f ca="1"/>
        <v>MROSC para os gestores das Organizações da Sociedade Civil – OSCs</v>
      </c>
      <c r="E69">
        <f ca="1"/>
        <v>12</v>
      </c>
      <c r="F69" t="str">
        <f ca="1"/>
        <v>Leonardo de Melo</v>
      </c>
      <c r="G69">
        <f ca="1"/>
        <v>2</v>
      </c>
      <c r="H69">
        <f ca="1"/>
        <v>0</v>
      </c>
      <c r="I69">
        <f ca="1"/>
        <v>0</v>
      </c>
      <c r="J69">
        <f ca="1"/>
        <v>0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Reinaldo Alencar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2026-041</v>
      </c>
      <c r="C71" t="str">
        <f ca="1"/>
        <v>Realizado</v>
      </c>
      <c r="D71" t="str">
        <f ca="1"/>
        <v>O novo olhar sobre as políticas públicas para o Controle Externo</v>
      </c>
      <c r="E71">
        <f ca="1"/>
        <v>24</v>
      </c>
      <c r="F71" t="str">
        <f ca="1"/>
        <v>Rogério Ribeiro</v>
      </c>
      <c r="G71">
        <f ca="1"/>
        <v>2</v>
      </c>
      <c r="H71">
        <f ca="1"/>
        <v>24</v>
      </c>
      <c r="I71">
        <f ca="1"/>
        <v>3.5999999999999996</v>
      </c>
      <c r="J71">
        <f ca="1"/>
        <v>27.6</v>
      </c>
      <c r="R71" t="str">
        <f ca="1"/>
        <v/>
      </c>
      <c r="S71" t="str">
        <f ca="1"/>
        <v/>
      </c>
      <c r="X71" t="s">
        <v>2824</v>
      </c>
      <c r="Y71" s="18" t="s">
        <v>3012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Douglas Vieira Silva Filho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2026-053</v>
      </c>
      <c r="C73" t="str">
        <f ca="1"/>
        <v>A realizar</v>
      </c>
      <c r="D73" t="str">
        <f ca="1"/>
        <v>Oficina Temática - SEMAT: Aditivos na Contratação Integrada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Silvia Lima Damasceno Carvalho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2026-051</v>
      </c>
      <c r="C75" t="str">
        <f ca="1"/>
        <v>Realizado</v>
      </c>
      <c r="D75" t="str">
        <f ca="1"/>
        <v>Oficina Temática – SEMAT: Controle Tecnológico de obras e serviços de engenharia</v>
      </c>
      <c r="E75">
        <f ca="1"/>
        <v>4</v>
      </c>
      <c r="F75" t="str">
        <f ca="1"/>
        <v>Marcelo Silva Santana</v>
      </c>
      <c r="G75">
        <f ca="1"/>
        <v>2</v>
      </c>
      <c r="H75">
        <f ca="1"/>
        <v>4</v>
      </c>
      <c r="I75">
        <f ca="1"/>
        <v>1.2</v>
      </c>
      <c r="J75">
        <f ca="1"/>
        <v>5.2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2026-046</v>
      </c>
      <c r="C76" t="str">
        <f ca="1"/>
        <v>Realizado</v>
      </c>
      <c r="D76" t="str">
        <f ca="1"/>
        <v>Oficina Temática – SEMAT: Falhas recorrentes em contratações de TI</v>
      </c>
      <c r="E76">
        <f ca="1"/>
        <v>8</v>
      </c>
      <c r="F76" t="str">
        <f ca="1"/>
        <v>Felipe da Costa Malaquias</v>
      </c>
      <c r="G76">
        <f ca="1"/>
        <v>1</v>
      </c>
      <c r="H76">
        <f ca="1"/>
        <v>8</v>
      </c>
      <c r="I76">
        <f ca="1"/>
        <v>2.4</v>
      </c>
      <c r="J76">
        <f ca="1"/>
        <v>10.4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3031</v>
      </c>
      <c r="AA77">
        <v>1.2</v>
      </c>
    </row>
    <row r="78" spans="1:27" x14ac:dyDescent="0.25">
      <c r="A78">
        <f ca="1"/>
        <v>2026</v>
      </c>
      <c r="B78" t="str">
        <f ca="1"/>
        <v>2026-068</v>
      </c>
      <c r="C78" t="str">
        <f ca="1"/>
        <v>A realizar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Renan Dias da Silva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Indio Artiaga do Brasil Rabelo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3035</v>
      </c>
      <c r="AA79">
        <v>1.2</v>
      </c>
    </row>
    <row r="80" spans="1:27" x14ac:dyDescent="0.25">
      <c r="A80">
        <f ca="1"/>
        <v>2026</v>
      </c>
      <c r="B80" t="str">
        <f ca="1"/>
        <v>2026-047</v>
      </c>
      <c r="C80" t="str">
        <f ca="1"/>
        <v>Realizado</v>
      </c>
      <c r="D80" t="str">
        <f ca="1"/>
        <v>Oficina Temática - SEMAT: MROSC para servidores do GDF</v>
      </c>
      <c r="E80">
        <f ca="1"/>
        <v>4</v>
      </c>
      <c r="F80" t="str">
        <f ca="1"/>
        <v>Leonardo de Melo</v>
      </c>
      <c r="G80">
        <f ca="1"/>
        <v>2</v>
      </c>
      <c r="H80">
        <f ca="1"/>
        <v>0</v>
      </c>
      <c r="I80">
        <f ca="1"/>
        <v>0</v>
      </c>
      <c r="J80">
        <f ca="1"/>
        <v>0</v>
      </c>
      <c r="R80" t="str">
        <f ca="1"/>
        <v/>
      </c>
      <c r="S80" t="str">
        <f ca="1"/>
        <v/>
      </c>
      <c r="X80" t="s">
        <v>2785</v>
      </c>
      <c r="Y80" t="s">
        <v>3032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2026-049</v>
      </c>
      <c r="C82" t="str">
        <f ca="1"/>
        <v>A realizar</v>
      </c>
      <c r="D82" t="str">
        <f ca="1"/>
        <v>Oficina Temática - SEMAT: Pesquisa de Preços em contratos de obras e serviços de engenharia</v>
      </c>
      <c r="E82">
        <f ca="1"/>
        <v>4</v>
      </c>
      <c r="F82" t="str">
        <f ca="1"/>
        <v>Wibys Pereira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Thiago Magalhães de Oliveira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2026-048</v>
      </c>
      <c r="C84" t="str">
        <f ca="1"/>
        <v>Realizado</v>
      </c>
      <c r="D84" t="str">
        <f ca="1"/>
        <v>Oficina Temática - SEMAT: Reajuste de preços em contratos de obras e serviços de engenharia</v>
      </c>
      <c r="E84">
        <f ca="1"/>
        <v>4</v>
      </c>
      <c r="F84" t="str">
        <f ca="1"/>
        <v>Silvia Lima Damasceno Carvalho</v>
      </c>
      <c r="G84">
        <f ca="1"/>
        <v>2</v>
      </c>
      <c r="H84">
        <f ca="1"/>
        <v>4</v>
      </c>
      <c r="I84">
        <f ca="1"/>
        <v>1.2</v>
      </c>
      <c r="J84">
        <f ca="1"/>
        <v>5.2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2026-043</v>
      </c>
      <c r="C85" t="str">
        <f ca="1"/>
        <v>Realizado</v>
      </c>
      <c r="D85" t="str">
        <f ca="1"/>
        <v>Painel MROSC</v>
      </c>
      <c r="E85">
        <f ca="1"/>
        <v>4</v>
      </c>
      <c r="F85" t="str">
        <f ca="1"/>
        <v>Diversos</v>
      </c>
      <c r="G85">
        <f ca="1"/>
        <v>1</v>
      </c>
      <c r="H85">
        <f ca="1"/>
        <v>0</v>
      </c>
      <c r="I85">
        <f ca="1"/>
        <v>0</v>
      </c>
      <c r="J85">
        <f ca="1"/>
        <v>0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2026-007</v>
      </c>
      <c r="C86" t="str">
        <f ca="1"/>
        <v>Realizado</v>
      </c>
      <c r="D86" t="str">
        <f ca="1"/>
        <v>Planilhas de Terceirização de Mão de Obra, de acordo com a Lei nº 14.133/2021 - T1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2026-010</v>
      </c>
      <c r="C87" t="str">
        <f ca="1"/>
        <v>Realizado</v>
      </c>
      <c r="D87" t="str">
        <f ca="1"/>
        <v>Planilhas de Terceirização de Mão de Obra, de acordo com a Lei nº 14.133/2021 - T2</v>
      </c>
      <c r="E87">
        <f ca="1"/>
        <v>20</v>
      </c>
      <c r="F87" t="str">
        <f ca="1"/>
        <v>Leonardo José Alves Leal Neri</v>
      </c>
      <c r="G87">
        <f ca="1"/>
        <v>1</v>
      </c>
      <c r="H87">
        <f ca="1"/>
        <v>20</v>
      </c>
      <c r="I87">
        <f ca="1"/>
        <v>6</v>
      </c>
      <c r="J87">
        <f ca="1"/>
        <v>26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2026-056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2026-059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2026-060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2026-061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2026-062</v>
      </c>
      <c r="C93" t="str">
        <f ca="1"/>
        <v>A realizar</v>
      </c>
      <c r="D93" t="str">
        <f ca="1"/>
        <v>TCendo o Futuro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Cinthia Thais de Carvalho Luz Thomazi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Adriana Cuoco Portugal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Fernanda Viana de Souza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Denise Duarte Guirra Kuhlmann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Priscila Nolasco de Oliveira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Cinthia Thais de Carvalho Luz Thomazi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Adriana Cuoco Portugal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Fernanda Viana de Souza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Priscila Nolasco de Oliveira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Adriana Cuoco Portugal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Fernanda Viana de Souza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Denise Duarte Guirra Kuhlmann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Priscila Nolasco de Oliveira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Fernanda Viana de Souza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2026-022</v>
      </c>
      <c r="C110" t="str">
        <f ca="1"/>
        <v>Realizado</v>
      </c>
      <c r="D110" t="str">
        <f ca="1"/>
        <v>UniTCDF: Ciências Contábeis</v>
      </c>
      <c r="E110">
        <f ca="1"/>
        <v>3</v>
      </c>
      <c r="F110" t="str">
        <f ca="1"/>
        <v>Túllio Herbeth Teixeira Moraes</v>
      </c>
      <c r="G110">
        <f ca="1"/>
        <v>2</v>
      </c>
      <c r="H110">
        <f ca="1"/>
        <v>3</v>
      </c>
      <c r="I110">
        <f ca="1"/>
        <v>0.9</v>
      </c>
      <c r="J110">
        <f ca="1"/>
        <v>3.9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2026-029</v>
      </c>
      <c r="C111" t="str">
        <f ca="1"/>
        <v>Realizado</v>
      </c>
      <c r="D111" t="str">
        <f ca="1"/>
        <v>UniTCDF: TCDF e a Fiscalização de Obras</v>
      </c>
      <c r="E111">
        <f ca="1"/>
        <v>4</v>
      </c>
      <c r="F111" t="str">
        <f ca="1"/>
        <v>Adriana Cuoco Portugal</v>
      </c>
      <c r="G111">
        <f ca="1"/>
        <v>1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2026-069</v>
      </c>
      <c r="C113" t="str">
        <f ca="1"/>
        <v>Realizado</v>
      </c>
      <c r="D113" t="str">
        <f ca="1"/>
        <v xml:space="preserve">UniTCDF: Gestão Pública 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Fernanda Viana de Souza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2026-072</v>
      </c>
      <c r="C115" t="str">
        <f ca="1"/>
        <v>A realizar</v>
      </c>
      <c r="D115" t="str">
        <f ca="1"/>
        <v>UniTCDF: Gestão Pública (Fernanda e Túlio)</v>
      </c>
      <c r="E115">
        <f ca="1"/>
        <v>3</v>
      </c>
      <c r="F115" t="str">
        <f ca="1"/>
        <v>Túllio Herbeth Teixeira Moraes</v>
      </c>
      <c r="G115">
        <f ca="1"/>
        <v>2</v>
      </c>
      <c r="H115">
        <f ca="1"/>
        <v>3</v>
      </c>
      <c r="I115">
        <f ca="1"/>
        <v>0.89999999999999991</v>
      </c>
      <c r="J115">
        <f ca="1"/>
        <v>3.9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Isac Mendes Caixeta de Pamplona Araújo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Valéria Feitoza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2026-079</v>
      </c>
      <c r="C118" t="str">
        <f ca="1"/>
        <v>Realizado</v>
      </c>
      <c r="D118" t="str">
        <f ca="1"/>
        <v>Café e Tertúlia: Gincana dos Neurotransmissores</v>
      </c>
      <c r="E118">
        <f ca="1"/>
        <v>2</v>
      </c>
      <c r="F118" t="str">
        <f ca="1"/>
        <v>Cinthia Thais de Carvalho Luz Thomazi</v>
      </c>
      <c r="G118">
        <f ca="1"/>
        <v>3</v>
      </c>
      <c r="H118">
        <f ca="1"/>
        <v>2</v>
      </c>
      <c r="I118">
        <f ca="1"/>
        <v>0.6</v>
      </c>
      <c r="J118">
        <f ca="1"/>
        <v>2.6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3078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3079</v>
      </c>
      <c r="B4" s="230"/>
      <c r="D4" s="231" t="s">
        <v>3080</v>
      </c>
      <c r="E4" s="232"/>
      <c r="G4" s="45" t="s">
        <v>3081</v>
      </c>
    </row>
    <row r="5" spans="1:7" ht="54.95" customHeight="1" thickBot="1" x14ac:dyDescent="0.75">
      <c r="A5" s="35">
        <f>COUNTIF('Ações InCompany'!B:B,2026)</f>
        <v>81</v>
      </c>
      <c r="B5" s="36" t="s">
        <v>3082</v>
      </c>
      <c r="D5" s="43">
        <f>COUNTIFS('Ações InCompany'!B:B,2026,'Ações InCompany'!C:C,"Realizado")</f>
        <v>45</v>
      </c>
      <c r="E5" s="44" t="s">
        <v>3082</v>
      </c>
      <c r="G5" s="46">
        <f>COUNTIFS('Ações InCompany'!B:B,2026,'Ações InCompany'!C:C,"A realizar")</f>
        <v>32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3083</v>
      </c>
      <c r="B8" s="226"/>
      <c r="D8" s="226" t="s">
        <v>3084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3085</v>
      </c>
      <c r="D10" s="28" t="s">
        <v>3086</v>
      </c>
      <c r="E10" s="28" t="s">
        <v>3087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3088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18</v>
      </c>
      <c r="D12" s="31" t="s">
        <v>3089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3090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3091</v>
      </c>
      <c r="B14" s="34">
        <f>SUM(B11:B13)</f>
        <v>43</v>
      </c>
      <c r="D14" s="33" t="s">
        <v>3092</v>
      </c>
      <c r="E14" s="34">
        <f>SUM(E11:E13)</f>
        <v>1848</v>
      </c>
    </row>
    <row r="30" spans="1:5" ht="17.25" x14ac:dyDescent="0.3">
      <c r="A30" s="226" t="s">
        <v>3093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3094</v>
      </c>
      <c r="C32" s="28" t="s">
        <v>3095</v>
      </c>
      <c r="D32" s="28" t="s">
        <v>3096</v>
      </c>
      <c r="E32" s="28" t="s">
        <v>3097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12</v>
      </c>
      <c r="C33" s="47">
        <f>COUNTIFS('Ações InCompany'!B:B,2026,'Ações InCompany'!C:C,"A realizar",'Ações InCompany'!G:G,A33)</f>
        <v>8</v>
      </c>
      <c r="D33" s="37">
        <f t="shared" ref="D33:D44" si="0">B33+C33</f>
        <v>20</v>
      </c>
      <c r="E33" s="38">
        <f t="shared" ref="E33:E44" si="1">D33/$D$45</f>
        <v>0.25974025974025972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6.4935064935064929E-2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7.792207792207792E-2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2.5974025974025976E-2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7.792207792207792E-2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0.2857142857142857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5.1948051948051951E-2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2.5974025974025976E-2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9.0909090909090912E-2</v>
      </c>
    </row>
    <row r="42" spans="1:5" ht="24" customHeight="1" x14ac:dyDescent="0.25">
      <c r="A42" s="75" t="s">
        <v>3098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2.5974025974025976E-2</v>
      </c>
    </row>
    <row r="44" spans="1:5" ht="24" customHeight="1" x14ac:dyDescent="0.25">
      <c r="A44" s="67" t="s">
        <v>3099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1</v>
      </c>
      <c r="D44" s="68">
        <f t="shared" si="0"/>
        <v>1</v>
      </c>
      <c r="E44" s="69">
        <f t="shared" si="1"/>
        <v>1.2987012987012988E-2</v>
      </c>
    </row>
    <row r="45" spans="1:5" ht="24" customHeight="1" x14ac:dyDescent="0.25">
      <c r="A45" s="33" t="s">
        <v>3091</v>
      </c>
      <c r="B45" s="41">
        <f>SUM(B33:B44)</f>
        <v>45</v>
      </c>
      <c r="C45" s="41">
        <f>SUM(C33:C44)</f>
        <v>32</v>
      </c>
      <c r="D45" s="41">
        <f>SUM(D33:D44)</f>
        <v>77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 x14ac:dyDescent="0.25">
      <c r="A2" s="12" t="s">
        <v>3105</v>
      </c>
      <c r="B2" s="12" t="s">
        <v>3106</v>
      </c>
      <c r="C2" s="12" t="s">
        <v>1736</v>
      </c>
      <c r="D2" s="12" t="s">
        <v>3107</v>
      </c>
      <c r="E2" s="12" t="s">
        <v>3108</v>
      </c>
    </row>
    <row r="3" spans="1:5" ht="18" customHeight="1" x14ac:dyDescent="0.25">
      <c r="A3" s="12" t="s">
        <v>3105</v>
      </c>
      <c r="B3" s="12" t="s">
        <v>3106</v>
      </c>
      <c r="C3" s="14" t="s">
        <v>25</v>
      </c>
      <c r="D3" s="12" t="s">
        <v>3109</v>
      </c>
      <c r="E3" s="12" t="s">
        <v>3110</v>
      </c>
    </row>
    <row r="4" spans="1:5" ht="18" customHeight="1" x14ac:dyDescent="0.25">
      <c r="A4" s="12" t="s">
        <v>3105</v>
      </c>
      <c r="B4" s="12" t="s">
        <v>3106</v>
      </c>
      <c r="C4" s="12" t="s">
        <v>75</v>
      </c>
      <c r="D4" s="12" t="s">
        <v>3107</v>
      </c>
      <c r="E4" s="12" t="s">
        <v>3111</v>
      </c>
    </row>
    <row r="5" spans="1:5" ht="18" customHeight="1" x14ac:dyDescent="0.25">
      <c r="A5" s="12" t="s">
        <v>3105</v>
      </c>
      <c r="B5" s="12" t="s">
        <v>3106</v>
      </c>
      <c r="C5" s="12" t="s">
        <v>79</v>
      </c>
      <c r="D5" s="12" t="s">
        <v>3112</v>
      </c>
      <c r="E5" s="12" t="s">
        <v>3113</v>
      </c>
    </row>
    <row r="6" spans="1:5" ht="18" customHeight="1" x14ac:dyDescent="0.25">
      <c r="A6" s="12" t="s">
        <v>3105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 x14ac:dyDescent="0.25">
      <c r="A7" s="12" t="s">
        <v>3105</v>
      </c>
      <c r="B7" s="12" t="s">
        <v>3116</v>
      </c>
      <c r="C7" s="12" t="s">
        <v>36</v>
      </c>
      <c r="D7" s="12" t="s">
        <v>3117</v>
      </c>
      <c r="E7" s="12" t="s">
        <v>3118</v>
      </c>
    </row>
    <row r="8" spans="1:5" ht="18" customHeight="1" x14ac:dyDescent="0.25">
      <c r="A8" s="12" t="s">
        <v>3105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 x14ac:dyDescent="0.25">
      <c r="A9" s="12" t="s">
        <v>3105</v>
      </c>
      <c r="B9" s="12" t="s">
        <v>3121</v>
      </c>
      <c r="C9" s="12" t="s">
        <v>464</v>
      </c>
      <c r="D9" s="12" t="s">
        <v>3122</v>
      </c>
      <c r="E9" s="12" t="s">
        <v>3123</v>
      </c>
    </row>
    <row r="10" spans="1:5" ht="18" customHeight="1" x14ac:dyDescent="0.25">
      <c r="A10" s="12" t="s">
        <v>3105</v>
      </c>
      <c r="B10" s="12" t="s">
        <v>3121</v>
      </c>
      <c r="C10" s="12" t="s">
        <v>206</v>
      </c>
      <c r="D10" s="12" t="s">
        <v>24</v>
      </c>
      <c r="E10" s="12" t="s">
        <v>3124</v>
      </c>
    </row>
    <row r="11" spans="1:5" ht="18" customHeight="1" x14ac:dyDescent="0.25">
      <c r="A11" s="12" t="s">
        <v>3105</v>
      </c>
      <c r="B11" s="12" t="s">
        <v>3121</v>
      </c>
      <c r="C11" s="12" t="s">
        <v>371</v>
      </c>
      <c r="D11" s="12" t="s">
        <v>24</v>
      </c>
      <c r="E11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3126</v>
      </c>
      <c r="B1" s="5" t="s">
        <v>10</v>
      </c>
      <c r="C1" s="15" t="s">
        <v>3127</v>
      </c>
      <c r="D1" s="15" t="s">
        <v>3050</v>
      </c>
    </row>
    <row r="2" spans="1:4" ht="21" customHeight="1" x14ac:dyDescent="0.25">
      <c r="A2" s="103" t="s">
        <v>24</v>
      </c>
      <c r="B2" s="103" t="s">
        <v>38</v>
      </c>
      <c r="C2" s="12" t="s">
        <v>3128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3129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 x14ac:dyDescent="0.25">
      <c r="A2" s="12" t="s">
        <v>3131</v>
      </c>
      <c r="B2" s="12" t="s">
        <v>3106</v>
      </c>
      <c r="C2" s="14" t="s">
        <v>25</v>
      </c>
      <c r="D2" s="12" t="s">
        <v>3107</v>
      </c>
      <c r="E2" s="17" t="s">
        <v>3132</v>
      </c>
    </row>
    <row r="3" spans="1:5" ht="18" customHeight="1" x14ac:dyDescent="0.25">
      <c r="A3" s="12" t="s">
        <v>3131</v>
      </c>
      <c r="B3" s="12" t="s">
        <v>3106</v>
      </c>
      <c r="C3" s="12" t="s">
        <v>75</v>
      </c>
      <c r="D3" s="12" t="s">
        <v>3109</v>
      </c>
      <c r="E3" s="12" t="s">
        <v>3133</v>
      </c>
    </row>
    <row r="4" spans="1:5" ht="18" customHeight="1" x14ac:dyDescent="0.25">
      <c r="A4" s="12" t="s">
        <v>3131</v>
      </c>
      <c r="B4" s="12" t="s">
        <v>3106</v>
      </c>
      <c r="C4" s="12" t="s">
        <v>79</v>
      </c>
      <c r="D4" s="12" t="s">
        <v>3112</v>
      </c>
      <c r="E4" s="12" t="s">
        <v>3134</v>
      </c>
    </row>
    <row r="5" spans="1:5" ht="27.75" customHeight="1" x14ac:dyDescent="0.25">
      <c r="A5" s="12" t="s">
        <v>3131</v>
      </c>
      <c r="B5" s="12" t="s">
        <v>3106</v>
      </c>
      <c r="C5" s="12" t="s">
        <v>2694</v>
      </c>
      <c r="D5" s="17" t="s">
        <v>3135</v>
      </c>
      <c r="E5" s="12" t="s">
        <v>3136</v>
      </c>
    </row>
    <row r="6" spans="1:5" ht="18" customHeight="1" x14ac:dyDescent="0.25">
      <c r="A6" s="12" t="s">
        <v>3131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 x14ac:dyDescent="0.25">
      <c r="A7" s="12" t="s">
        <v>3131</v>
      </c>
      <c r="B7" s="12" t="s">
        <v>3116</v>
      </c>
      <c r="C7" s="12" t="s">
        <v>2700</v>
      </c>
      <c r="D7" s="12" t="s">
        <v>3137</v>
      </c>
      <c r="E7" s="12" t="s">
        <v>3138</v>
      </c>
    </row>
    <row r="8" spans="1:5" ht="18" customHeight="1" x14ac:dyDescent="0.25">
      <c r="A8" s="12" t="s">
        <v>3131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 x14ac:dyDescent="0.25">
      <c r="A9" s="12" t="s">
        <v>3131</v>
      </c>
      <c r="B9" s="12" t="s">
        <v>3116</v>
      </c>
      <c r="C9" s="12" t="s">
        <v>2794</v>
      </c>
      <c r="D9" s="12" t="s">
        <v>3139</v>
      </c>
      <c r="E9" s="17" t="s">
        <v>3140</v>
      </c>
    </row>
    <row r="10" spans="1:5" ht="18" customHeight="1" x14ac:dyDescent="0.25">
      <c r="A10" s="12" t="s">
        <v>3131</v>
      </c>
      <c r="B10" s="12" t="s">
        <v>3141</v>
      </c>
      <c r="C10" s="12" t="s">
        <v>3098</v>
      </c>
      <c r="D10" s="12" t="s">
        <v>3142</v>
      </c>
      <c r="E10" s="17" t="s">
        <v>3143</v>
      </c>
    </row>
    <row r="11" spans="1:5" ht="18" customHeight="1" x14ac:dyDescent="0.25">
      <c r="A11" s="12" t="s">
        <v>3131</v>
      </c>
      <c r="B11" s="12" t="s">
        <v>3141</v>
      </c>
      <c r="C11" s="12" t="s">
        <v>206</v>
      </c>
      <c r="D11" s="12" t="s">
        <v>24</v>
      </c>
      <c r="E11" s="12" t="s">
        <v>3124</v>
      </c>
    </row>
    <row r="12" spans="1:5" ht="18" customHeight="1" x14ac:dyDescent="0.25">
      <c r="A12" s="12" t="s">
        <v>3131</v>
      </c>
      <c r="B12" s="12" t="s">
        <v>3141</v>
      </c>
      <c r="C12" s="12" t="s">
        <v>371</v>
      </c>
      <c r="D12" s="12" t="s">
        <v>24</v>
      </c>
      <c r="E12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3144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3145</v>
      </c>
    </row>
    <row r="4" spans="1:8" ht="21.95" customHeight="1" x14ac:dyDescent="0.25">
      <c r="A4" s="234" t="s">
        <v>3146</v>
      </c>
      <c r="B4" s="235"/>
      <c r="D4" s="234" t="s">
        <v>3147</v>
      </c>
      <c r="E4" s="235"/>
      <c r="G4" s="234" t="s">
        <v>3148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3149</v>
      </c>
      <c r="B7" s="62" t="s">
        <v>3150</v>
      </c>
      <c r="C7" s="62" t="s">
        <v>1</v>
      </c>
      <c r="D7" s="62" t="s">
        <v>3151</v>
      </c>
      <c r="E7" s="62" t="s">
        <v>3152</v>
      </c>
      <c r="F7" s="62" t="s">
        <v>3050</v>
      </c>
      <c r="G7" s="62" t="s">
        <v>5</v>
      </c>
      <c r="H7" s="62" t="s">
        <v>3153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1" activePane="bottomLeft" state="frozen"/>
      <selection pane="bottomLeft" activeCell="E22" sqref="E22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3154</v>
      </c>
      <c r="B1" s="239"/>
      <c r="C1" s="239"/>
      <c r="D1" s="239"/>
      <c r="E1" s="239"/>
      <c r="F1" s="239"/>
    </row>
    <row r="2" spans="1:7" x14ac:dyDescent="0.25">
      <c r="A2" s="240" t="s">
        <v>3155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3053</v>
      </c>
      <c r="C4" s="25" t="s">
        <v>3054</v>
      </c>
      <c r="D4" s="25" t="s">
        <v>3156</v>
      </c>
      <c r="E4" s="25" t="s">
        <v>3055</v>
      </c>
      <c r="F4" s="25" t="s">
        <v>3157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8</v>
      </c>
      <c r="C22" s="26">
        <f ca="1">IF($A22="","",SUMIFS('GECC 2026'!I$2:I$200,'GECC 2026'!F$2:F$200,$A22))</f>
        <v>37.299999999999997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45.3</v>
      </c>
      <c r="F22" s="24">
        <f ca="1">IF($A22="","",COUNTIFS('GECC 2026'!F$2:F$200,$A22))</f>
        <v>2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37.299999999999997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45.3</v>
      </c>
      <c r="F25" s="24">
        <f ca="1">IF($A25="","",COUNTIFS('GECC 2026'!F$2:F$200,$A25))</f>
        <v>2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3092</v>
      </c>
      <c r="B105" s="95">
        <f ca="1">SUM(B5:B100)</f>
        <v>697</v>
      </c>
      <c r="C105" s="95">
        <f ca="1">SUM(C5:C100)</f>
        <v>379.93999999999994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3158</v>
      </c>
      <c r="B1" s="123" t="s">
        <v>3159</v>
      </c>
      <c r="C1" s="123" t="s">
        <v>3160</v>
      </c>
      <c r="D1" s="123" t="s">
        <v>3161</v>
      </c>
      <c r="E1" s="123" t="s">
        <v>3162</v>
      </c>
      <c r="F1" s="123" t="s">
        <v>3163</v>
      </c>
      <c r="G1" s="123" t="s">
        <v>10</v>
      </c>
      <c r="H1" s="123" t="s">
        <v>3164</v>
      </c>
      <c r="I1" s="123" t="s">
        <v>3165</v>
      </c>
      <c r="J1" s="123" t="s">
        <v>3166</v>
      </c>
      <c r="K1" s="123" t="s">
        <v>3167</v>
      </c>
      <c r="L1" s="123" t="s">
        <v>3168</v>
      </c>
      <c r="N1" s="124" t="s">
        <v>3169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3170</v>
      </c>
      <c r="L2" t="str">
        <f>IF(K2="","",IFERROR(INDEX(Tabela2[Curso],MATCH(K2,Tabela2[ID],0)),""))</f>
        <v/>
      </c>
      <c r="N2" s="123" t="s">
        <v>3049</v>
      </c>
      <c r="O2" s="123" t="s">
        <v>4</v>
      </c>
      <c r="P2" s="123" t="s">
        <v>3171</v>
      </c>
      <c r="Q2" s="123" t="s">
        <v>3172</v>
      </c>
      <c r="R2" s="123" t="s">
        <v>3173</v>
      </c>
      <c r="S2" s="123" t="s">
        <v>3174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3170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3170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3170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3170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3170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3170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3170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3170</v>
      </c>
      <c r="L10" t="str">
        <f>IF(K10="","",IFERROR(INDEX(Tabela2[Curso],MATCH(K10,Tabela2[ID],0)),""))</f>
        <v/>
      </c>
      <c r="N10" s="122" t="s">
        <v>3175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3170</v>
      </c>
      <c r="L11" t="str">
        <f>IF(K11="","",IFERROR(INDEX(Tabela2[Curso],MATCH(K11,Tabela2[ID],0)),""))</f>
        <v/>
      </c>
      <c r="N11" s="125" t="s">
        <v>3176</v>
      </c>
      <c r="O11" s="125" t="s">
        <v>3177</v>
      </c>
      <c r="P11" s="125" t="s">
        <v>3178</v>
      </c>
      <c r="Q11" s="125" t="s">
        <v>3161</v>
      </c>
      <c r="R11" s="125" t="s">
        <v>3162</v>
      </c>
      <c r="S11" s="125" t="s">
        <v>3179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3170</v>
      </c>
      <c r="L12" t="str">
        <f>IF(K12="","",IFERROR(INDEX(Tabela2[Curso],MATCH(K12,Tabela2[ID],0)),""))</f>
        <v/>
      </c>
      <c r="N12" t="s">
        <v>3180</v>
      </c>
      <c r="O12" t="s">
        <v>2755</v>
      </c>
      <c r="P12" t="s">
        <v>3181</v>
      </c>
      <c r="Q12">
        <v>0</v>
      </c>
      <c r="R12">
        <v>0</v>
      </c>
      <c r="S12" t="s">
        <v>3182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3170</v>
      </c>
      <c r="L13" t="str">
        <f>IF(K13="","",IFERROR(INDEX(Tabela2[Curso],MATCH(K13,Tabela2[ID],0)),""))</f>
        <v/>
      </c>
      <c r="N13" t="s">
        <v>3183</v>
      </c>
      <c r="O13" t="s">
        <v>2686</v>
      </c>
      <c r="P13" t="s">
        <v>3184</v>
      </c>
      <c r="Q13">
        <v>0</v>
      </c>
      <c r="R13">
        <v>0</v>
      </c>
      <c r="S13" t="s">
        <v>3185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3170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3170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3170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3170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3170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3170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3170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3170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3170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3170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3170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3170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3170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3170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3170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3170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3170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3170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3170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3170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3170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3170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3170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3170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3170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3170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3170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3170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3170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3170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3170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3170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3170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3170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3170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3170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3170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3170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3170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3170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3170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3170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3170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3170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3170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3170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3170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3170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3170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3170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3170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3170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2026-08-13T17:29:35Z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