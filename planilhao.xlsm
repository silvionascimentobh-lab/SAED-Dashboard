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57" documentId="8_{454372C2-A99E-4E47-A759-72B38925853E}" xr6:coauthVersionLast="47" xr6:coauthVersionMax="47" xr10:uidLastSave="{776A2228-D24E-4D59-8EF8-5686B716784A}"/>
  <bookViews>
    <workbookView minimized="1" xWindow="-22350" yWindow="1125" windowWidth="17205" windowHeight="13005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3" l="1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D51" i="23"/>
  <c r="E51" i="23"/>
  <c r="D50" i="23"/>
  <c r="E50" i="23"/>
  <c r="D49" i="23"/>
  <c r="E49" i="23"/>
  <c r="D48" i="23"/>
  <c r="E48" i="23"/>
  <c r="AE33" i="20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48" i="23"/>
  <c r="C49" i="23"/>
  <c r="C50" i="23"/>
  <c r="C51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20" i="3"/>
  <c r="R719" i="3"/>
  <c r="R718" i="3"/>
  <c r="R717" i="3"/>
  <c r="R716" i="3"/>
  <c r="R715" i="3"/>
  <c r="R714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47" i="23" l="1"/>
  <c r="E47" i="23"/>
  <c r="F47" i="23"/>
  <c r="C47" i="23"/>
  <c r="B47" i="23"/>
  <c r="B45" i="23" l="1"/>
  <c r="C45" i="23"/>
  <c r="F45" i="23"/>
  <c r="C46" i="23"/>
  <c r="F46" i="23"/>
  <c r="E46" i="23"/>
  <c r="E45" i="23"/>
  <c r="D45" i="23"/>
  <c r="B46" i="23"/>
  <c r="D46" i="23"/>
  <c r="B8" i="27" l="1"/>
  <c r="A8" i="27"/>
  <c r="L4" i="20"/>
  <c r="R4" i="20" s="1" a="1"/>
  <c r="R4" i="20" l="1"/>
  <c r="S4" i="20" s="1" a="1"/>
  <c r="S4" i="20" l="1"/>
  <c r="T4" i="20" s="1" a="1"/>
  <c r="A2" i="20" l="1" a="1"/>
  <c r="T4" i="20"/>
  <c r="A5" i="23" l="1" a="1"/>
  <c r="E105" i="23"/>
  <c r="A2" i="20"/>
  <c r="C35" i="23" l="1"/>
  <c r="D29" i="23"/>
  <c r="F7" i="23"/>
  <c r="C41" i="23"/>
  <c r="F23" i="23"/>
  <c r="D6" i="23"/>
  <c r="C28" i="23"/>
  <c r="C44" i="23"/>
  <c r="F21" i="23"/>
  <c r="D24" i="23"/>
  <c r="D17" i="23"/>
  <c r="F38" i="23"/>
  <c r="E14" i="23"/>
  <c r="E31" i="23"/>
  <c r="C40" i="23"/>
  <c r="F13" i="23"/>
  <c r="D27" i="23"/>
  <c r="E19" i="23"/>
  <c r="C39" i="23"/>
  <c r="E7" i="23"/>
  <c r="D19" i="23"/>
  <c r="B10" i="23"/>
  <c r="E26" i="23"/>
  <c r="E27" i="23"/>
  <c r="E25" i="23"/>
  <c r="E18" i="23"/>
  <c r="E8" i="23"/>
  <c r="D8" i="23"/>
  <c r="B40" i="23"/>
  <c r="B8" i="23"/>
  <c r="C10" i="23"/>
  <c r="D16" i="23"/>
  <c r="B35" i="23"/>
  <c r="D35" i="23"/>
  <c r="F28" i="23"/>
  <c r="C29" i="23"/>
  <c r="E24" i="23"/>
  <c r="D43" i="23"/>
  <c r="D7" i="23"/>
  <c r="B37" i="23"/>
  <c r="B15" i="23"/>
  <c r="D12" i="23"/>
  <c r="B16" i="23"/>
  <c r="D25" i="23"/>
  <c r="C6" i="23"/>
  <c r="D10" i="23"/>
  <c r="F37" i="23"/>
  <c r="D13" i="23"/>
  <c r="B21" i="23"/>
  <c r="B43" i="23"/>
  <c r="E37" i="23"/>
  <c r="B39" i="23"/>
  <c r="F31" i="23"/>
  <c r="B14" i="23"/>
  <c r="E22" i="23"/>
  <c r="C34" i="23"/>
  <c r="C9" i="23"/>
  <c r="E35" i="23"/>
  <c r="E15" i="23"/>
  <c r="D42" i="23"/>
  <c r="C8" i="23"/>
  <c r="C25" i="23"/>
  <c r="C36" i="23"/>
  <c r="F44" i="23"/>
  <c r="E6" i="23"/>
  <c r="D44" i="23"/>
  <c r="D30" i="23"/>
  <c r="D20" i="23"/>
  <c r="E36" i="23"/>
  <c r="F42" i="23"/>
  <c r="E16" i="23"/>
  <c r="B24" i="23"/>
  <c r="D21" i="23"/>
  <c r="B30" i="23"/>
  <c r="F22" i="23"/>
  <c r="B20" i="23"/>
  <c r="B38" i="23"/>
  <c r="E32" i="23"/>
  <c r="E33" i="23"/>
  <c r="B29" i="23"/>
  <c r="F26" i="23"/>
  <c r="F40" i="23"/>
  <c r="C26" i="23"/>
  <c r="D39" i="23"/>
  <c r="F32" i="23"/>
  <c r="F11" i="23"/>
  <c r="B34" i="23"/>
  <c r="D18" i="23"/>
  <c r="B18" i="23"/>
  <c r="C18" i="23"/>
  <c r="E29" i="23"/>
  <c r="C19" i="23"/>
  <c r="B27" i="23"/>
  <c r="E44" i="23"/>
  <c r="E39" i="23"/>
  <c r="B19" i="23"/>
  <c r="C24" i="23"/>
  <c r="C23" i="23"/>
  <c r="E42" i="23"/>
  <c r="F29" i="23"/>
  <c r="F18" i="23"/>
  <c r="D41" i="23"/>
  <c r="C38" i="23"/>
  <c r="F12" i="23"/>
  <c r="F41" i="23"/>
  <c r="B13" i="23"/>
  <c r="C37" i="23"/>
  <c r="B26" i="23"/>
  <c r="D37" i="23"/>
  <c r="B36" i="23"/>
  <c r="B31" i="23"/>
  <c r="E40" i="23"/>
  <c r="C31" i="23"/>
  <c r="C13" i="23"/>
  <c r="D26" i="23"/>
  <c r="B7" i="23"/>
  <c r="F9" i="23"/>
  <c r="E30" i="23"/>
  <c r="C20" i="23"/>
  <c r="C11" i="23"/>
  <c r="E12" i="23"/>
  <c r="D40" i="23"/>
  <c r="B9" i="23"/>
  <c r="B11" i="23"/>
  <c r="F17" i="23"/>
  <c r="F8" i="23"/>
  <c r="E17" i="23"/>
  <c r="C33" i="23"/>
  <c r="C32" i="23"/>
  <c r="B25" i="23"/>
  <c r="F25" i="23"/>
  <c r="D11" i="23"/>
  <c r="F34" i="23"/>
  <c r="F36" i="23"/>
  <c r="D33" i="23"/>
  <c r="B12" i="23"/>
  <c r="C30" i="23"/>
  <c r="F43" i="23"/>
  <c r="C7" i="23"/>
  <c r="D36" i="23"/>
  <c r="E20" i="23"/>
  <c r="F35" i="23"/>
  <c r="D38" i="23"/>
  <c r="B17" i="23"/>
  <c r="F39" i="23"/>
  <c r="D15" i="23"/>
  <c r="C15" i="23"/>
  <c r="D32" i="23"/>
  <c r="F6" i="23"/>
  <c r="B6" i="23"/>
  <c r="C42" i="23"/>
  <c r="F15" i="23"/>
  <c r="C22" i="23"/>
  <c r="D31" i="23"/>
  <c r="D9" i="23"/>
  <c r="B44" i="23"/>
  <c r="D22" i="23"/>
  <c r="F24" i="23"/>
  <c r="E9" i="23"/>
  <c r="B41" i="23"/>
  <c r="F10" i="23"/>
  <c r="C43" i="23"/>
  <c r="C12" i="23"/>
  <c r="F16" i="23"/>
  <c r="C16" i="23"/>
  <c r="E41" i="23"/>
  <c r="C17" i="23"/>
  <c r="F19" i="23"/>
  <c r="B23" i="23"/>
  <c r="D28" i="23"/>
  <c r="B33" i="23"/>
  <c r="E38" i="23"/>
  <c r="C21" i="23"/>
  <c r="E34" i="23"/>
  <c r="F30" i="23"/>
  <c r="E13" i="23"/>
  <c r="D34" i="23"/>
  <c r="E23" i="23"/>
  <c r="F27" i="23"/>
  <c r="F33" i="23"/>
  <c r="F20" i="23"/>
  <c r="C27" i="23"/>
  <c r="C14" i="23"/>
  <c r="E21" i="23"/>
  <c r="D14" i="23"/>
  <c r="E11" i="23"/>
  <c r="B22" i="23"/>
  <c r="E28" i="23"/>
  <c r="E43" i="23"/>
  <c r="D23" i="23"/>
  <c r="B32" i="23"/>
  <c r="B28" i="23"/>
  <c r="B42" i="23"/>
  <c r="F14" i="23"/>
  <c r="E10" i="23"/>
  <c r="A5" i="23"/>
  <c r="D5" i="23" l="1"/>
  <c r="F5" i="23"/>
  <c r="F105" i="23" s="1"/>
  <c r="E5" i="23"/>
  <c r="G5" i="23"/>
  <c r="B5" i="23"/>
  <c r="B105" i="23" s="1"/>
  <c r="C5" i="23"/>
  <c r="C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<sst xmlns="http://schemas.openxmlformats.org/spreadsheetml/2006/main" count="6156" uniqueCount="2375">
  <si>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</si>
  <si>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</si>
  <si>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</si>
  <si>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</si>
  <si>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</si>
  <si>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</si>
  <si>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</si>
  <si>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</si>
  <si>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</si>
  <si>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</si>
  <si>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</si>
  <si>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</si>
  <si>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</si>
  <si>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</si>
  <si>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</si>
  <si>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</si>
  <si>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</si>
  <si>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</si>
  <si>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</si>
  <si>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</si>
  <si>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</si>
  <si>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</si>
  <si>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</si>
  <si>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</si>
  <si>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</si>
  <si>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</si>
  <si>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</si>
  <si>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</si>
  <si>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</si>
  <si>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</si>
  <si>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</si>
  <si>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</si>
  <si>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</si>
  <si>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</si>
  <si>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</si>
  <si>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</si>
  <si>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</si>
  <si>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</si>
  <si>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</si>
  <si>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</si>
  <si>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</si>
  <si>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</si>
  <si>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</si>
  <si>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</si>
  <si>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</si>
  <si>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</si>
  <si>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</si>
  <si>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</si>
  <si>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</si>
  <si>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</si>
  <si>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</si>
  <si>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</si>
  <si>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</si>
  <si>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</si>
  <si>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</si>
  <si>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</si>
  <si>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</si>
  <si>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</si>
  <si>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</si>
  <si>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</si>
  <si>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</si>
  <si>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</si>
  <si>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</si>
  <si>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</si>
  <si>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</si>
  <si>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</si>
  <si>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</si>
  <si>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</si>
  <si>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</si>
  <si>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</si>
  <si>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</si>
  <si>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</si>
  <si>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</si>
  <si>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</si>
  <si>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</si>
  <si>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</si>
  <si>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</si>
  <si>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</si>
  <si>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</si>
  <si>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</si>
  <si>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</si>
  <si>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</si>
  <si>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</si>
  <si>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</si>
  <si>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</si>
  <si>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</si>
  <si>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</si>
  <si>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</si>
  <si>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</si>
  <si>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</si>
  <si>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</si>
  <si>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</si>
  <si>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</si>
  <si>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</si>
  <si>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</si>
  <si>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</si>
  <si>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</si>
  <si>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</si>
  <si>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</si>
  <si>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</si>
  <si>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</si>
  <si>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</si>
  <si>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</si>
  <si>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</si>
  <si>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</si>
  <si>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</si>
  <si>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</si>
  <si>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</si>
  <si>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</si>
  <si>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</si>
  <si>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</si>
  <si>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</si>
  <si>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</si>
  <si>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</si>
  <si>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</si>
  <si>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</si>
  <si>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</si>
  <si>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</si>
  <si>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</si>
  <si>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</si>
  <si>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</si>
  <si>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</si>
  <si>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</si>
  <si>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</si>
  <si>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</si>
  <si>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</si>
  <si>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</si>
  <si>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</si>
  <si>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</si>
  <si>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</si>
  <si>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</si>
  <si>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</si>
  <si>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</si>
  <si>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</si>
  <si>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</si>
  <si>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</si>
  <si>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</si>
  <si>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</si>
  <si>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</si>
  <si>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</si>
  <si>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</si>
  <si>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</si>
  <si>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</si>
  <si>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</si>
  <si>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</si>
  <si>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</si>
  <si>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</si>
  <si>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</si>
  <si>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</si>
  <si>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</si>
  <si>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</si>
  <si>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</si>
  <si>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</si>
  <si>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</si>
  <si>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</si>
  <si>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</si>
  <si>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</si>
  <si>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</si>
  <si>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</si>
  <si>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</si>
  <si>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</si>
  <si>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</si>
  <si>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</si>
  <si>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</si>
  <si>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</si>
  <si>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</si>
  <si>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</si>
  <si>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</si>
  <si>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</si>
  <si>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</si>
  <si>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</si>
  <si>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</si>
  <si>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</si>
  <si>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</si>
  <si>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</si>
  <si>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</si>
  <si>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</si>
  <si>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</si>
  <si>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</si>
  <si>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</si>
  <si>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</si>
  <si>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</si>
  <si>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</si>
  <si>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</si>
  <si>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</si>
  <si>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</si>
  <si>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</si>
  <si>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</si>
  <si>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</si>
  <si>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</si>
  <si>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</si>
  <si>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</si>
  <si>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</si>
  <si>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</si>
  <si>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</si>
  <si>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</si>
  <si>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</si>
  <si>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</si>
  <si>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</si>
  <si>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</si>
  <si>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</si>
  <si>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</si>
  <si>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</si>
  <si>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</si>
  <si>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</si>
  <si>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</si>
  <si>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</si>
  <si>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</si>
  <si>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</si>
  <si>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</si>
  <si>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</si>
  <si>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</si>
  <si>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</si>
  <si>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</si>
  <si>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</si>
  <si>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</si>
  <si>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</si>
  <si>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</si>
  <si>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</si>
  <si>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</si>
  <si>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</si>
  <si>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</si>
  <si>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</si>
  <si>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</si>
  <si>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</si>
  <si>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</si>
  <si>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</si>
  <si>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</si>
  <si>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</si>
  <si>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</si>
  <si>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</si>
  <si>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</si>
  <si>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</si>
  <si>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</si>
  <si>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</si>
  <si>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</si>
  <si>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</si>
  <si>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</si>
  <si>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</si>
  <si>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</si>
  <si>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</si>
  <si>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</si>
  <si>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</si>
  <si>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</si>
  <si>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</si>
  <si>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</si>
  <si>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</si>
  <si>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</si>
  <si>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</si>
  <si>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</si>
  <si>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</si>
  <si>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</si>
  <si>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</si>
  <si>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</si>
  <si>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</si>
  <si>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</si>
  <si>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</si>
  <si>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</si>
  <si>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</si>
  <si>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</si>
  <si>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</si>
  <si>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</si>
  <si>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</si>
  <si>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</si>
  <si>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</si>
  <si>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</si>
  <si>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</si>
  <si>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</si>
  <si>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</si>
  <si>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</si>
  <si>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</si>
  <si>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</si>
  <si>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</si>
  <si>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</si>
  <si>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</si>
  <si>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</si>
  <si>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</si>
  <si>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</si>
  <si>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</si>
  <si>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</si>
  <si>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</si>
  <si>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</si>
  <si>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</si>
  <si>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</si>
  <si>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</si>
  <si>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</si>
  <si>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</si>
  <si>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</si>
  <si>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</si>
  <si>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</si>
  <si>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</si>
  <si>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</si>
  <si>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</si>
  <si>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</si>
  <si>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</si>
  <si>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</si>
  <si>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</si>
  <si>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</si>
  <si>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</si>
  <si>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</si>
  <si>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</si>
  <si>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</si>
  <si>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</si>
  <si>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</si>
  <si>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</si>
  <si>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</si>
  <si>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</si>
  <si>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</si>
  <si>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</si>
  <si>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</si>
  <si>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</si>
  <si>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</si>
  <si>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</si>
  <si>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</si>
  <si>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</si>
  <si>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</si>
  <si>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</si>
  <si>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</si>
  <si>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</si>
  <si>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</si>
  <si>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</si>
  <si>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</si>
  <si>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</si>
  <si>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</si>
  <si>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</si>
  <si>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</si>
  <si>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</si>
  <si>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</si>
  <si>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</si>
  <si>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</si>
  <si>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</si>
  <si>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</si>
  <si>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</si>
  <si>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</si>
  <si>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</si>
  <si>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</si>
  <si>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</si>
  <si>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</si>
  <si>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</si>
  <si>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</si>
  <si>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</si>
  <si>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</si>
  <si>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</si>
  <si>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</si>
  <si>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</si>
  <si>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</si>
  <si>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</si>
  <si>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</si>
  <si>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</si>
  <si>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</si>
  <si>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</si>
  <si>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</si>
  <si>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</si>
  <si>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</si>
  <si>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</si>
  <si>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</si>
  <si>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</si>
  <si>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</si>
  <si>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</si>
  <si>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</si>
  <si>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</si>
  <si>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</si>
  <si>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</si>
  <si>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</si>
  <si>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</si>
  <si>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</si>
  <si>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</si>
  <si>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</si>
  <si>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</si>
  <si>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</si>
  <si>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</si>
  <si>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</si>
  <si>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</si>
  <si>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</si>
  <si>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</si>
  <si>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</si>
  <si>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</si>
  <si>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</si>
  <si>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</si>
  <si>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</si>
  <si>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</si>
  <si>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</si>
  <si>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</si>
  <si>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</si>
  <si>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</si>
  <si>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</si>
  <si>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</si>
  <si>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</si>
  <si>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</si>
  <si>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</si>
  <si>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</si>
  <si>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</si>
  <si>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</si>
  <si>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</si>
  <si>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</si>
  <si>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</si>
  <si>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</si>
  <si>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</si>
  <si>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</si>
  <si>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</si>
  <si>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</si>
  <si>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</si>
  <si>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</si>
  <si>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</si>
  <si>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</si>
  <si>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</si>
  <si>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</si>
  <si>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</si>
  <si>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</si>
  <si>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</si>
  <si>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</si>
  <si>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</si>
  <si>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</si>
  <si>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</si>
  <si>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</si>
  <si>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</si>
  <si>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</si>
  <si>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</si>
  <si>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</si>
  <si>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</si>
  <si>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</si>
  <si>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</si>
  <si>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</si>
  <si>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</si>
  <si>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</si>
  <si>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</si>
  <si>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</si>
  <si>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</si>
  <si>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</si>
  <si>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</si>
  <si>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</si>
  <si>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</si>
  <si>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</si>
  <si>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</si>
  <si>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</si>
  <si>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</si>
  <si>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</si>
  <si>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</si>
  <si>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</si>
  <si>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</si>
  <si>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</si>
  <si>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</si>
  <si>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</si>
  <si>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</si>
  <si>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</si>
  <si>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</si>
  <si>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</si>
  <si>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</si>
  <si>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</si>
  <si>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</si>
  <si>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</si>
  <si>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</si>
  <si>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</si>
  <si>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</si>
  <si>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</si>
  <si>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</si>
  <si>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</si>
  <si>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</si>
  <si>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</si>
  <si>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</si>
  <si>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</si>
  <si>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</si>
  <si>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</si>
  <si>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</si>
  <si>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</si>
  <si>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</si>
  <si>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</si>
  <si>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</si>
  <si>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</si>
  <si>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</si>
  <si>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</si>
  <si>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</si>
  <si>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</si>
  <si>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</si>
  <si>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</si>
  <si>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</si>
  <si>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</si>
  <si>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</si>
  <si>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</si>
  <si>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</si>
  <si>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</si>
  <si>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</si>
  <si>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</si>
  <si>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</si>
  <si>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</si>
  <si>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</si>
  <si>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</si>
  <si>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</si>
  <si>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</si>
  <si>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</si>
  <si>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</si>
  <si>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</si>
  <si>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</si>
  <si>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</si>
  <si>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</si>
  <si>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</si>
  <si>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</si>
  <si>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</si>
  <si>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</si>
  <si>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</si>
  <si>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</si>
  <si>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</si>
  <si>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</si>
  <si>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</si>
  <si>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</si>
  <si>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</si>
  <si>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</si>
  <si>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</si>
  <si>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</si>
  <si>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</si>
  <si>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</si>
  <si>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</si>
  <si>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</si>
  <si>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</si>
  <si>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</si>
  <si>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</si>
  <si>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</si>
  <si>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</si>
  <si>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</si>
  <si>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</si>
  <si>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</si>
  <si>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</si>
  <si>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</si>
  <si>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</si>
  <si>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</si>
  <si>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</si>
  <si>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</si>
  <si>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</si>
  <si>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</si>
  <si>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</si>
  <si>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</si>
  <si>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</si>
  <si>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</si>
  <si>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</si>
  <si>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</si>
  <si>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</si>
  <si>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</si>
  <si>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</si>
  <si>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</si>
  <si>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</si>
  <si>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</si>
  <si>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</si>
  <si>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</si>
  <si>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</si>
  <si>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</si>
  <si>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</si>
  <si>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</si>
  <si>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</si>
  <si>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</si>
  <si>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</si>
  <si>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</si>
  <si>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</si>
  <si>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</si>
  <si>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</si>
  <si>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</si>
  <si>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</si>
  <si>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</si>
  <si>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</si>
  <si>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</si>
  <si>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</si>
  <si>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</si>
  <si>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</si>
  <si>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</si>
  <si>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</si>
  <si>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</si>
  <si>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</si>
  <si>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</si>
  <si>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</si>
  <si>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</si>
  <si>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</si>
  <si>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</si>
  <si>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</si>
  <si>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</si>
  <si>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</si>
  <si>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</si>
  <si>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</si>
  <si>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</si>
  <si>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</si>
  <si>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</si>
  <si>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</si>
  <si>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</si>
  <si>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</si>
  <si>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</si>
  <si>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</si>
  <si>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</si>
  <si>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</si>
  <si>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</si>
  <si>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</si>
  <si>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</si>
  <si>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</si>
  <si>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</si>
  <si>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</si>
  <si>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</si>
  <si>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</si>
  <si>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</si>
  <si>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</si>
  <si>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</si>
  <si>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</si>
  <si>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</si>
  <si>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</si>
  <si>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</si>
  <si>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</si>
  <si>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</si>
  <si>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</si>
  <si>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</si>
  <si>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</si>
  <si>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</si>
  <si>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</si>
  <si>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</si>
  <si>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</si>
  <si>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</si>
  <si>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</si>
  <si>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</si>
  <si>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</si>
  <si>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</si>
  <si>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</si>
  <si>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</si>
  <si>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</si>
  <si>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</si>
  <si>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</si>
  <si>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</si>
  <si>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</si>
  <si>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</si>
  <si>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</si>
  <si>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</si>
  <si>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</si>
  <si>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</si>
  <si>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</si>
  <si>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</si>
  <si>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</si>
  <si>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</si>
  <si>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</si>
  <si>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</si>
  <si>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</si>
  <si>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</si>
  <si>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</si>
  <si>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</si>
  <si>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</si>
  <si>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</si>
  <si>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</si>
  <si>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</si>
  <si>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</si>
  <si>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</si>
  <si>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</si>
  <si>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</si>
  <si>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</si>
  <si>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</si>
  <si>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</si>
  <si>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</si>
  <si>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</si>
  <si>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</si>
  <si>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</si>
  <si>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</si>
  <si>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</si>
  <si>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</si>
  <si>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</si>
  <si>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</si>
  <si>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</si>
  <si>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</si>
  <si>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</si>
  <si>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</si>
  <si>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</si>
  <si>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</si>
  <si>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</si>
  <si>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</si>
  <si>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</si>
  <si>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</si>
  <si>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</si>
  <si>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</si>
  <si>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</si>
  <si>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</si>
  <si>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</si>
  <si>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</si>
  <si>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</si>
  <si>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</si>
  <si>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</si>
  <si>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</si>
  <si>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</si>
  <si>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</si>
  <si>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</si>
  <si>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</si>
  <si>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</si>
  <si>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</si>
  <si>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</si>
  <si>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</si>
  <si>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</si>
  <si>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</si>
  <si>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</si>
  <si>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</si>
  <si>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</si>
  <si>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</si>
  <si>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</si>
  <si>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</si>
  <si>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</si>
  <si>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</si>
  <si>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</si>
  <si>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</si>
  <si>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</si>
  <si>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</si>
  <si>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</si>
  <si>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</si>
  <si>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</si>
  <si>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</si>
  <si>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</si>
  <si>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</si>
  <si>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</si>
  <si>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</si>
  <si>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</si>
  <si>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</si>
  <si>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</si>
  <si>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</si>
  <si>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</si>
  <si>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</si>
  <si>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</si>
  <si>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</si>
  <si>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</si>
  <si>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</si>
  <si>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</si>
  <si>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</si>
  <si>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</si>
  <si>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</si>
  <si>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</si>
  <si>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</si>
  <si>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</si>
  <si>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</si>
  <si>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</si>
  <si>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</si>
  <si>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</si>
  <si>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</si>
  <si>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</si>
  <si>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</si>
  <si>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</si>
  <si>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</si>
  <si>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</si>
  <si>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</si>
  <si>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</si>
  <si>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</si>
  <si>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</si>
  <si>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</si>
  <si>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</si>
  <si>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</si>
  <si>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</si>
  <si>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</si>
  <si>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</si>
  <si>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</si>
  <si>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</si>
  <si>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</si>
  <si>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</si>
  <si>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</si>
  <si>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</si>
  <si>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</si>
  <si>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</si>
  <si>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</si>
  <si>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</si>
  <si>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</si>
  <si>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</si>
  <si>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</si>
  <si>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</si>
  <si>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</si>
  <si>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</si>
  <si>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</si>
  <si>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</si>
  <si>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</si>
  <si>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</si>
  <si>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</si>
  <si>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</si>
  <si>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</si>
  <si>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</si>
  <si>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</si>
  <si>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</si>
  <si>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</si>
  <si>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</si>
  <si>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</si>
  <si>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</si>
  <si>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</si>
  <si>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</si>
  <si>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</si>
  <si>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</si>
  <si>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</si>
  <si>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</si>
  <si>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</si>
  <si>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</si>
  <si>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</si>
  <si>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</si>
  <si>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</si>
  <si>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</si>
  <si>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</si>
  <si>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</si>
  <si>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</si>
  <si>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</si>
  <si>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</si>
  <si>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</si>
  <si>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</si>
  <si>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</si>
  <si>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</si>
  <si>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</si>
  <si>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</si>
  <si>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</si>
  <si>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</si>
  <si>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</si>
  <si>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</si>
  <si>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</si>
  <si>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</si>
  <si>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</si>
  <si>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</si>
  <si>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</si>
  <si>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</si>
  <si>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</si>
  <si>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</si>
  <si>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</si>
  <si>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</si>
  <si>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</si>
  <si>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</si>
  <si>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</si>
  <si>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</si>
  <si>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</si>
  <si>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</si>
  <si>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</si>
  <si>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</si>
  <si>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</si>
  <si>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</si>
  <si>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</si>
  <si>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</si>
  <si>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</si>
  <si>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</si>
  <si>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</si>
  <si>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</si>
  <si>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</si>
  <si>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</si>
  <si>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</si>
  <si>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</si>
  <si>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</si>
  <si>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</si>
  <si>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</si>
  <si>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</si>
  <si>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</si>
  <si>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</si>
  <si>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</si>
  <si>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</si>
  <si>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</si>
  <si>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</si>
  <si>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</si>
  <si>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</si>
  <si>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</si>
  <si>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</si>
  <si>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</si>
  <si>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</si>
  <si>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</si>
  <si>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</si>
  <si>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</si>
  <si>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</si>
  <si>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</si>
  <si>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</si>
  <si>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</si>
  <si>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</si>
  <si>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</si>
  <si>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</si>
  <si>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</si>
  <si>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</si>
  <si>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</si>
  <si>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</si>
  <si>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</si>
  <si>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</si>
  <si>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</si>
  <si>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</si>
  <si>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</si>
  <si>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</si>
  <si>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</si>
  <si>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</si>
  <si>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</si>
  <si>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</si>
  <si>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</si>
  <si>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</si>
  <si>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</si>
  <si>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</si>
  <si>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</si>
  <si>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</si>
  <si>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</si>
  <si>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</si>
  <si>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</si>
  <si>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</si>
  <si>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</si>
  <si>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</si>
  <si>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</si>
  <si>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</si>
  <si>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</si>
  <si>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</si>
  <si>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</si>
  <si>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</si>
  <si>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</si>
  <si>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</si>
  <si>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</si>
  <si>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</si>
  <si>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</si>
  <si>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</si>
  <si>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</si>
  <si>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</si>
  <si>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</si>
  <si>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</si>
  <si>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</si>
  <si>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</si>
  <si>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</si>
  <si>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</si>
  <si>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</si>
  <si>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</si>
  <si>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</si>
  <si>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</si>
  <si>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</si>
  <si>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</si>
  <si>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</si>
  <si>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</si>
  <si>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</si>
  <si>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</si>
  <si>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</si>
  <si>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</si>
  <si>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</si>
  <si>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</si>
  <si>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</si>
  <si>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</si>
  <si>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</si>
  <si>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</si>
  <si>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</si>
  <si>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</si>
  <si>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</si>
  <si>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</si>
  <si>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</si>
  <si>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</si>
  <si>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</si>
  <si>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</si>
  <si>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</si>
  <si>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</si>
  <si>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</si>
  <si>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</si>
  <si>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</si>
  <si>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</si>
  <si>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</si>
  <si>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</si>
  <si>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</si>
  <si>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</si>
  <si>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</si>
  <si>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</si>
  <si>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</si>
  <si>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</si>
  <si>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</si>
  <si>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</si>
  <si>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</si>
  <si>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</si>
  <si>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</si>
  <si>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</si>
  <si>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</si>
  <si>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</si>
  <si>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</si>
  <si>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</si>
  <si>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</si>
  <si>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</si>
  <si>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</si>
  <si>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</si>
  <si>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</si>
  <si>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</si>
  <si>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</si>
  <si>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</si>
  <si>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</si>
  <si>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</si>
  <si>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</si>
  <si>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</si>
  <si>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</si>
  <si>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</si>
  <si>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</si>
  <si>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</si>
  <si>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</si>
  <si>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</si>
  <si>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</si>
  <si>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</si>
  <si>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</si>
  <si>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</si>
  <si>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</si>
  <si>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</si>
  <si>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</si>
  <si>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</si>
  <si>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</si>
  <si>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</si>
  <si>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</si>
  <si>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</si>
  <si>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</si>
  <si>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</si>
  <si>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</si>
  <si>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</si>
  <si>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</si>
  <si>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</si>
  <si>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</si>
  <si>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</si>
  <si>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</si>
  <si>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</si>
  <si>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</si>
  <si>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</si>
  <si>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</si>
  <si>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</si>
  <si>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</si>
  <si>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</si>
  <si>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</si>
  <si>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</si>
  <si>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</si>
  <si>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</si>
  <si>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</si>
  <si>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</si>
  <si>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</si>
  <si>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</si>
  <si>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</si>
  <si>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</si>
  <si>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</si>
  <si>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</si>
  <si>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</si>
  <si>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</si>
  <si>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</si>
  <si>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</si>
  <si>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</si>
  <si>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</si>
  <si>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</si>
  <si>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</si>
  <si>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</si>
  <si>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</si>
  <si>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</si>
  <si>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</si>
  <si>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</si>
  <si>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</si>
  <si>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</si>
  <si>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</si>
  <si>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</si>
  <si>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</si>
  <si>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</si>
  <si>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</si>
  <si>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</si>
  <si>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</si>
  <si>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</si>
  <si>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</si>
  <si>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</si>
  <si>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</si>
  <si>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</si>
  <si>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</si>
  <si>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</si>
  <si>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</si>
  <si>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</si>
  <si>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</si>
  <si>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</si>
  <si>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</si>
  <si>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</si>
  <si>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</si>
  <si>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</si>
  <si>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</si>
  <si>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</si>
  <si>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</si>
  <si>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</si>
  <si>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</si>
  <si>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</si>
  <si>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</si>
  <si>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</si>
  <si>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</si>
  <si>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</si>
  <si>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</si>
  <si>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</si>
  <si>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</si>
  <si>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</si>
  <si>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</si>
  <si>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</si>
  <si>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</si>
  <si>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</si>
  <si>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</si>
  <si>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</si>
  <si>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</si>
  <si>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</si>
  <si>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</si>
  <si>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</si>
  <si>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</si>
  <si>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</si>
  <si>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</si>
  <si>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</si>
  <si>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</si>
  <si>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</si>
  <si>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</si>
  <si>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</si>
  <si>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</si>
  <si>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</si>
  <si>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</si>
  <si>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</si>
  <si>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</si>
  <si>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</si>
  <si>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</si>
  <si>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</si>
  <si>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</si>
  <si>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</si>
  <si>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</si>
  <si>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</si>
  <si>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</si>
  <si>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</si>
  <si>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</si>
  <si>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</si>
  <si>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</si>
  <si>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</si>
  <si>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</si>
  <si>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</si>
  <si>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</si>
  <si>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</si>
  <si>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</si>
  <si>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</si>
  <si>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</si>
  <si>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</si>
  <si>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</si>
  <si>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</si>
  <si>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</si>
  <si>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</si>
  <si>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</si>
  <si>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</si>
  <si>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</si>
  <si>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</si>
  <si>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</si>
  <si>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</si>
  <si>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</si>
  <si>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</si>
  <si>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</si>
  <si>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</si>
  <si>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</si>
  <si>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</si>
  <si>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</si>
  <si>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</si>
  <si>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</si>
  <si>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</si>
  <si>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</si>
  <si>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</si>
  <si>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</si>
  <si>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</si>
  <si>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</si>
  <si>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</si>
  <si>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</si>
  <si>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</si>
  <si>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</si>
  <si>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</si>
  <si>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</si>
  <si>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</si>
  <si>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</si>
  <si>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</si>
  <si>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</si>
  <si>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</si>
  <si>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</si>
  <si>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</si>
  <si>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</si>
  <si>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</si>
  <si>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</si>
  <si>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</si>
  <si>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</si>
  <si>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</si>
  <si>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</si>
  <si>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</si>
  <si>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</si>
  <si>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</si>
  <si>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</si>
  <si>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</si>
  <si>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</si>
  <si>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</si>
  <si>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</si>
  <si>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</si>
  <si>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</si>
  <si>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</si>
  <si>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</si>
  <si>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</si>
  <si>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</si>
  <si>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</si>
  <si>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</si>
  <si>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</si>
  <si>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</si>
  <si>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</si>
  <si>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</si>
  <si>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</si>
  <si>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</si>
  <si>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</si>
  <si>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</si>
  <si>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</si>
  <si>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</si>
  <si>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</si>
  <si>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</si>
  <si>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</si>
  <si>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</si>
  <si>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</si>
  <si>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</si>
  <si>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</si>
  <si>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</si>
  <si>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</si>
  <si>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</si>
  <si>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</si>
  <si>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</si>
  <si>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</si>
  <si>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</si>
  <si>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</si>
  <si>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</si>
  <si>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</si>
  <si>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</si>
  <si>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</si>
  <si>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</si>
  <si>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</si>
  <si>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</si>
  <si>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</si>
  <si>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</si>
  <si>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</si>
  <si>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</si>
  <si>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</si>
  <si>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</si>
  <si>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</si>
  <si>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</si>
  <si>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</si>
  <si>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</si>
  <si>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</si>
  <si>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</si>
  <si>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</si>
  <si>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</si>
  <si>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</si>
  <si>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</si>
  <si>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</si>
  <si>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</si>
  <si>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</si>
  <si>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</si>
  <si>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</si>
  <si>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</si>
  <si>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</si>
  <si>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</si>
  <si>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</si>
  <si>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</si>
  <si>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</si>
  <si>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</si>
  <si>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</si>
  <si>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</si>
  <si>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</si>
  <si>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</si>
  <si>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</si>
  <si>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</si>
  <si>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</si>
  <si>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</si>
  <si>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</si>
  <si>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</si>
  <si>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</si>
  <si>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</si>
  <si>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</si>
  <si>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</si>
  <si>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</si>
  <si>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</si>
  <si>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</si>
  <si>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</si>
  <si>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</si>
  <si>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</si>
  <si>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</si>
  <si>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</si>
  <si>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</si>
  <si>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</si>
  <si>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</si>
  <si>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</si>
  <si>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</si>
  <si>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</si>
  <si>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</si>
  <si>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</si>
  <si>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</si>
  <si>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</si>
  <si>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</si>
  <si>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</si>
  <si>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</si>
  <si>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</si>
  <si>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</si>
  <si>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</si>
  <si>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</si>
  <si>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</si>
  <si>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</si>
  <si>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</si>
  <si>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</si>
  <si>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</si>
  <si>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</si>
  <si>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</si>
  <si>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</si>
  <si>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</si>
  <si>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</si>
  <si>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</si>
  <si>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</si>
  <si>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</si>
  <si>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</si>
  <si>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</si>
  <si>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</si>
  <si>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</si>
  <si>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</si>
  <si>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</si>
  <si>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</si>
  <si>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</si>
  <si>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</si>
  <si>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</si>
  <si>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</si>
  <si>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</si>
  <si>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</si>
  <si>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</si>
  <si>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</si>
  <si>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</si>
  <si>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</si>
  <si>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</si>
  <si>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</si>
  <si>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</si>
  <si>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</si>
  <si>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</si>
  <si>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</si>
  <si>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</si>
  <si>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</si>
  <si>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</si>
  <si>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</si>
  <si>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</si>
  <si>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</si>
  <si>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</si>
  <si>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</si>
  <si>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</si>
  <si>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</si>
  <si>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</si>
  <si>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</si>
  <si>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</si>
  <si>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</si>
  <si>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</si>
  <si>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</si>
  <si>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</si>
  <si>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</si>
  <si>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Inatrutores: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</si>
  <si>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</si>
  <si>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</si>
  <si>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</si>
  <si>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</si>
  <si>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</si>
  <si>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</si>
  <si>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</si>
  <si>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</si>
  <si>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</si>
  <si>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</si>
  <si>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</si>
  <si>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</si>
  <si>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</si>
  <si>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</si>
  <si>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</si>
  <si>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</si>
  <si>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</si>
  <si>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</si>
  <si>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</si>
  <si>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</si>
  <si>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</si>
  <si>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</si>
  <si>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</si>
  <si>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</si>
  <si>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</si>
  <si>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</si>
  <si>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</si>
  <si>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</si>
  <si>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</si>
  <si>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</si>
  <si>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</si>
  <si>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</si>
  <si>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</si>
  <si>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</si>
  <si>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</si>
  <si>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</si>
  <si>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</si>
  <si>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</si>
  <si>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</si>
  <si>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</si>
  <si>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</si>
  <si>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</si>
  <si>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</si>
  <si>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</si>
  <si>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</si>
  <si>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</si>
  <si>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</si>
  <si>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</si>
  <si>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</si>
  <si>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</si>
  <si>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</si>
  <si>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</si>
  <si>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</si>
  <si>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</si>
  <si>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</si>
  <si>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</si>
  <si>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</si>
  <si>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</si>
  <si>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</si>
  <si>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</si>
  <si>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</si>
  <si>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</si>
  <si>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</si>
  <si>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</si>
  <si>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</si>
  <si>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</si>
  <si>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</si>
  <si>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</si>
  <si>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</si>
  <si>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</si>
  <si>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</si>
  <si>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</si>
  <si>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</si>
  <si>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</si>
  <si>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</si>
  <si>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</si>
  <si>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</si>
  <si>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</si>
  <si>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</si>
  <si>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</si>
  <si>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</si>
  <si>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</si>
  <si>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</si>
  <si>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</si>
  <si>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</si>
  <si>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</si>
  <si>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</si>
  <si>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</si>
  <si>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</si>
  <si>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</si>
  <si>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</si>
  <si>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</si>
  <si>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</si>
  <si>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</si>
  <si>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</si>
  <si>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</si>
  <si>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</si>
  <si>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</si>
  <si>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</si>
  <si>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</si>
  <si>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</si>
  <si>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</si>
  <si>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</si>
  <si>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</si>
  <si>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</si>
  <si>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</si>
  <si>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</si>
  <si>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</si>
  <si>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</si>
  <si>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</si>
  <si>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</si>
  <si>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</si>
  <si>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</si>
  <si>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</si>
  <si>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</si>
  <si>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</si>
  <si>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</si>
  <si>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</si>
  <si>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</si>
  <si>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</si>
  <si>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</si>
  <si>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</si>
  <si>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</si>
  <si>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</si>
  <si>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</si>
  <si>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</si>
  <si>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</si>
  <si>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</si>
  <si>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</si>
  <si>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</si>
  <si>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</si>
  <si>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</si>
  <si>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</si>
  <si>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</si>
  <si>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</si>
  <si>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</si>
  <si>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</si>
  <si>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</si>
  <si>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</si>
  <si>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</si>
  <si>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</si>
  <si>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</si>
  <si>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</si>
  <si>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</si>
  <si>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</si>
  <si>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</si>
  <si>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</si>
  <si>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</si>
  <si>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</si>
  <si>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</si>
  <si>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</si>
  <si>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</si>
  <si>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</si>
  <si>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</si>
  <si>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</si>
  <si>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</si>
  <si>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</si>
  <si>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</si>
  <si>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</si>
  <si>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</si>
  <si>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</si>
  <si>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</si>
  <si>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</si>
  <si>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</si>
  <si>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</si>
  <si>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</si>
  <si>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</si>
  <si>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</si>
  <si>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</si>
  <si>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</si>
  <si>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</si>
  <si>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</si>
  <si>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</si>
  <si>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</si>
  <si>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</si>
  <si>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</si>
  <si>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</si>
  <si>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</si>
  <si>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</si>
  <si>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</si>
  <si>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</si>
  <si>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</si>
  <si>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</si>
  <si>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</si>
  <si>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</si>
  <si>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</si>
  <si>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</si>
  <si>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</si>
  <si>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</si>
  <si>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</si>
  <si>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</si>
  <si>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</si>
  <si>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</si>
  <si>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</si>
  <si>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</si>
  <si>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</si>
  <si>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</si>
  <si>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</si>
  <si>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</si>
  <si>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</si>
  <si>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</si>
  <si>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</si>
  <si>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</si>
  <si>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</si>
  <si>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</si>
  <si>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</si>
  <si>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</si>
  <si>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</si>
  <si>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</si>
  <si>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</si>
  <si>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</si>
  <si>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</si>
  <si>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</si>
  <si>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</si>
  <si>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</si>
  <si>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</si>
  <si>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</si>
  <si>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</si>
  <si>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</si>
  <si>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</si>
  <si>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</si>
  <si>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</si>
  <si>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</si>
  <si>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</si>
  <si>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</si>
  <si>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</si>
  <si>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</si>
  <si>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</si>
  <si>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</si>
  <si>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</si>
  <si>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</si>
  <si>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</si>
  <si>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</si>
  <si>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</si>
  <si>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</si>
  <si>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</si>
  <si>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</si>
  <si>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</si>
  <si>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</si>
  <si>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</si>
  <si>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</si>
  <si>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</si>
  <si>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</si>
  <si>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</si>
  <si>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</si>
  <si>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</si>
  <si>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</si>
  <si>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</si>
  <si>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</si>
  <si>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</si>
  <si>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</si>
  <si>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</si>
  <si>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</si>
  <si>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</si>
  <si>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</si>
  <si>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</si>
  <si>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</si>
  <si>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</si>
  <si>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</si>
  <si>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</si>
  <si>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</si>
  <si>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</si>
  <si>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</si>
  <si>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</si>
  <si>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</si>
  <si>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</si>
  <si>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</si>
  <si>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</si>
  <si>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</si>
  <si>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</si>
  <si>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</si>
  <si>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</si>
  <si>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</si>
  <si>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</si>
  <si>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</si>
  <si>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</si>
  <si>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</si>
  <si>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</si>
  <si>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</si>
  <si>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</si>
  <si>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</si>
  <si>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</si>
  <si>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</si>
  <si>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</si>
  <si>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</si>
  <si>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</si>
  <si>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</si>
  <si>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</si>
  <si>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</si>
  <si>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</si>
  <si>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</si>
  <si>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</si>
  <si>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</si>
  <si>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</si>
  <si>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</si>
  <si>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</si>
  <si>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</si>
  <si>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</si>
  <si>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</si>
  <si>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</si>
  <si>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</si>
  <si>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</si>
  <si>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</si>
  <si>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</si>
  <si>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</si>
  <si>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</si>
  <si>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</si>
  <si>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</si>
  <si>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</si>
  <si>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</si>
  <si>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</si>
  <si>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</si>
  <si>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</si>
  <si>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</si>
  <si>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</si>
  <si>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</si>
  <si>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</si>
  <si>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</si>
  <si>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</si>
  <si>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</si>
  <si>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</si>
  <si>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</si>
  <si>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</si>
  <si>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</si>
  <si>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</si>
  <si>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</si>
  <si>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</si>
  <si>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</si>
  <si>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</si>
  <si>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</si>
  <si>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</si>
  <si>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</si>
  <si>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</si>
  <si>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</si>
  <si>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</si>
  <si>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</si>
  <si>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</si>
  <si>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</si>
  <si>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</si>
  <si>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</si>
  <si>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</si>
  <si>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</si>
  <si>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</si>
  <si>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</si>
  <si>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</si>
  <si>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</si>
  <si>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</si>
  <si>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</si>
  <si>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</si>
  <si>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</si>
  <si>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</si>
  <si>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</si>
  <si>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</si>
  <si>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</si>
  <si>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</si>
  <si>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</si>
  <si>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</si>
  <si>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</si>
  <si>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</si>
  <si>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</si>
  <si>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</si>
  <si>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</si>
  <si>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</si>
  <si>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</si>
  <si>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</si>
  <si>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</si>
  <si>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</si>
  <si>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</si>
  <si>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</si>
  <si>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</si>
  <si>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</si>
  <si>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</si>
  <si>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</si>
  <si>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</si>
  <si>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</si>
  <si>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</si>
  <si>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</si>
  <si>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</si>
  <si>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</si>
  <si>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</si>
  <si>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</si>
  <si>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</si>
  <si>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</si>
  <si>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</si>
  <si>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</si>
  <si>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</si>
  <si>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</si>
  <si>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</si>
  <si>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</si>
  <si>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</si>
  <si>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</si>
  <si>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</si>
  <si>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</si>
  <si>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</si>
  <si>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</si>
  <si>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</si>
  <si>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</si>
  <si>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</si>
  <si>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</si>
  <si>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</si>
  <si>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</si>
  <si>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</si>
  <si>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</si>
  <si>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</si>
  <si>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</si>
  <si>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</si>
  <si>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</si>
  <si>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</si>
  <si>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</si>
  <si>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</si>
  <si>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</si>
  <si>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</si>
  <si>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</si>
  <si>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</si>
  <si>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</si>
  <si>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</si>
  <si>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</si>
  <si>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</si>
  <si>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</si>
  <si>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</si>
  <si>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</si>
  <si>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</si>
  <si>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</si>
  <si>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</si>
  <si>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</si>
  <si>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</si>
  <si>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</si>
  <si>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</si>
  <si>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</si>
  <si>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</si>
  <si>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</si>
  <si>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</si>
  <si>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</si>
  <si>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</si>
  <si>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</si>
  <si>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</si>
  <si>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</si>
  <si>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</si>
  <si>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</si>
  <si>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</si>
  <si>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</si>
  <si>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</si>
  <si>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</si>
  <si>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</si>
  <si>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</si>
  <si>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</si>
  <si>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</si>
  <si>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</si>
  <si>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</si>
  <si>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</si>
  <si>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</si>
  <si>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</si>
  <si>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</si>
  <si>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</si>
  <si>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</si>
  <si>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</si>
  <si>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</si>
  <si>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</si>
  <si>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</si>
  <si>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</si>
  <si>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</si>
  <si>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</si>
  <si>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</si>
  <si>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</si>
  <si>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</si>
  <si>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</si>
  <si>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</si>
  <si>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</si>
  <si>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</si>
  <si>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</si>
  <si>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</si>
  <si>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</si>
  <si>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</si>
  <si>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</si>
  <si>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</si>
  <si>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</si>
  <si>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</si>
  <si>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</si>
  <si>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</si>
  <si>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</si>
  <si>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</si>
  <si>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</si>
  <si>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</si>
  <si>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</si>
  <si>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</si>
  <si>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</si>
  <si>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</si>
  <si>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</si>
  <si>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</si>
  <si>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</si>
  <si>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</si>
  <si>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</si>
  <si>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</si>
  <si>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</si>
  <si>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</si>
  <si>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</si>
  <si>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</si>
  <si>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</si>
  <si>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</si>
  <si>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</si>
  <si>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</si>
  <si>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</si>
  <si>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</si>
  <si>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</si>
  <si>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</si>
  <si>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</si>
  <si>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</si>
  <si>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</si>
  <si>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</si>
  <si>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</si>
  <si>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</si>
  <si>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</si>
  <si>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</si>
  <si>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</si>
  <si>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</si>
  <si>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</si>
  <si>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</si>
  <si>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</si>
  <si>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</si>
  <si>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</si>
  <si>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</si>
  <si>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</si>
  <si>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</si>
  <si>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</si>
  <si>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</si>
  <si>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</si>
  <si>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</si>
  <si>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</si>
  <si>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</si>
  <si>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</si>
  <si>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</si>
  <si>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</si>
  <si>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</si>
  <si>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</si>
  <si>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</si>
  <si>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</si>
  <si>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</si>
  <si>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</si>
  <si>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</si>
  <si>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</si>
  <si>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</si>
  <si>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</si>
  <si>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</si>
  <si>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</si>
  <si>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</si>
  <si>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</si>
  <si>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</si>
  <si>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</si>
  <si>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</si>
  <si>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</si>
  <si>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</si>
  <si>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</si>
  <si>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</si>
  <si>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</si>
  <si>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</si>
  <si>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</si>
  <si>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</si>
  <si>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</si>
  <si>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</si>
  <si>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</si>
  <si>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</si>
  <si>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</si>
  <si>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</si>
  <si>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</si>
  <si>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</si>
  <si>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</si>
  <si>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</si>
  <si>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</si>
  <si>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</si>
  <si>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</si>
  <si>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</si>
  <si>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</si>
  <si>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</si>
  <si>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</si>
  <si>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</si>
  <si>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</si>
  <si>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</si>
  <si>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</si>
  <si>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</si>
  <si>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</si>
  <si>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</si>
  <si>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</si>
  <si>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</si>
  <si>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</si>
  <si>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</si>
  <si>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</si>
  <si>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</si>
  <si>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</si>
  <si>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</si>
  <si>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</si>
  <si>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</si>
  <si>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</si>
  <si>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</si>
  <si>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</si>
  <si>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</si>
  <si>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</si>
  <si>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</si>
  <si>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</si>
  <si>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</si>
  <si>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</si>
  <si>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</si>
  <si>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</si>
  <si>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</si>
  <si>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</si>
  <si>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</si>
  <si>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</si>
  <si>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</si>
  <si>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</si>
  <si>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</si>
  <si>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</si>
  <si>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</si>
  <si>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</si>
  <si>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</si>
  <si>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</si>
  <si>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</si>
  <si>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</si>
  <si>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</si>
  <si>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</si>
  <si>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</si>
  <si>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</si>
  <si>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</si>
  <si>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</si>
  <si>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</si>
  <si>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</si>
  <si>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</si>
  <si>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</si>
  <si>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</si>
  <si>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</si>
  <si>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</si>
  <si>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</si>
  <si>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</si>
  <si>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</si>
  <si>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</si>
  <si>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</si>
  <si>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</si>
  <si>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</si>
  <si>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</si>
  <si>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</si>
  <si>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</si>
  <si>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</si>
  <si>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</si>
  <si>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</si>
  <si>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</si>
  <si>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</si>
  <si>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</si>
  <si>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</si>
  <si>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</si>
  <si>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</si>
  <si>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</si>
  <si>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</si>
  <si>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</si>
  <si>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</si>
  <si>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</si>
  <si>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</si>
  <si>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</si>
  <si>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</si>
  <si>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</si>
  <si>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</si>
  <si>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</si>
  <si>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</si>
  <si>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</si>
  <si>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</si>
  <si>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</si>
  <si>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</si>
  <si>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</si>
  <si>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</si>
  <si>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</si>
  <si>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</si>
  <si>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</si>
  <si>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</si>
  <si>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</si>
  <si>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</si>
  <si>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</si>
  <si>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</si>
  <si>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</si>
  <si>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</si>
  <si>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</si>
  <si>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</si>
  <si>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</si>
  <si>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</si>
  <si>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</si>
  <si>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</si>
  <si>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</si>
  <si>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</si>
  <si>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</si>
  <si>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</si>
  <si>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</si>
  <si>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</si>
  <si>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</si>
  <si>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</si>
  <si>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</si>
  <si>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</si>
  <si>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</si>
  <si>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</si>
  <si>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</si>
  <si>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</si>
  <si>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</si>
  <si>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</si>
  <si>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</si>
  <si>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</si>
  <si>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</si>
  <si>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</si>
  <si>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</si>
  <si>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</si>
  <si>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</si>
  <si>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</si>
  <si>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</si>
  <si>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</si>
  <si>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</si>
  <si>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</si>
  <si>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</si>
  <si>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</si>
  <si>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</si>
  <si>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</si>
  <si>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</si>
  <si>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</si>
  <si>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</si>
  <si>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</si>
  <si>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</si>
  <si>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</si>
  <si>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</si>
  <si>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</si>
  <si>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</si>
  <si>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</si>
  <si>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</si>
  <si>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</si>
  <si>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</si>
  <si>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</si>
  <si>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</si>
  <si>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</si>
  <si>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</si>
  <si>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</si>
  <si>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</si>
  <si>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</si>
  <si>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</si>
  <si>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</si>
  <si>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</si>
  <si>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</si>
  <si>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</si>
  <si>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</si>
  <si>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</si>
  <si>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</si>
  <si>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</si>
  <si>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</si>
  <si>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</si>
  <si>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</si>
  <si>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</si>
  <si>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</si>
  <si>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</si>
  <si>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</si>
  <si>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</si>
  <si>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</si>
  <si>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</si>
  <si>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</si>
  <si>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</si>
  <si>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</si>
  <si>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</si>
  <si>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</si>
  <si>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</si>
  <si>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</si>
  <si>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</si>
  <si>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</si>
  <si>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</si>
  <si>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</si>
  <si>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</si>
  <si>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</si>
  <si>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</si>
  <si>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</si>
  <si>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</si>
  <si>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</si>
  <si>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</si>
  <si>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</si>
  <si>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</si>
  <si>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</si>
  <si>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</si>
  <si>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</si>
  <si>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</si>
  <si>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</si>
  <si>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</si>
  <si>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</si>
  <si>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</si>
  <si>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</si>
  <si>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</si>
  <si>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</si>
  <si>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</si>
  <si>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</si>
  <si>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</si>
  <si>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</si>
  <si>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</si>
  <si>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</si>
  <si>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</si>
  <si>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</si>
  <si>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</si>
  <si>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</si>
  <si>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</si>
  <si>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</si>
  <si>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</si>
  <si>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</si>
  <si>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</si>
  <si>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</si>
  <si>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</si>
  <si>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</si>
  <si>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</si>
  <si>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</si>
  <si>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</si>
  <si>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</si>
  <si>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</si>
  <si>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</si>
  <si>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</si>
  <si>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</si>
  <si>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</si>
  <si>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</si>
  <si>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</si>
  <si>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</si>
  <si>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</si>
  <si>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</si>
  <si>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</si>
  <si>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</si>
  <si>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</si>
  <si>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</si>
  <si>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</si>
  <si>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Curso de Formação Inicial para Novos Auditores do TCDF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</si>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</sst>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sz val="11"/>
      <color rgb="FF000000"/>
      <name val="Calibri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1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0"/>
      <tableStyleElement type="firstRowStripe" dxfId="59"/>
      <tableStyleElement type="secondRowStripe" dxfId="58"/>
    </tableStyle>
    <tableStyle name="Ações InCompany-style" pivot="0" count="3" xr9:uid="{00000000-0011-0000-FFFF-FFFF01000000}">
      <tableStyleElement type="headerRow" dxfId="57"/>
      <tableStyleElement type="firstRowStripe" dxfId="56"/>
      <tableStyleElement type="secondRowStripe" dxfId="55"/>
    </tableStyle>
    <tableStyle name="Coffee Break-style" pivot="0" count="3" xr9:uid="{00000000-0011-0000-FFFF-FFFF02000000}">
      <tableStyleElement type="headerRow" dxfId="54"/>
      <tableStyleElement type="firstRowStripe" dxfId="53"/>
      <tableStyleElement type="secondRowStripe" dxfId="52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16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504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1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6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/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87" totalsRowShown="0">
  <autoFilter ref="A3:D8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zoomScaleNormal="100" workbookViewId="0">
      <pane ySplit="1" topLeftCell="A691" activePane="bottomLeft" state="frozen"/>
      <selection pane="bottomLeft" activeCell="E705" sqref="E705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3.25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3.25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3.25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3.25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3.25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3.25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3.25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3.25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3.25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3.25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3.25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3.25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3.25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3.25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3.25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3.25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3.25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3.25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3.25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3.25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3.25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3.25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3.25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3.25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3.25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3.25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3.25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3.25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3.25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3.25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3.25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3.25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3.25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3.25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3.25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3.25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3.25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3.25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3.25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3.25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3.25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3.25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3.25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3.25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3.25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3.25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3.25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3.25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3.25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3.25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3.25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3.25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3.25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3.25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3.25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3.25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3.25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3.25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3.25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3.25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3.25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3.25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3.25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3.25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3.25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3.25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3.25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3.25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3.25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3.25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3.25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3.25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3.25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3.25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3.25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3.25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3.25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3.25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3.25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3.25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3.25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3.25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3.25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3.25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3.25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3.25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3.25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3.25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3.25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3.25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3.25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3.25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3.25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3.25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3.25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3.25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3.25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3.25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3.25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3.25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3.25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3.25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3.25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3.25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3.25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3.25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3.25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3.25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3.25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3.25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3.25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3.25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3.25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3.25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3.25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3.25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3.25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3.25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3.25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3.25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3.25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3.25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3.25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3.25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3.25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3.25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3.25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3.25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3.25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3.25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3.25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3.25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3.25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3.25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3.25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3.25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3.25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3.25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3.25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3.25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3.25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3.25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3.25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3.25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3.25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3.25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3.25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3.25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3.25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3.25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3.25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3.25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3.25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3.25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3.25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3.25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3.25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3.25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3.25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3.25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3.25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3.25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3.25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3.25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3.25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3.25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3.25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3.25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3.25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3.25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3.25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3.25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3.25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3.25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3.25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3.25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3.25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3.25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3.25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3.25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3.25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3.25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3.25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3.25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3.25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3.25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3.25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3.25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3.25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3.25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3.25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3.25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3.25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3.25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3.25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3.25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3.25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3.25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3.25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3.25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3.25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3.25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3.25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3.25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3.25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3.25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3.25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3.25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3.25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3.25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3.25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3.25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3.25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3.25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3.25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3.25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3.25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3.25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3.25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3.25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3.25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3.25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3.25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3.25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3.25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3.25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3.25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3.25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3.25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3.25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3.25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3.25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3.25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3.25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3.25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3.25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3.25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3.25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3.25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3.25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3.25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3.25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3.25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3.25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3.25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3.25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3.25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3.25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3.25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3.25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3.25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3.25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3.25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3.25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3.25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3.25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3.25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3.25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3.25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3.25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3.25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3.25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3.25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3.25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3.25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3.25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3.25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3.25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3.25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3.25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3.25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3.25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3.25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3.25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3.25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3.25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3.25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3.25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3.25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3.25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3.25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3.25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3.25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3.25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3.25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3.25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3.25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3.25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3.25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3.25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3.25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3.25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3.25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3.25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3.25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3.25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3.25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3.25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3.25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3.25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3.25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3.25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3.25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3.25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3.25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3.25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3.25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3.25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3.25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3.25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3.25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3.25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3.25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3.25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3.25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3.25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3.25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3.25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3.25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3.25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3.25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3.25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3.25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3.25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3.25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3.25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3.25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3.25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3.25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3.25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3.25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3.25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3.25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3.25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3.25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3.25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3.25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3.25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3.25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3.25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3.25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3.25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3.25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3.25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3.25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3.25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3.25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3.25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3.25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3.25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3.25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3.25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3.25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3.25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3.25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3.25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3.25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3.25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3.25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3.25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3.25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3.25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3.25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1230</v>
      </c>
    </row>
    <row r="387" spans="1:20" ht="23.25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3.25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3.25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3.25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3.25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3.25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3.25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3.25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3.25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3.25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3.25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3.25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3.25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3.25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3.25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3.25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3.25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3.25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3.25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3.25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3.25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3.25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3.25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3.25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3.25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3.25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3.25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1320</v>
      </c>
      <c r="F415" s="31" t="s">
        <v>22</v>
      </c>
      <c r="G415" s="21" t="s">
        <v>34</v>
      </c>
      <c r="H415" s="38" t="s">
        <v>1321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3.25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1322</v>
      </c>
      <c r="E416" s="27" t="s">
        <v>1323</v>
      </c>
      <c r="F416" s="29" t="s">
        <v>22</v>
      </c>
      <c r="G416" s="20" t="s">
        <v>157</v>
      </c>
      <c r="H416" s="36" t="s">
        <v>1324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3.25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1325</v>
      </c>
      <c r="E417" s="30" t="s">
        <v>1326</v>
      </c>
      <c r="F417" s="31" t="s">
        <v>66</v>
      </c>
      <c r="G417" s="21" t="s">
        <v>59</v>
      </c>
      <c r="H417" s="38" t="s">
        <v>1321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1327</v>
      </c>
    </row>
    <row r="418" spans="1:20" ht="23.25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1328</v>
      </c>
      <c r="E418" s="27" t="s">
        <v>1329</v>
      </c>
      <c r="F418" s="29" t="s">
        <v>22</v>
      </c>
      <c r="G418" s="20" t="s">
        <v>23</v>
      </c>
      <c r="H418" s="36" t="s">
        <v>1330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1331</v>
      </c>
    </row>
    <row r="419" spans="1:20" ht="23.25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1332</v>
      </c>
      <c r="F419" s="31" t="s">
        <v>22</v>
      </c>
      <c r="G419" s="21" t="s">
        <v>1316</v>
      </c>
      <c r="H419" s="38" t="s">
        <v>1333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1334</v>
      </c>
    </row>
    <row r="420" spans="1:20" ht="23.25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1335</v>
      </c>
      <c r="E420" s="27" t="s">
        <v>1336</v>
      </c>
      <c r="F420" s="29" t="s">
        <v>22</v>
      </c>
      <c r="G420" s="20" t="s">
        <v>157</v>
      </c>
      <c r="H420" s="36" t="s">
        <v>1337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1338</v>
      </c>
    </row>
    <row r="421" spans="1:20" ht="23.25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1339</v>
      </c>
      <c r="F421" s="31" t="s">
        <v>51</v>
      </c>
      <c r="G421" s="21" t="s">
        <v>59</v>
      </c>
      <c r="H421" s="38" t="s">
        <v>1340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3.25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1341</v>
      </c>
      <c r="E422" s="27" t="s">
        <v>1342</v>
      </c>
      <c r="F422" s="29" t="s">
        <v>22</v>
      </c>
      <c r="G422" s="20" t="s">
        <v>34</v>
      </c>
      <c r="H422" s="36" t="s">
        <v>1343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1344</v>
      </c>
    </row>
    <row r="423" spans="1:20" ht="23.25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1335</v>
      </c>
      <c r="E423" s="30" t="s">
        <v>1345</v>
      </c>
      <c r="F423" s="31" t="s">
        <v>22</v>
      </c>
      <c r="G423" s="21" t="s">
        <v>157</v>
      </c>
      <c r="H423" s="38" t="s">
        <v>1346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1338</v>
      </c>
    </row>
    <row r="424" spans="1:20" ht="23.25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1347</v>
      </c>
      <c r="E424" s="27" t="s">
        <v>1348</v>
      </c>
      <c r="F424" s="29" t="s">
        <v>22</v>
      </c>
      <c r="G424" s="20" t="s">
        <v>157</v>
      </c>
      <c r="H424" s="36" t="s">
        <v>1349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3.25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1350</v>
      </c>
      <c r="F425" s="31" t="s">
        <v>51</v>
      </c>
      <c r="G425" s="21" t="s">
        <v>59</v>
      </c>
      <c r="H425" s="38" t="s">
        <v>1351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3.25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1352</v>
      </c>
      <c r="E426" s="27" t="s">
        <v>1353</v>
      </c>
      <c r="F426" s="29" t="s">
        <v>22</v>
      </c>
      <c r="G426" s="20" t="s">
        <v>353</v>
      </c>
      <c r="H426" s="36" t="s">
        <v>1354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1355</v>
      </c>
    </row>
    <row r="427" spans="1:20" ht="23.25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1356</v>
      </c>
      <c r="E427" s="30" t="s">
        <v>1357</v>
      </c>
      <c r="F427" s="31" t="s">
        <v>22</v>
      </c>
      <c r="G427" s="21" t="s">
        <v>34</v>
      </c>
      <c r="H427" s="38" t="s">
        <v>1358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1359</v>
      </c>
    </row>
    <row r="428" spans="1:20" ht="23.25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1360</v>
      </c>
      <c r="E428" s="27" t="s">
        <v>1361</v>
      </c>
      <c r="F428" s="29" t="s">
        <v>66</v>
      </c>
      <c r="G428" s="20" t="s">
        <v>59</v>
      </c>
      <c r="H428" s="36" t="s">
        <v>1362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3.25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1360</v>
      </c>
      <c r="E429" s="30" t="s">
        <v>1363</v>
      </c>
      <c r="F429" s="31" t="s">
        <v>66</v>
      </c>
      <c r="G429" s="21" t="s">
        <v>59</v>
      </c>
      <c r="H429" s="38" t="s">
        <v>1362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3.25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1360</v>
      </c>
      <c r="E430" s="27" t="s">
        <v>1364</v>
      </c>
      <c r="F430" s="29" t="s">
        <v>66</v>
      </c>
      <c r="G430" s="20" t="s">
        <v>59</v>
      </c>
      <c r="H430" s="36" t="s">
        <v>1362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3.25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1360</v>
      </c>
      <c r="E431" s="30" t="s">
        <v>1365</v>
      </c>
      <c r="F431" s="31" t="s">
        <v>66</v>
      </c>
      <c r="G431" s="21" t="s">
        <v>59</v>
      </c>
      <c r="H431" s="38" t="s">
        <v>1362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3.25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1360</v>
      </c>
      <c r="E432" s="27" t="s">
        <v>1366</v>
      </c>
      <c r="F432" s="29" t="s">
        <v>66</v>
      </c>
      <c r="G432" s="20" t="s">
        <v>59</v>
      </c>
      <c r="H432" s="36" t="s">
        <v>1362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3.25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1352</v>
      </c>
      <c r="E433" s="30" t="s">
        <v>1367</v>
      </c>
      <c r="F433" s="31" t="s">
        <v>22</v>
      </c>
      <c r="G433" s="21" t="s">
        <v>353</v>
      </c>
      <c r="H433" s="38" t="s">
        <v>1368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1355</v>
      </c>
    </row>
    <row r="434" spans="1:20" ht="23.25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1369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1370</v>
      </c>
      <c r="F435" s="31" t="s">
        <v>66</v>
      </c>
      <c r="G435" s="21" t="s">
        <v>59</v>
      </c>
      <c r="H435" s="38" t="s">
        <v>1371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3.25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1372</v>
      </c>
      <c r="E436" s="27" t="s">
        <v>1373</v>
      </c>
      <c r="F436" s="29" t="s">
        <v>22</v>
      </c>
      <c r="G436" s="20" t="s">
        <v>34</v>
      </c>
      <c r="H436" s="36" t="s">
        <v>1374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1375</v>
      </c>
    </row>
    <row r="437" spans="1:20" ht="23.25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1372</v>
      </c>
      <c r="E437" s="30" t="s">
        <v>1376</v>
      </c>
      <c r="F437" s="31" t="s">
        <v>22</v>
      </c>
      <c r="G437" s="21" t="s">
        <v>34</v>
      </c>
      <c r="H437" s="38" t="s">
        <v>1377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1375</v>
      </c>
    </row>
    <row r="438" spans="1:20" ht="23.25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1372</v>
      </c>
      <c r="E438" s="27" t="s">
        <v>1378</v>
      </c>
      <c r="F438" s="29" t="s">
        <v>22</v>
      </c>
      <c r="G438" s="20" t="s">
        <v>34</v>
      </c>
      <c r="H438" s="36" t="s">
        <v>1379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1375</v>
      </c>
    </row>
    <row r="439" spans="1:20" ht="23.25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1372</v>
      </c>
      <c r="E439" s="30" t="s">
        <v>1378</v>
      </c>
      <c r="F439" s="31" t="s">
        <v>22</v>
      </c>
      <c r="G439" s="21" t="s">
        <v>34</v>
      </c>
      <c r="H439" s="38" t="s">
        <v>1380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1375</v>
      </c>
    </row>
    <row r="440" spans="1:20" ht="23.25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1381</v>
      </c>
      <c r="E440" s="27" t="s">
        <v>1382</v>
      </c>
      <c r="F440" s="29" t="s">
        <v>66</v>
      </c>
      <c r="G440" s="20" t="s">
        <v>59</v>
      </c>
      <c r="H440" s="36" t="s">
        <v>1383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3.25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1384</v>
      </c>
      <c r="E441" s="30" t="s">
        <v>1385</v>
      </c>
      <c r="F441" s="31" t="s">
        <v>22</v>
      </c>
      <c r="G441" s="21" t="s">
        <v>157</v>
      </c>
      <c r="H441" s="38" t="s">
        <v>1386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3.25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1387</v>
      </c>
      <c r="E442" s="27" t="s">
        <v>1388</v>
      </c>
      <c r="F442" s="29" t="s">
        <v>22</v>
      </c>
      <c r="G442" s="20" t="s">
        <v>30</v>
      </c>
      <c r="H442" s="36" t="s">
        <v>1389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1390</v>
      </c>
    </row>
    <row r="443" spans="1:20" ht="23.25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1391</v>
      </c>
      <c r="E443" s="30" t="s">
        <v>1392</v>
      </c>
      <c r="F443" s="31" t="s">
        <v>51</v>
      </c>
      <c r="G443" s="21" t="s">
        <v>59</v>
      </c>
      <c r="H443" s="38" t="s">
        <v>1393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3.25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1394</v>
      </c>
      <c r="E444" s="27" t="s">
        <v>1395</v>
      </c>
      <c r="F444" s="29" t="s">
        <v>22</v>
      </c>
      <c r="G444" s="20" t="s">
        <v>157</v>
      </c>
      <c r="H444" s="36" t="s">
        <v>1396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3.25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1397</v>
      </c>
      <c r="E445" s="30" t="s">
        <v>1398</v>
      </c>
      <c r="F445" s="31" t="s">
        <v>66</v>
      </c>
      <c r="G445" s="21" t="s">
        <v>59</v>
      </c>
      <c r="H445" s="38" t="s">
        <v>1399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3.25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1352</v>
      </c>
      <c r="E446" s="27" t="s">
        <v>1400</v>
      </c>
      <c r="F446" s="29" t="s">
        <v>22</v>
      </c>
      <c r="G446" s="20" t="s">
        <v>353</v>
      </c>
      <c r="H446" s="36" t="s">
        <v>1401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1355</v>
      </c>
    </row>
    <row r="447" spans="1:20" ht="23.25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1402</v>
      </c>
      <c r="E447" s="30" t="s">
        <v>1403</v>
      </c>
      <c r="F447" s="31" t="s">
        <v>51</v>
      </c>
      <c r="G447" s="21" t="s">
        <v>23</v>
      </c>
      <c r="H447" s="38" t="s">
        <v>1404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1327</v>
      </c>
    </row>
    <row r="448" spans="1:20" ht="23.25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1356</v>
      </c>
      <c r="E448" s="27" t="s">
        <v>1405</v>
      </c>
      <c r="F448" s="29" t="s">
        <v>22</v>
      </c>
      <c r="G448" s="20" t="s">
        <v>34</v>
      </c>
      <c r="H448" s="36" t="s">
        <v>1404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1359</v>
      </c>
    </row>
    <row r="449" spans="1:20" ht="23.25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1406</v>
      </c>
      <c r="E449" s="30" t="s">
        <v>1407</v>
      </c>
      <c r="F449" s="31" t="s">
        <v>22</v>
      </c>
      <c r="G449" s="21" t="s">
        <v>283</v>
      </c>
      <c r="H449" s="38" t="s">
        <v>1408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3.25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1328</v>
      </c>
      <c r="E450" s="27" t="s">
        <v>1409</v>
      </c>
      <c r="F450" s="29" t="s">
        <v>22</v>
      </c>
      <c r="G450" s="20" t="s">
        <v>23</v>
      </c>
      <c r="H450" s="36" t="s">
        <v>1410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1331</v>
      </c>
    </row>
    <row r="451" spans="1:20" ht="23.25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1352</v>
      </c>
      <c r="E451" s="30" t="s">
        <v>1411</v>
      </c>
      <c r="F451" s="31" t="s">
        <v>22</v>
      </c>
      <c r="G451" s="21" t="s">
        <v>353</v>
      </c>
      <c r="H451" s="38" t="s">
        <v>1412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1355</v>
      </c>
    </row>
    <row r="452" spans="1:20" ht="23.25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1413</v>
      </c>
      <c r="E452" s="27" t="s">
        <v>1414</v>
      </c>
      <c r="F452" s="29" t="s">
        <v>22</v>
      </c>
      <c r="G452" s="20" t="s">
        <v>353</v>
      </c>
      <c r="H452" s="36" t="s">
        <v>1415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3.25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1328</v>
      </c>
      <c r="E453" s="30" t="s">
        <v>1416</v>
      </c>
      <c r="F453" s="31" t="s">
        <v>22</v>
      </c>
      <c r="G453" s="21" t="s">
        <v>23</v>
      </c>
      <c r="H453" s="38" t="s">
        <v>1417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3.25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1406</v>
      </c>
      <c r="E454" s="27" t="s">
        <v>1418</v>
      </c>
      <c r="F454" s="29" t="s">
        <v>22</v>
      </c>
      <c r="G454" s="20" t="s">
        <v>283</v>
      </c>
      <c r="H454" s="36" t="s">
        <v>1419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1420</v>
      </c>
    </row>
    <row r="455" spans="1:20" ht="23.25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1352</v>
      </c>
      <c r="E455" s="30" t="s">
        <v>1421</v>
      </c>
      <c r="F455" s="31" t="s">
        <v>22</v>
      </c>
      <c r="G455" s="21" t="s">
        <v>353</v>
      </c>
      <c r="H455" s="38" t="s">
        <v>1419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1355</v>
      </c>
    </row>
    <row r="456" spans="1:20" ht="23.25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1422</v>
      </c>
      <c r="F456" s="29" t="s">
        <v>22</v>
      </c>
      <c r="G456" s="20" t="s">
        <v>157</v>
      </c>
      <c r="H456" s="57" t="s">
        <v>1419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1423</v>
      </c>
      <c r="E457" s="30" t="s">
        <v>1424</v>
      </c>
      <c r="F457" s="31" t="s">
        <v>22</v>
      </c>
      <c r="G457" s="21" t="s">
        <v>34</v>
      </c>
      <c r="H457" s="38" t="s">
        <v>1425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1359</v>
      </c>
    </row>
    <row r="458" spans="1:20" ht="23.25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1426</v>
      </c>
      <c r="E458" s="27" t="s">
        <v>1427</v>
      </c>
      <c r="F458" s="29" t="s">
        <v>22</v>
      </c>
      <c r="G458" s="20" t="s">
        <v>283</v>
      </c>
      <c r="H458" s="36" t="s">
        <v>1428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3.25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1429</v>
      </c>
      <c r="E459" s="30" t="s">
        <v>1430</v>
      </c>
      <c r="F459" s="31" t="s">
        <v>51</v>
      </c>
      <c r="G459" s="21" t="s">
        <v>59</v>
      </c>
      <c r="H459" s="38" t="s">
        <v>1431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1432</v>
      </c>
    </row>
    <row r="460" spans="1:20" ht="23.25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1433</v>
      </c>
      <c r="E460" s="27" t="s">
        <v>1434</v>
      </c>
      <c r="F460" s="29" t="s">
        <v>22</v>
      </c>
      <c r="G460" s="20" t="s">
        <v>56</v>
      </c>
      <c r="H460" s="36" t="s">
        <v>1435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3.25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1352</v>
      </c>
      <c r="E461" s="30" t="s">
        <v>1436</v>
      </c>
      <c r="F461" s="31" t="s">
        <v>22</v>
      </c>
      <c r="G461" s="21" t="s">
        <v>353</v>
      </c>
      <c r="H461" s="263" t="s">
        <v>1437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1355</v>
      </c>
    </row>
    <row r="462" spans="1:20" ht="23.25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1438</v>
      </c>
      <c r="E462" s="27" t="s">
        <v>1439</v>
      </c>
      <c r="F462" s="29" t="s">
        <v>22</v>
      </c>
      <c r="G462" s="20" t="s">
        <v>34</v>
      </c>
      <c r="H462" s="262" t="s">
        <v>1440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1441</v>
      </c>
    </row>
    <row r="463" spans="1:20" ht="23.25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1442</v>
      </c>
      <c r="E463" s="30" t="s">
        <v>1443</v>
      </c>
      <c r="F463" s="31" t="s">
        <v>22</v>
      </c>
      <c r="G463" s="21" t="s">
        <v>23</v>
      </c>
      <c r="H463" s="38" t="s">
        <v>1444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425</v>
      </c>
    </row>
    <row r="464" spans="1:20" ht="23.25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1352</v>
      </c>
      <c r="E464" s="27" t="s">
        <v>1445</v>
      </c>
      <c r="F464" s="29" t="s">
        <v>22</v>
      </c>
      <c r="G464" s="20" t="s">
        <v>353</v>
      </c>
      <c r="H464" s="36" t="s">
        <v>1446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1355</v>
      </c>
    </row>
    <row r="465" spans="1:20" ht="23.25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1447</v>
      </c>
      <c r="E465" s="30" t="s">
        <v>1448</v>
      </c>
      <c r="F465" s="31" t="s">
        <v>22</v>
      </c>
      <c r="G465" s="21" t="s">
        <v>23</v>
      </c>
      <c r="H465" s="38" t="s">
        <v>1449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1450</v>
      </c>
    </row>
    <row r="466" spans="1:20" ht="23.25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1451</v>
      </c>
      <c r="E466" s="27" t="s">
        <v>1452</v>
      </c>
      <c r="F466" s="29" t="s">
        <v>66</v>
      </c>
      <c r="G466" s="20" t="s">
        <v>56</v>
      </c>
      <c r="H466" s="36" t="s">
        <v>1453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3.25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1451</v>
      </c>
      <c r="E467" s="30" t="s">
        <v>1454</v>
      </c>
      <c r="F467" s="85" t="s">
        <v>22</v>
      </c>
      <c r="G467" s="21" t="s">
        <v>56</v>
      </c>
      <c r="H467" s="38" t="s">
        <v>1455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3.25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1456</v>
      </c>
      <c r="E468" s="27" t="s">
        <v>1457</v>
      </c>
      <c r="F468" s="29" t="s">
        <v>22</v>
      </c>
      <c r="G468" s="20" t="s">
        <v>34</v>
      </c>
      <c r="H468" s="36" t="s">
        <v>1458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1459</v>
      </c>
    </row>
    <row r="469" spans="1:20" ht="23.25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1352</v>
      </c>
      <c r="E469" s="30" t="s">
        <v>1460</v>
      </c>
      <c r="F469" s="31" t="s">
        <v>22</v>
      </c>
      <c r="G469" s="21" t="s">
        <v>353</v>
      </c>
      <c r="H469" s="38" t="s">
        <v>1461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1355</v>
      </c>
    </row>
    <row r="470" spans="1:20" ht="23.25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1352</v>
      </c>
      <c r="E470" s="27" t="s">
        <v>1462</v>
      </c>
      <c r="F470" s="29" t="s">
        <v>22</v>
      </c>
      <c r="G470" s="20" t="s">
        <v>353</v>
      </c>
      <c r="H470" s="36" t="s">
        <v>1463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1355</v>
      </c>
    </row>
    <row r="471" spans="1:20" ht="23.25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1464</v>
      </c>
      <c r="E471" s="30" t="s">
        <v>1465</v>
      </c>
      <c r="F471" s="31" t="s">
        <v>51</v>
      </c>
      <c r="G471" s="21" t="s">
        <v>59</v>
      </c>
      <c r="H471" s="38" t="s">
        <v>1466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3.25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1467</v>
      </c>
      <c r="E472" s="27" t="s">
        <v>1468</v>
      </c>
      <c r="F472" s="29" t="s">
        <v>51</v>
      </c>
      <c r="G472" s="20" t="s">
        <v>59</v>
      </c>
      <c r="H472" s="36" t="s">
        <v>1469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1470</v>
      </c>
    </row>
    <row r="473" spans="1:20" ht="23.25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1471</v>
      </c>
      <c r="E473" s="30" t="s">
        <v>1472</v>
      </c>
      <c r="F473" s="31" t="s">
        <v>51</v>
      </c>
      <c r="G473" s="21" t="s">
        <v>59</v>
      </c>
      <c r="H473" s="38" t="s">
        <v>1473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1474</v>
      </c>
    </row>
    <row r="474" spans="1:20" ht="23.25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1475</v>
      </c>
      <c r="E474" s="27" t="s">
        <v>1476</v>
      </c>
      <c r="F474" s="29" t="s">
        <v>51</v>
      </c>
      <c r="G474" s="20" t="s">
        <v>59</v>
      </c>
      <c r="H474" s="36" t="s">
        <v>1477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1478</v>
      </c>
    </row>
    <row r="475" spans="1:20" ht="23.25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1479</v>
      </c>
      <c r="E475" s="30" t="s">
        <v>1480</v>
      </c>
      <c r="F475" s="31" t="s">
        <v>22</v>
      </c>
      <c r="G475" s="21" t="s">
        <v>34</v>
      </c>
      <c r="H475" s="38" t="s">
        <v>1481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1482</v>
      </c>
    </row>
    <row r="476" spans="1:20" ht="23.25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1483</v>
      </c>
      <c r="E476" s="27" t="s">
        <v>1484</v>
      </c>
      <c r="F476" s="29" t="s">
        <v>51</v>
      </c>
      <c r="G476" s="20" t="s">
        <v>59</v>
      </c>
      <c r="H476" s="36" t="s">
        <v>1485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1486</v>
      </c>
    </row>
    <row r="477" spans="1:20" ht="23.25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1487</v>
      </c>
      <c r="E477" s="30" t="s">
        <v>1488</v>
      </c>
      <c r="F477" s="31" t="s">
        <v>51</v>
      </c>
      <c r="G477" s="21" t="s">
        <v>59</v>
      </c>
      <c r="H477" s="38" t="s">
        <v>1489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3.25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1490</v>
      </c>
      <c r="E478" s="27" t="s">
        <v>1491</v>
      </c>
      <c r="F478" s="29" t="s">
        <v>22</v>
      </c>
      <c r="G478" s="20" t="s">
        <v>23</v>
      </c>
      <c r="H478" s="36" t="s">
        <v>1492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1450</v>
      </c>
    </row>
    <row r="479" spans="1:20" ht="23.25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1493</v>
      </c>
      <c r="E479" s="30" t="s">
        <v>1494</v>
      </c>
      <c r="F479" s="31" t="s">
        <v>66</v>
      </c>
      <c r="G479" s="21" t="s">
        <v>59</v>
      </c>
      <c r="H479" s="38" t="s">
        <v>1495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1496</v>
      </c>
    </row>
    <row r="480" spans="1:20" ht="23.25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1497</v>
      </c>
      <c r="E480" s="27" t="s">
        <v>1498</v>
      </c>
      <c r="F480" s="29" t="s">
        <v>51</v>
      </c>
      <c r="G480" s="20" t="s">
        <v>59</v>
      </c>
      <c r="H480" s="36" t="s">
        <v>1499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3.25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1356</v>
      </c>
      <c r="E481" s="30" t="s">
        <v>1500</v>
      </c>
      <c r="F481" s="31" t="s">
        <v>22</v>
      </c>
      <c r="G481" s="21" t="s">
        <v>34</v>
      </c>
      <c r="H481" s="38" t="s">
        <v>1501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1502</v>
      </c>
    </row>
    <row r="482" spans="1:20" ht="23.25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1503</v>
      </c>
      <c r="E482" s="27" t="s">
        <v>1504</v>
      </c>
      <c r="F482" s="29" t="s">
        <v>22</v>
      </c>
      <c r="G482" s="20" t="s">
        <v>34</v>
      </c>
      <c r="H482" s="36" t="s">
        <v>1505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1506</v>
      </c>
    </row>
    <row r="483" spans="1:20" ht="23.25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1507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3.25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1487</v>
      </c>
      <c r="E484" s="27" t="s">
        <v>1508</v>
      </c>
      <c r="F484" s="29" t="s">
        <v>51</v>
      </c>
      <c r="G484" s="20" t="s">
        <v>59</v>
      </c>
      <c r="H484" s="36" t="s">
        <v>1509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3.25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1352</v>
      </c>
      <c r="E485" s="30" t="s">
        <v>1510</v>
      </c>
      <c r="F485" s="31" t="s">
        <v>22</v>
      </c>
      <c r="G485" s="21" t="s">
        <v>353</v>
      </c>
      <c r="H485" s="38" t="s">
        <v>1511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1355</v>
      </c>
    </row>
    <row r="486" spans="1:20" ht="23.25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1347</v>
      </c>
      <c r="E486" s="27" t="s">
        <v>1348</v>
      </c>
      <c r="F486" s="29" t="s">
        <v>22</v>
      </c>
      <c r="G486" s="20" t="s">
        <v>157</v>
      </c>
      <c r="H486" s="36" t="s">
        <v>1512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3.25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1513</v>
      </c>
      <c r="E487" s="30" t="s">
        <v>1514</v>
      </c>
      <c r="F487" s="31" t="s">
        <v>22</v>
      </c>
      <c r="G487" s="21" t="s">
        <v>30</v>
      </c>
      <c r="H487" s="38" t="s">
        <v>1515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3.25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1352</v>
      </c>
      <c r="E488" s="27" t="s">
        <v>1516</v>
      </c>
      <c r="F488" s="29" t="s">
        <v>22</v>
      </c>
      <c r="G488" s="20" t="s">
        <v>353</v>
      </c>
      <c r="H488" s="36" t="s">
        <v>1517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1355</v>
      </c>
    </row>
    <row r="489" spans="1:20" ht="23.25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1518</v>
      </c>
      <c r="F489" s="31" t="s">
        <v>51</v>
      </c>
      <c r="G489" s="45" t="s">
        <v>59</v>
      </c>
      <c r="H489" s="59" t="s">
        <v>1519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3.25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1493</v>
      </c>
      <c r="E490" s="65" t="s">
        <v>1520</v>
      </c>
      <c r="F490" s="66" t="s">
        <v>66</v>
      </c>
      <c r="G490" s="67" t="s">
        <v>59</v>
      </c>
      <c r="H490" s="68" t="s">
        <v>1519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1496</v>
      </c>
    </row>
    <row r="491" spans="1:20" ht="23.25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1521</v>
      </c>
      <c r="E491" s="58" t="s">
        <v>1522</v>
      </c>
      <c r="F491" s="74" t="s">
        <v>22</v>
      </c>
      <c r="G491" s="45" t="s">
        <v>56</v>
      </c>
      <c r="H491" s="59" t="s">
        <v>1523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1524</v>
      </c>
    </row>
    <row r="492" spans="1:20" ht="23.25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1525</v>
      </c>
      <c r="E492" s="65" t="s">
        <v>1526</v>
      </c>
      <c r="F492" s="66" t="s">
        <v>51</v>
      </c>
      <c r="G492" s="67" t="s">
        <v>59</v>
      </c>
      <c r="H492" s="68" t="s">
        <v>1527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1528</v>
      </c>
    </row>
    <row r="493" spans="1:20" ht="23.25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1529</v>
      </c>
      <c r="E493" s="58" t="s">
        <v>1530</v>
      </c>
      <c r="F493" s="74" t="s">
        <v>22</v>
      </c>
      <c r="G493" s="45" t="s">
        <v>283</v>
      </c>
      <c r="H493" s="59" t="s">
        <v>1531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3.25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1532</v>
      </c>
      <c r="E494" s="65" t="s">
        <v>1533</v>
      </c>
      <c r="F494" s="66" t="s">
        <v>22</v>
      </c>
      <c r="G494" s="67" t="s">
        <v>157</v>
      </c>
      <c r="H494" s="68" t="s">
        <v>1534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1535</v>
      </c>
    </row>
    <row r="495" spans="1:20" ht="23.25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1536</v>
      </c>
      <c r="E495" s="58" t="s">
        <v>1537</v>
      </c>
      <c r="F495" s="74" t="s">
        <v>22</v>
      </c>
      <c r="G495" s="45" t="s">
        <v>157</v>
      </c>
      <c r="H495" s="59" t="s">
        <v>1538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1539</v>
      </c>
      <c r="E496" s="65" t="s">
        <v>1540</v>
      </c>
      <c r="F496" s="66" t="s">
        <v>22</v>
      </c>
      <c r="G496" s="67" t="s">
        <v>157</v>
      </c>
      <c r="H496" s="68" t="s">
        <v>1541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1542</v>
      </c>
    </row>
    <row r="497" spans="1:20" ht="23.25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1456</v>
      </c>
      <c r="E497" s="58" t="s">
        <v>1543</v>
      </c>
      <c r="F497" s="74" t="s">
        <v>51</v>
      </c>
      <c r="G497" s="45" t="s">
        <v>59</v>
      </c>
      <c r="H497" s="59" t="s">
        <v>1544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1459</v>
      </c>
    </row>
    <row r="498" spans="1:20" ht="23.25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1356</v>
      </c>
      <c r="E498" s="65" t="s">
        <v>1545</v>
      </c>
      <c r="F498" s="66" t="s">
        <v>22</v>
      </c>
      <c r="G498" s="67" t="s">
        <v>34</v>
      </c>
      <c r="H498" s="68" t="s">
        <v>1546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1359</v>
      </c>
    </row>
    <row r="499" spans="1:20" ht="23.25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1547</v>
      </c>
      <c r="E499" s="58" t="s">
        <v>1548</v>
      </c>
      <c r="F499" s="74" t="s">
        <v>66</v>
      </c>
      <c r="G499" s="45" t="s">
        <v>59</v>
      </c>
      <c r="H499" s="59" t="s">
        <v>1549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1550</v>
      </c>
    </row>
    <row r="500" spans="1:20" ht="23.25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1551</v>
      </c>
      <c r="E500" s="65" t="s">
        <v>1552</v>
      </c>
      <c r="F500" s="66" t="s">
        <v>22</v>
      </c>
      <c r="G500" s="67" t="s">
        <v>157</v>
      </c>
      <c r="H500" s="68" t="s">
        <v>1553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1554</v>
      </c>
    </row>
    <row r="501" spans="1:20" ht="23.25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1352</v>
      </c>
      <c r="E501" s="58" t="s">
        <v>1555</v>
      </c>
      <c r="F501" s="74" t="s">
        <v>22</v>
      </c>
      <c r="G501" s="45" t="s">
        <v>353</v>
      </c>
      <c r="H501" s="59" t="s">
        <v>1556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1355</v>
      </c>
    </row>
    <row r="502" spans="1:20" ht="23.25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1557</v>
      </c>
      <c r="E502" s="65" t="s">
        <v>1558</v>
      </c>
      <c r="F502" s="66" t="s">
        <v>51</v>
      </c>
      <c r="G502" s="67" t="s">
        <v>59</v>
      </c>
      <c r="H502" s="68" t="s">
        <v>1559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1560</v>
      </c>
    </row>
    <row r="503" spans="1:20" ht="23.25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1561</v>
      </c>
      <c r="E503" s="58" t="s">
        <v>1562</v>
      </c>
      <c r="F503" s="74" t="s">
        <v>51</v>
      </c>
      <c r="G503" s="45" t="s">
        <v>59</v>
      </c>
      <c r="H503" s="59" t="s">
        <v>1563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3.25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1564</v>
      </c>
      <c r="E504" s="65" t="s">
        <v>1565</v>
      </c>
      <c r="F504" s="66" t="s">
        <v>22</v>
      </c>
      <c r="G504" s="67" t="s">
        <v>30</v>
      </c>
      <c r="H504" s="68" t="s">
        <v>1566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1390</v>
      </c>
    </row>
    <row r="505" spans="1:20" ht="23.25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1567</v>
      </c>
      <c r="E505" s="58" t="s">
        <v>1568</v>
      </c>
      <c r="F505" s="74" t="s">
        <v>22</v>
      </c>
      <c r="G505" s="45" t="s">
        <v>157</v>
      </c>
      <c r="H505" s="38" t="s">
        <v>1569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1570</v>
      </c>
    </row>
    <row r="506" spans="1:20" ht="23.25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1352</v>
      </c>
      <c r="E506" s="27" t="s">
        <v>1571</v>
      </c>
      <c r="F506" s="29" t="s">
        <v>22</v>
      </c>
      <c r="G506" s="20" t="s">
        <v>353</v>
      </c>
      <c r="H506" s="36" t="s">
        <v>1572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1355</v>
      </c>
    </row>
    <row r="507" spans="1:20" ht="23.25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1573</v>
      </c>
      <c r="E507" s="30" t="s">
        <v>1574</v>
      </c>
      <c r="F507" s="74" t="s">
        <v>22</v>
      </c>
      <c r="G507" s="45" t="s">
        <v>34</v>
      </c>
      <c r="H507" s="38" t="s">
        <v>1575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1576</v>
      </c>
    </row>
    <row r="508" spans="1:20" ht="23.25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1577</v>
      </c>
      <c r="E508" s="27" t="s">
        <v>1578</v>
      </c>
      <c r="F508" s="29" t="s">
        <v>22</v>
      </c>
      <c r="G508" s="20" t="s">
        <v>353</v>
      </c>
      <c r="H508" s="36" t="s">
        <v>1575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3.25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1579</v>
      </c>
      <c r="E509" s="75" t="s">
        <v>1580</v>
      </c>
      <c r="F509" s="31" t="s">
        <v>22</v>
      </c>
      <c r="G509" s="21" t="s">
        <v>157</v>
      </c>
      <c r="H509" s="38" t="s">
        <v>1575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1581</v>
      </c>
    </row>
    <row r="510" spans="1:20" ht="23.25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1493</v>
      </c>
      <c r="E510" s="27" t="s">
        <v>1582</v>
      </c>
      <c r="F510" s="29" t="s">
        <v>66</v>
      </c>
      <c r="G510" s="20" t="s">
        <v>59</v>
      </c>
      <c r="H510" s="36" t="s">
        <v>1583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1496</v>
      </c>
    </row>
    <row r="511" spans="1:20" ht="23.25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1584</v>
      </c>
      <c r="E511" s="75" t="s">
        <v>1585</v>
      </c>
      <c r="F511" s="31" t="s">
        <v>22</v>
      </c>
      <c r="G511" s="21" t="s">
        <v>157</v>
      </c>
      <c r="H511" s="38" t="s">
        <v>1586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1587</v>
      </c>
    </row>
    <row r="512" spans="1:20" ht="23.25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1588</v>
      </c>
      <c r="E512" s="27" t="s">
        <v>1589</v>
      </c>
      <c r="F512" s="66" t="s">
        <v>51</v>
      </c>
      <c r="G512" s="20" t="s">
        <v>59</v>
      </c>
      <c r="H512" s="36" t="s">
        <v>1590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1591</v>
      </c>
    </row>
    <row r="513" spans="1:20" ht="23.25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1592</v>
      </c>
      <c r="E513" s="30" t="s">
        <v>1593</v>
      </c>
      <c r="F513" s="74" t="s">
        <v>22</v>
      </c>
      <c r="G513" s="45" t="s">
        <v>34</v>
      </c>
      <c r="H513" s="38" t="s">
        <v>1594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1595</v>
      </c>
    </row>
    <row r="514" spans="1:20" ht="23.25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1513</v>
      </c>
      <c r="E514" s="27" t="s">
        <v>1596</v>
      </c>
      <c r="F514" s="66" t="s">
        <v>22</v>
      </c>
      <c r="G514" s="67" t="s">
        <v>30</v>
      </c>
      <c r="H514" s="36" t="s">
        <v>1597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3.25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1598</v>
      </c>
      <c r="E515" s="30" t="s">
        <v>1599</v>
      </c>
      <c r="F515" s="74" t="s">
        <v>66</v>
      </c>
      <c r="G515" s="45" t="s">
        <v>59</v>
      </c>
      <c r="H515" s="38" t="s">
        <v>1600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1601</v>
      </c>
    </row>
    <row r="516" spans="1:20" ht="23.25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1602</v>
      </c>
      <c r="E516" s="27" t="s">
        <v>1603</v>
      </c>
      <c r="F516" s="66" t="s">
        <v>22</v>
      </c>
      <c r="G516" s="67" t="s">
        <v>34</v>
      </c>
      <c r="H516" s="36" t="s">
        <v>1604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3.25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1352</v>
      </c>
      <c r="E517" s="30" t="s">
        <v>1605</v>
      </c>
      <c r="F517" s="74" t="s">
        <v>22</v>
      </c>
      <c r="G517" s="45" t="s">
        <v>353</v>
      </c>
      <c r="H517" s="38" t="s">
        <v>1606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1607</v>
      </c>
    </row>
    <row r="518" spans="1:20" ht="23.25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1608</v>
      </c>
      <c r="E518" s="27" t="s">
        <v>1609</v>
      </c>
      <c r="F518" s="29" t="s">
        <v>51</v>
      </c>
      <c r="G518" s="67" t="s">
        <v>59</v>
      </c>
      <c r="H518" s="36" t="s">
        <v>1610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1611</v>
      </c>
    </row>
    <row r="519" spans="1:20" ht="23.25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1612</v>
      </c>
      <c r="E519" s="30" t="s">
        <v>1613</v>
      </c>
      <c r="F519" s="74" t="s">
        <v>51</v>
      </c>
      <c r="G519" s="45" t="s">
        <v>59</v>
      </c>
      <c r="H519" s="38" t="s">
        <v>1614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3.25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1615</v>
      </c>
      <c r="E520" s="27" t="s">
        <v>1616</v>
      </c>
      <c r="F520" s="66" t="s">
        <v>22</v>
      </c>
      <c r="G520" s="20" t="s">
        <v>34</v>
      </c>
      <c r="H520" s="36" t="s">
        <v>1617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3.25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1618</v>
      </c>
      <c r="E521" s="30" t="s">
        <v>1619</v>
      </c>
      <c r="F521" s="74" t="s">
        <v>51</v>
      </c>
      <c r="G521" s="21" t="s">
        <v>59</v>
      </c>
      <c r="H521" s="38" t="s">
        <v>1620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3.25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1621</v>
      </c>
      <c r="E522" s="27" t="s">
        <v>1622</v>
      </c>
      <c r="F522" s="29" t="s">
        <v>22</v>
      </c>
      <c r="G522" s="20" t="s">
        <v>34</v>
      </c>
      <c r="H522" s="36" t="s">
        <v>1623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3.25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1602</v>
      </c>
      <c r="E523" s="30" t="s">
        <v>1624</v>
      </c>
      <c r="F523" s="74" t="s">
        <v>22</v>
      </c>
      <c r="G523" s="21" t="s">
        <v>34</v>
      </c>
      <c r="H523" s="38" t="s">
        <v>1623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1625</v>
      </c>
    </row>
    <row r="524" spans="1:20" ht="23.25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1352</v>
      </c>
      <c r="E524" s="27" t="s">
        <v>1626</v>
      </c>
      <c r="F524" s="29" t="s">
        <v>22</v>
      </c>
      <c r="G524" s="20" t="s">
        <v>353</v>
      </c>
      <c r="H524" s="36" t="s">
        <v>1627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1557</v>
      </c>
      <c r="E525" s="30" t="s">
        <v>1628</v>
      </c>
      <c r="F525" s="74" t="s">
        <v>51</v>
      </c>
      <c r="G525" s="21" t="s">
        <v>59</v>
      </c>
      <c r="H525" s="38" t="s">
        <v>1629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1630</v>
      </c>
    </row>
    <row r="526" spans="1:20" ht="23.25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1561</v>
      </c>
      <c r="E526" s="27" t="s">
        <v>1631</v>
      </c>
      <c r="F526" s="29" t="s">
        <v>51</v>
      </c>
      <c r="G526" s="20" t="s">
        <v>59</v>
      </c>
      <c r="H526" s="36" t="s">
        <v>1629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3.25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1632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1633</v>
      </c>
    </row>
    <row r="528" spans="1:20" ht="23.25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1634</v>
      </c>
      <c r="E528" s="27" t="s">
        <v>1635</v>
      </c>
      <c r="F528" s="29" t="s">
        <v>22</v>
      </c>
      <c r="G528" s="20" t="s">
        <v>34</v>
      </c>
      <c r="H528" s="36" t="s">
        <v>1636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1637</v>
      </c>
    </row>
    <row r="529" spans="1:20" ht="23.25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1638</v>
      </c>
      <c r="E529" s="30" t="s">
        <v>1639</v>
      </c>
      <c r="F529" s="31" t="s">
        <v>22</v>
      </c>
      <c r="G529" s="21" t="s">
        <v>23</v>
      </c>
      <c r="H529" s="38" t="s">
        <v>1640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1641</v>
      </c>
      <c r="E530" s="27" t="s">
        <v>1642</v>
      </c>
      <c r="F530" s="29" t="s">
        <v>51</v>
      </c>
      <c r="G530" s="20" t="s">
        <v>59</v>
      </c>
      <c r="H530" s="36" t="s">
        <v>1643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3.25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1429</v>
      </c>
      <c r="E531" s="30" t="s">
        <v>1644</v>
      </c>
      <c r="F531" s="31" t="s">
        <v>51</v>
      </c>
      <c r="G531" s="21" t="s">
        <v>59</v>
      </c>
      <c r="H531" s="38" t="s">
        <v>1645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1432</v>
      </c>
    </row>
    <row r="532" spans="1:20" ht="23.25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1646</v>
      </c>
      <c r="E532" s="27" t="s">
        <v>1647</v>
      </c>
      <c r="F532" s="29" t="s">
        <v>22</v>
      </c>
      <c r="G532" s="20" t="s">
        <v>157</v>
      </c>
      <c r="H532" s="36" t="s">
        <v>1648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1649</v>
      </c>
    </row>
    <row r="533" spans="1:20" ht="23.25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1352</v>
      </c>
      <c r="E533" s="30" t="s">
        <v>1650</v>
      </c>
      <c r="F533" s="31" t="s">
        <v>22</v>
      </c>
      <c r="G533" s="21" t="s">
        <v>353</v>
      </c>
      <c r="H533" s="38" t="s">
        <v>1651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1355</v>
      </c>
    </row>
    <row r="534" spans="1:20" ht="23.25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1652</v>
      </c>
      <c r="E534" s="27" t="s">
        <v>1653</v>
      </c>
      <c r="F534" s="29" t="s">
        <v>66</v>
      </c>
      <c r="G534" s="20" t="s">
        <v>59</v>
      </c>
      <c r="H534" s="36" t="s">
        <v>1651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1654</v>
      </c>
    </row>
    <row r="535" spans="1:20" ht="23.25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1493</v>
      </c>
      <c r="E535" s="30" t="s">
        <v>1655</v>
      </c>
      <c r="F535" s="31" t="s">
        <v>66</v>
      </c>
      <c r="G535" s="21" t="s">
        <v>59</v>
      </c>
      <c r="H535" s="38" t="s">
        <v>1656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1496</v>
      </c>
    </row>
    <row r="536" spans="1:20" ht="23.25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1657</v>
      </c>
      <c r="E536" s="27" t="s">
        <v>1658</v>
      </c>
      <c r="F536" s="29" t="s">
        <v>22</v>
      </c>
      <c r="G536" s="20" t="s">
        <v>30</v>
      </c>
      <c r="H536" s="36" t="s">
        <v>1659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1660</v>
      </c>
      <c r="E537" s="30" t="s">
        <v>1661</v>
      </c>
      <c r="F537" s="31" t="s">
        <v>51</v>
      </c>
      <c r="G537" s="21" t="s">
        <v>59</v>
      </c>
      <c r="H537" s="24" t="s">
        <v>1662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3.25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1663</v>
      </c>
      <c r="E538" s="27" t="s">
        <v>1658</v>
      </c>
      <c r="F538" s="29" t="s">
        <v>22</v>
      </c>
      <c r="G538" s="20" t="s">
        <v>30</v>
      </c>
      <c r="H538" s="36" t="s">
        <v>1664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1665</v>
      </c>
      <c r="E539" s="30" t="s">
        <v>1666</v>
      </c>
      <c r="F539" s="31" t="s">
        <v>51</v>
      </c>
      <c r="G539" s="21" t="s">
        <v>59</v>
      </c>
      <c r="H539" s="38" t="s">
        <v>1667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3.25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1668</v>
      </c>
      <c r="E540" s="27" t="s">
        <v>1669</v>
      </c>
      <c r="F540" s="29" t="s">
        <v>22</v>
      </c>
      <c r="G540" s="20" t="s">
        <v>283</v>
      </c>
      <c r="H540" s="36" t="s">
        <v>1670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3.25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1671</v>
      </c>
      <c r="E541" s="30" t="s">
        <v>1672</v>
      </c>
      <c r="F541" s="31" t="s">
        <v>22</v>
      </c>
      <c r="G541" s="21" t="s">
        <v>23</v>
      </c>
      <c r="H541" s="24" t="s">
        <v>1673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1450</v>
      </c>
    </row>
    <row r="542" spans="1:20" ht="23.25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1674</v>
      </c>
      <c r="E542" s="27" t="s">
        <v>1675</v>
      </c>
      <c r="F542" s="29" t="s">
        <v>66</v>
      </c>
      <c r="G542" s="20" t="s">
        <v>59</v>
      </c>
      <c r="H542" s="22" t="s">
        <v>1676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1327</v>
      </c>
    </row>
    <row r="543" spans="1:20" ht="23.25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1677</v>
      </c>
      <c r="E543" s="30" t="s">
        <v>1678</v>
      </c>
      <c r="F543" s="31" t="s">
        <v>22</v>
      </c>
      <c r="G543" s="21" t="s">
        <v>34</v>
      </c>
      <c r="H543" s="38" t="s">
        <v>1679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1359</v>
      </c>
    </row>
    <row r="544" spans="1:20" ht="23.25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1680</v>
      </c>
      <c r="E544" s="27" t="s">
        <v>1681</v>
      </c>
      <c r="F544" s="29" t="s">
        <v>22</v>
      </c>
      <c r="G544" s="20" t="s">
        <v>1316</v>
      </c>
      <c r="H544" s="36" t="s">
        <v>1682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1334</v>
      </c>
    </row>
    <row r="545" spans="1:20" ht="23.25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1683</v>
      </c>
      <c r="E545" s="30" t="s">
        <v>1684</v>
      </c>
      <c r="F545" s="31" t="s">
        <v>51</v>
      </c>
      <c r="G545" s="21" t="s">
        <v>59</v>
      </c>
      <c r="H545" s="24" t="s">
        <v>1685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3.25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1686</v>
      </c>
      <c r="E546" s="27" t="s">
        <v>1687</v>
      </c>
      <c r="F546" s="29" t="s">
        <v>22</v>
      </c>
      <c r="G546" s="20" t="s">
        <v>34</v>
      </c>
      <c r="H546" s="36" t="s">
        <v>1688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3.25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1689</v>
      </c>
      <c r="E547" s="30" t="s">
        <v>1690</v>
      </c>
      <c r="F547" s="31" t="s">
        <v>22</v>
      </c>
      <c r="G547" s="21" t="s">
        <v>23</v>
      </c>
      <c r="H547" s="24" t="s">
        <v>1691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1524</v>
      </c>
    </row>
    <row r="548" spans="1:20" ht="23.25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1692</v>
      </c>
      <c r="E548" s="27" t="s">
        <v>1693</v>
      </c>
      <c r="F548" s="29" t="s">
        <v>66</v>
      </c>
      <c r="G548" s="20" t="s">
        <v>59</v>
      </c>
      <c r="H548" s="36" t="s">
        <v>1694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3.25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1695</v>
      </c>
      <c r="E549" s="30" t="s">
        <v>1696</v>
      </c>
      <c r="F549" s="31" t="s">
        <v>51</v>
      </c>
      <c r="G549" s="21" t="s">
        <v>59</v>
      </c>
      <c r="H549" s="38" t="s">
        <v>1697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3.25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1698</v>
      </c>
      <c r="E550" s="27" t="s">
        <v>1699</v>
      </c>
      <c r="F550" s="29" t="s">
        <v>22</v>
      </c>
      <c r="G550" s="20" t="s">
        <v>34</v>
      </c>
      <c r="H550" s="36" t="s">
        <v>1700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1701</v>
      </c>
    </row>
    <row r="551" spans="1:20" ht="23.25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1702</v>
      </c>
      <c r="E551" s="30" t="s">
        <v>1703</v>
      </c>
      <c r="F551" s="31" t="s">
        <v>22</v>
      </c>
      <c r="G551" s="21" t="s">
        <v>23</v>
      </c>
      <c r="H551" s="76" t="s">
        <v>1704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1705</v>
      </c>
    </row>
    <row r="552" spans="1:20" ht="23.25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1706</v>
      </c>
      <c r="E552" s="27" t="s">
        <v>1707</v>
      </c>
      <c r="F552" s="29" t="s">
        <v>66</v>
      </c>
      <c r="G552" s="20" t="s">
        <v>59</v>
      </c>
      <c r="H552" s="36" t="s">
        <v>1708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3.25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1689</v>
      </c>
      <c r="E553" s="30" t="s">
        <v>1709</v>
      </c>
      <c r="F553" s="31" t="s">
        <v>51</v>
      </c>
      <c r="G553" s="21" t="s">
        <v>59</v>
      </c>
      <c r="H553" s="21" t="s">
        <v>1710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1524</v>
      </c>
    </row>
    <row r="554" spans="1:20" ht="23.25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1711</v>
      </c>
      <c r="E554" s="27" t="s">
        <v>1712</v>
      </c>
      <c r="F554" s="29" t="s">
        <v>22</v>
      </c>
      <c r="G554" s="20" t="s">
        <v>30</v>
      </c>
      <c r="H554" s="20" t="s">
        <v>1713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3.25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1714</v>
      </c>
      <c r="E555" s="30" t="s">
        <v>1715</v>
      </c>
      <c r="F555" s="31" t="s">
        <v>66</v>
      </c>
      <c r="G555" s="21" t="s">
        <v>59</v>
      </c>
      <c r="H555" s="38" t="s">
        <v>1716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1633</v>
      </c>
    </row>
    <row r="556" spans="1:20" ht="23.25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1717</v>
      </c>
      <c r="F556" s="29" t="s">
        <v>66</v>
      </c>
      <c r="G556" s="20" t="s">
        <v>59</v>
      </c>
      <c r="H556" s="36" t="s">
        <v>1718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1719</v>
      </c>
    </row>
    <row r="557" spans="1:20" ht="23.25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1720</v>
      </c>
      <c r="E557" s="30" t="s">
        <v>1721</v>
      </c>
      <c r="F557" s="31" t="s">
        <v>66</v>
      </c>
      <c r="G557" s="21" t="s">
        <v>59</v>
      </c>
      <c r="H557" s="38" t="s">
        <v>1722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1633</v>
      </c>
    </row>
    <row r="558" spans="1:20" ht="23.25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1723</v>
      </c>
      <c r="E558" s="27" t="s">
        <v>1724</v>
      </c>
      <c r="F558" s="29" t="s">
        <v>22</v>
      </c>
      <c r="G558" s="20" t="s">
        <v>283</v>
      </c>
      <c r="H558" s="36" t="s">
        <v>1725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3.25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1660</v>
      </c>
      <c r="E559" s="30" t="s">
        <v>1019</v>
      </c>
      <c r="F559" s="31" t="s">
        <v>51</v>
      </c>
      <c r="G559" s="21" t="s">
        <v>59</v>
      </c>
      <c r="H559" s="38" t="s">
        <v>1726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3.25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1727</v>
      </c>
      <c r="E560" s="27" t="s">
        <v>1728</v>
      </c>
      <c r="F560" s="29" t="s">
        <v>22</v>
      </c>
      <c r="G560" s="20" t="s">
        <v>23</v>
      </c>
      <c r="H560" s="36" t="s">
        <v>1729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1730</v>
      </c>
    </row>
    <row r="561" spans="1:20" ht="23.25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1731</v>
      </c>
      <c r="E561" s="30" t="s">
        <v>1732</v>
      </c>
      <c r="F561" s="31" t="s">
        <v>22</v>
      </c>
      <c r="G561" s="21" t="s">
        <v>34</v>
      </c>
      <c r="H561" s="38" t="s">
        <v>1733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1734</v>
      </c>
    </row>
    <row r="562" spans="1:20" ht="23.25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1735</v>
      </c>
      <c r="E562" s="27" t="s">
        <v>1736</v>
      </c>
      <c r="F562" s="29" t="s">
        <v>51</v>
      </c>
      <c r="G562" s="20" t="s">
        <v>59</v>
      </c>
      <c r="H562" s="36" t="s">
        <v>1737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3.25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1738</v>
      </c>
      <c r="E563" s="30" t="s">
        <v>1631</v>
      </c>
      <c r="F563" s="31" t="s">
        <v>51</v>
      </c>
      <c r="G563" s="21" t="s">
        <v>59</v>
      </c>
      <c r="H563" s="38" t="s">
        <v>1739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3.25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1740</v>
      </c>
      <c r="E564" s="27" t="s">
        <v>1741</v>
      </c>
      <c r="F564" s="29" t="s">
        <v>51</v>
      </c>
      <c r="G564" s="20" t="s">
        <v>59</v>
      </c>
      <c r="H564" s="77" t="s">
        <v>1742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1630</v>
      </c>
    </row>
    <row r="565" spans="1:20" ht="23.25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1743</v>
      </c>
      <c r="E565" s="30" t="s">
        <v>1744</v>
      </c>
      <c r="F565" s="31" t="s">
        <v>22</v>
      </c>
      <c r="G565" s="21" t="s">
        <v>30</v>
      </c>
      <c r="H565" s="38" t="s">
        <v>1745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1746</v>
      </c>
    </row>
    <row r="566" spans="1:20" ht="23.25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1747</v>
      </c>
      <c r="E566" s="27" t="s">
        <v>1748</v>
      </c>
      <c r="F566" s="29" t="s">
        <v>51</v>
      </c>
      <c r="G566" s="20" t="s">
        <v>30</v>
      </c>
      <c r="H566" s="36" t="s">
        <v>1749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1750</v>
      </c>
    </row>
    <row r="567" spans="1:20" ht="23.25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1698</v>
      </c>
      <c r="E567" s="30" t="s">
        <v>1751</v>
      </c>
      <c r="F567" s="31" t="s">
        <v>22</v>
      </c>
      <c r="G567" s="21" t="s">
        <v>34</v>
      </c>
      <c r="H567" s="38" t="s">
        <v>1752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1701</v>
      </c>
    </row>
    <row r="568" spans="1:20" ht="23.25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1740</v>
      </c>
      <c r="E568" s="27" t="s">
        <v>1753</v>
      </c>
      <c r="F568" s="29" t="s">
        <v>51</v>
      </c>
      <c r="G568" s="20" t="s">
        <v>59</v>
      </c>
      <c r="H568" s="77" t="s">
        <v>1754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1630</v>
      </c>
    </row>
    <row r="569" spans="1:20" ht="23.25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1755</v>
      </c>
      <c r="E569" s="30" t="s">
        <v>1756</v>
      </c>
      <c r="F569" s="31" t="s">
        <v>51</v>
      </c>
      <c r="G569" s="21" t="s">
        <v>59</v>
      </c>
      <c r="H569" s="38" t="s">
        <v>1757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3.25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1758</v>
      </c>
      <c r="E570" s="27" t="s">
        <v>1759</v>
      </c>
      <c r="F570" s="29" t="s">
        <v>22</v>
      </c>
      <c r="G570" s="20" t="s">
        <v>34</v>
      </c>
      <c r="H570" s="36" t="s">
        <v>1760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1359</v>
      </c>
    </row>
    <row r="571" spans="1:20" ht="23.25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1761</v>
      </c>
      <c r="E571" s="30" t="s">
        <v>1762</v>
      </c>
      <c r="F571" s="31" t="s">
        <v>22</v>
      </c>
      <c r="G571" s="46" t="s">
        <v>157</v>
      </c>
      <c r="H571" s="38" t="s">
        <v>1763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1764</v>
      </c>
    </row>
    <row r="572" spans="1:20" ht="23.25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1765</v>
      </c>
      <c r="E572" s="27" t="s">
        <v>1766</v>
      </c>
      <c r="F572" s="29" t="s">
        <v>22</v>
      </c>
      <c r="G572" s="54" t="s">
        <v>157</v>
      </c>
      <c r="H572" s="36" t="s">
        <v>1767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1768</v>
      </c>
      <c r="E573" s="30" t="s">
        <v>1311</v>
      </c>
      <c r="F573" s="31" t="s">
        <v>51</v>
      </c>
      <c r="G573" s="21" t="s">
        <v>59</v>
      </c>
      <c r="H573" s="38" t="s">
        <v>1769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4.75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1770</v>
      </c>
      <c r="E574" s="27" t="s">
        <v>1771</v>
      </c>
      <c r="F574" s="29" t="s">
        <v>22</v>
      </c>
      <c r="G574" s="20" t="s">
        <v>353</v>
      </c>
      <c r="H574" s="36" t="s">
        <v>1772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3.25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1695</v>
      </c>
      <c r="E575" s="30" t="s">
        <v>1773</v>
      </c>
      <c r="F575" s="31" t="s">
        <v>51</v>
      </c>
      <c r="G575" s="21" t="s">
        <v>59</v>
      </c>
      <c r="H575" s="38" t="s">
        <v>1774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3.25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1775</v>
      </c>
      <c r="E576" s="27" t="s">
        <v>1776</v>
      </c>
      <c r="F576" s="29" t="s">
        <v>66</v>
      </c>
      <c r="G576" s="20" t="s">
        <v>59</v>
      </c>
      <c r="H576" s="36" t="s">
        <v>1777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1633</v>
      </c>
    </row>
    <row r="577" spans="1:20" ht="23.25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1778</v>
      </c>
      <c r="E577" s="30" t="s">
        <v>1779</v>
      </c>
      <c r="F577" s="31" t="s">
        <v>22</v>
      </c>
      <c r="G577" s="46" t="s">
        <v>157</v>
      </c>
      <c r="H577" s="38" t="s">
        <v>1780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1781</v>
      </c>
    </row>
    <row r="578" spans="1:20" ht="23.25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1782</v>
      </c>
      <c r="E578" s="27" t="s">
        <v>1783</v>
      </c>
      <c r="F578" s="29" t="s">
        <v>66</v>
      </c>
      <c r="G578" s="20" t="s">
        <v>59</v>
      </c>
      <c r="H578" s="36" t="s">
        <v>1784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1785</v>
      </c>
    </row>
    <row r="579" spans="1:20" ht="23.25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1782</v>
      </c>
      <c r="E579" s="30" t="s">
        <v>1786</v>
      </c>
      <c r="F579" s="31" t="s">
        <v>66</v>
      </c>
      <c r="G579" s="21" t="s">
        <v>59</v>
      </c>
      <c r="H579" s="76" t="s">
        <v>1787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1785</v>
      </c>
    </row>
    <row r="580" spans="1:20" ht="23.25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1788</v>
      </c>
      <c r="E580" s="27" t="s">
        <v>1789</v>
      </c>
      <c r="F580" s="29" t="s">
        <v>22</v>
      </c>
      <c r="G580" s="20" t="s">
        <v>34</v>
      </c>
      <c r="H580" s="36" t="s">
        <v>1790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1791</v>
      </c>
    </row>
    <row r="581" spans="1:20" ht="23.25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1792</v>
      </c>
      <c r="E581" s="30" t="s">
        <v>1793</v>
      </c>
      <c r="F581" s="31" t="s">
        <v>22</v>
      </c>
      <c r="G581" s="46" t="s">
        <v>56</v>
      </c>
      <c r="H581" s="38" t="s">
        <v>1794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1591</v>
      </c>
    </row>
    <row r="582" spans="1:20" ht="23.25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1795</v>
      </c>
      <c r="E582" s="27" t="s">
        <v>1796</v>
      </c>
      <c r="F582" s="29" t="s">
        <v>22</v>
      </c>
      <c r="G582" s="20" t="s">
        <v>353</v>
      </c>
      <c r="H582" s="36" t="s">
        <v>1797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3.25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1680</v>
      </c>
      <c r="E583" s="30" t="s">
        <v>1798</v>
      </c>
      <c r="F583" s="31" t="s">
        <v>22</v>
      </c>
      <c r="G583" s="21" t="s">
        <v>1316</v>
      </c>
      <c r="H583" s="38" t="s">
        <v>1799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1334</v>
      </c>
    </row>
    <row r="584" spans="1:20" ht="36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1800</v>
      </c>
      <c r="E584" s="27" t="s">
        <v>1801</v>
      </c>
      <c r="F584" s="29" t="s">
        <v>66</v>
      </c>
      <c r="G584" s="20" t="s">
        <v>59</v>
      </c>
      <c r="H584" s="36" t="s">
        <v>1802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1633</v>
      </c>
    </row>
    <row r="585" spans="1:20" ht="23.25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1803</v>
      </c>
      <c r="E585" s="30" t="s">
        <v>1804</v>
      </c>
      <c r="F585" s="31" t="s">
        <v>22</v>
      </c>
      <c r="G585" s="46" t="s">
        <v>56</v>
      </c>
      <c r="H585" s="38" t="s">
        <v>1805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3.25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1806</v>
      </c>
      <c r="E586" s="27" t="s">
        <v>1548</v>
      </c>
      <c r="F586" s="29" t="s">
        <v>66</v>
      </c>
      <c r="G586" s="20" t="s">
        <v>59</v>
      </c>
      <c r="H586" s="36" t="s">
        <v>1807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1550</v>
      </c>
    </row>
    <row r="587" spans="1:20" ht="23.25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1758</v>
      </c>
      <c r="E587" s="30" t="s">
        <v>1808</v>
      </c>
      <c r="F587" s="31" t="s">
        <v>22</v>
      </c>
      <c r="G587" s="21" t="s">
        <v>34</v>
      </c>
      <c r="H587" s="38" t="s">
        <v>1809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1359</v>
      </c>
    </row>
    <row r="588" spans="1:20" ht="23.25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1810</v>
      </c>
      <c r="E588" s="27" t="s">
        <v>1811</v>
      </c>
      <c r="F588" s="29" t="s">
        <v>22</v>
      </c>
      <c r="G588" s="20" t="s">
        <v>283</v>
      </c>
      <c r="H588" s="36" t="s">
        <v>1812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1813</v>
      </c>
    </row>
    <row r="589" spans="1:20" ht="23.25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1814</v>
      </c>
      <c r="E589" s="30" t="s">
        <v>1815</v>
      </c>
      <c r="F589" s="31" t="s">
        <v>22</v>
      </c>
      <c r="G589" s="46" t="s">
        <v>56</v>
      </c>
      <c r="H589" s="38" t="s">
        <v>1816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167</v>
      </c>
    </row>
    <row r="590" spans="1:20" ht="23.25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1817</v>
      </c>
      <c r="E590" s="27" t="s">
        <v>1818</v>
      </c>
      <c r="F590" s="29" t="s">
        <v>22</v>
      </c>
      <c r="G590" s="54" t="s">
        <v>56</v>
      </c>
      <c r="H590" s="36" t="s">
        <v>1819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1820</v>
      </c>
    </row>
    <row r="591" spans="1:20" ht="23.25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1821</v>
      </c>
      <c r="E591" s="30" t="s">
        <v>1822</v>
      </c>
      <c r="F591" s="31" t="s">
        <v>66</v>
      </c>
      <c r="G591" s="21" t="s">
        <v>59</v>
      </c>
      <c r="H591" s="38" t="s">
        <v>1823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3.25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1824</v>
      </c>
      <c r="E592" s="27" t="s">
        <v>1825</v>
      </c>
      <c r="F592" s="29" t="s">
        <v>22</v>
      </c>
      <c r="G592" s="20" t="s">
        <v>30</v>
      </c>
      <c r="H592" s="36" t="s">
        <v>1826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1827</v>
      </c>
    </row>
    <row r="593" spans="1:20" ht="23.25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1828</v>
      </c>
      <c r="E593" s="30" t="s">
        <v>1829</v>
      </c>
      <c r="F593" s="31" t="s">
        <v>22</v>
      </c>
      <c r="G593" s="21" t="s">
        <v>34</v>
      </c>
      <c r="H593" s="78" t="s">
        <v>1830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1831</v>
      </c>
    </row>
    <row r="594" spans="1:20" ht="23.25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1832</v>
      </c>
      <c r="E594" s="27" t="s">
        <v>1833</v>
      </c>
      <c r="F594" s="29" t="s">
        <v>51</v>
      </c>
      <c r="G594" s="20" t="s">
        <v>59</v>
      </c>
      <c r="H594" s="36" t="s">
        <v>1834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1835</v>
      </c>
    </row>
    <row r="595" spans="1:20" ht="23.25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1836</v>
      </c>
      <c r="E595" s="30" t="s">
        <v>1837</v>
      </c>
      <c r="F595" s="31" t="s">
        <v>66</v>
      </c>
      <c r="G595" s="21" t="s">
        <v>59</v>
      </c>
      <c r="H595" s="38" t="s">
        <v>1838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3.25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1839</v>
      </c>
      <c r="E596" s="65" t="s">
        <v>1653</v>
      </c>
      <c r="F596" s="29" t="s">
        <v>66</v>
      </c>
      <c r="G596" s="67" t="s">
        <v>59</v>
      </c>
      <c r="H596" s="68" t="s">
        <v>1840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1841</v>
      </c>
    </row>
    <row r="597" spans="1:20" ht="23.25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1842</v>
      </c>
      <c r="E597" s="30" t="s">
        <v>1843</v>
      </c>
      <c r="F597" s="31" t="s">
        <v>51</v>
      </c>
      <c r="G597" s="21" t="s">
        <v>59</v>
      </c>
      <c r="H597" s="38" t="s">
        <v>1844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3.25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1845</v>
      </c>
      <c r="E598" s="65" t="s">
        <v>1846</v>
      </c>
      <c r="F598" s="66" t="s">
        <v>66</v>
      </c>
      <c r="G598" s="67" t="s">
        <v>59</v>
      </c>
      <c r="H598" s="68" t="s">
        <v>1847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1848</v>
      </c>
    </row>
    <row r="599" spans="1:20" ht="23.25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1849</v>
      </c>
      <c r="E599" s="58" t="s">
        <v>1850</v>
      </c>
      <c r="F599" s="74" t="s">
        <v>22</v>
      </c>
      <c r="G599" s="80" t="s">
        <v>56</v>
      </c>
      <c r="H599" s="59" t="s">
        <v>1851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1852</v>
      </c>
    </row>
    <row r="600" spans="1:20" ht="23.25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1853</v>
      </c>
      <c r="E600" s="65" t="s">
        <v>1854</v>
      </c>
      <c r="F600" s="66" t="s">
        <v>51</v>
      </c>
      <c r="G600" s="67" t="s">
        <v>59</v>
      </c>
      <c r="H600" s="262" t="s">
        <v>1855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1856</v>
      </c>
    </row>
    <row r="601" spans="1:20" ht="23.25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1824</v>
      </c>
      <c r="E601" s="58" t="s">
        <v>1857</v>
      </c>
      <c r="F601" s="74" t="s">
        <v>22</v>
      </c>
      <c r="G601" s="45" t="s">
        <v>30</v>
      </c>
      <c r="H601" s="59" t="s">
        <v>1858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1827</v>
      </c>
    </row>
    <row r="602" spans="1:20" ht="23.25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1859</v>
      </c>
      <c r="E602" s="27" t="s">
        <v>1860</v>
      </c>
      <c r="F602" s="66" t="s">
        <v>22</v>
      </c>
      <c r="G602" s="79" t="s">
        <v>56</v>
      </c>
      <c r="H602" s="36" t="s">
        <v>1861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1524</v>
      </c>
    </row>
    <row r="603" spans="1:20" ht="23.25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1862</v>
      </c>
      <c r="E603" s="30" t="s">
        <v>1863</v>
      </c>
      <c r="F603" s="74" t="s">
        <v>22</v>
      </c>
      <c r="G603" s="45" t="s">
        <v>56</v>
      </c>
      <c r="H603" s="76" t="s">
        <v>1864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3.25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1865</v>
      </c>
      <c r="E604" s="27" t="s">
        <v>1866</v>
      </c>
      <c r="F604" s="66" t="s">
        <v>22</v>
      </c>
      <c r="G604" s="67" t="s">
        <v>34</v>
      </c>
      <c r="H604" s="77" t="s">
        <v>1867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1868</v>
      </c>
    </row>
    <row r="605" spans="1:20" ht="23.25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1832</v>
      </c>
      <c r="E605" s="30" t="s">
        <v>1869</v>
      </c>
      <c r="F605" s="31" t="s">
        <v>51</v>
      </c>
      <c r="G605" s="21" t="s">
        <v>59</v>
      </c>
      <c r="H605" s="38" t="s">
        <v>1870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1871</v>
      </c>
    </row>
    <row r="606" spans="1:20" ht="23.25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1872</v>
      </c>
      <c r="E606" s="27" t="s">
        <v>1873</v>
      </c>
      <c r="F606" s="29" t="s">
        <v>22</v>
      </c>
      <c r="G606" s="54" t="s">
        <v>157</v>
      </c>
      <c r="H606" s="36" t="s">
        <v>1874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1875</v>
      </c>
    </row>
    <row r="607" spans="1:20" ht="23.25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1872</v>
      </c>
      <c r="E607" s="30" t="s">
        <v>1876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1877</v>
      </c>
    </row>
    <row r="608" spans="1:20" ht="23.25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1878</v>
      </c>
      <c r="E608" s="27" t="s">
        <v>1879</v>
      </c>
      <c r="F608" s="29" t="s">
        <v>22</v>
      </c>
      <c r="G608" s="54" t="s">
        <v>157</v>
      </c>
      <c r="H608" s="36" t="s">
        <v>1880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3.25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1881</v>
      </c>
      <c r="E609" s="30" t="s">
        <v>1882</v>
      </c>
      <c r="F609" s="31" t="s">
        <v>22</v>
      </c>
      <c r="G609" s="21" t="s">
        <v>23</v>
      </c>
      <c r="H609" s="38" t="s">
        <v>1883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1884</v>
      </c>
    </row>
    <row r="610" spans="1:20" ht="23.25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1806</v>
      </c>
      <c r="E610" s="82" t="s">
        <v>1885</v>
      </c>
      <c r="F610" s="29" t="s">
        <v>66</v>
      </c>
      <c r="G610" s="20" t="s">
        <v>59</v>
      </c>
      <c r="H610" s="36" t="s">
        <v>1886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1550</v>
      </c>
    </row>
    <row r="611" spans="1:20" ht="23.25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1887</v>
      </c>
      <c r="E611" s="30" t="s">
        <v>1888</v>
      </c>
      <c r="F611" s="74" t="s">
        <v>22</v>
      </c>
      <c r="G611" s="45" t="s">
        <v>34</v>
      </c>
      <c r="H611" s="38" t="s">
        <v>1889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1890</v>
      </c>
    </row>
    <row r="612" spans="1:20" ht="23.25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1891</v>
      </c>
      <c r="E612" s="27" t="s">
        <v>1892</v>
      </c>
      <c r="F612" s="83" t="s">
        <v>22</v>
      </c>
      <c r="G612" s="54" t="s">
        <v>157</v>
      </c>
      <c r="H612" s="36" t="s">
        <v>1893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1894</v>
      </c>
    </row>
    <row r="613" spans="1:20" ht="23.25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1891</v>
      </c>
      <c r="E613" s="30" t="s">
        <v>1895</v>
      </c>
      <c r="F613" s="31" t="s">
        <v>22</v>
      </c>
      <c r="G613" s="21" t="s">
        <v>157</v>
      </c>
      <c r="H613" s="24" t="s">
        <v>1893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1896</v>
      </c>
    </row>
    <row r="614" spans="1:20" ht="23.25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1897</v>
      </c>
      <c r="E614" s="27" t="s">
        <v>1898</v>
      </c>
      <c r="F614" s="29" t="s">
        <v>51</v>
      </c>
      <c r="G614" s="20" t="s">
        <v>59</v>
      </c>
      <c r="H614" s="36" t="s">
        <v>1899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3.25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1900</v>
      </c>
      <c r="E615" s="75" t="s">
        <v>1901</v>
      </c>
      <c r="F615" s="31" t="s">
        <v>51</v>
      </c>
      <c r="G615" s="21" t="s">
        <v>59</v>
      </c>
      <c r="H615" s="38" t="s">
        <v>1902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3.25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1853</v>
      </c>
      <c r="E616" s="82" t="s">
        <v>1903</v>
      </c>
      <c r="F616" s="29" t="s">
        <v>51</v>
      </c>
      <c r="G616" s="20" t="s">
        <v>59</v>
      </c>
      <c r="H616" s="36" t="s">
        <v>1904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1856</v>
      </c>
    </row>
    <row r="617" spans="1:20" ht="23.25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1905</v>
      </c>
      <c r="E617" s="30" t="s">
        <v>1906</v>
      </c>
      <c r="F617" s="31" t="s">
        <v>51</v>
      </c>
      <c r="G617" s="21" t="s">
        <v>59</v>
      </c>
      <c r="H617" s="38" t="s">
        <v>1907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1908</v>
      </c>
    </row>
    <row r="618" spans="1:20" ht="23.25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1909</v>
      </c>
      <c r="E618" s="27" t="s">
        <v>1910</v>
      </c>
      <c r="F618" s="29" t="s">
        <v>51</v>
      </c>
      <c r="G618" s="20" t="s">
        <v>59</v>
      </c>
      <c r="H618" s="36" t="s">
        <v>1911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1912</v>
      </c>
    </row>
    <row r="619" spans="1:20" ht="23.25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1913</v>
      </c>
      <c r="E619" s="30" t="s">
        <v>1914</v>
      </c>
      <c r="F619" s="31" t="s">
        <v>51</v>
      </c>
      <c r="G619" s="21" t="s">
        <v>59</v>
      </c>
      <c r="H619" s="38" t="s">
        <v>1911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1478</v>
      </c>
    </row>
    <row r="620" spans="1:20" ht="23.25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1915</v>
      </c>
      <c r="E620" s="27" t="s">
        <v>1916</v>
      </c>
      <c r="F620" s="29" t="s">
        <v>51</v>
      </c>
      <c r="G620" s="20" t="s">
        <v>59</v>
      </c>
      <c r="H620" s="36" t="s">
        <v>1917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1591</v>
      </c>
    </row>
    <row r="621" spans="1:20" ht="23.25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1918</v>
      </c>
      <c r="E621" s="30" t="s">
        <v>1919</v>
      </c>
      <c r="F621" s="31" t="s">
        <v>22</v>
      </c>
      <c r="G621" s="46" t="s">
        <v>157</v>
      </c>
      <c r="H621" s="38" t="s">
        <v>1920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1921</v>
      </c>
    </row>
    <row r="622" spans="1:20" ht="23.25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1810</v>
      </c>
      <c r="E622" s="27" t="s">
        <v>1922</v>
      </c>
      <c r="F622" s="29" t="s">
        <v>22</v>
      </c>
      <c r="G622" s="20" t="s">
        <v>283</v>
      </c>
      <c r="H622" s="36" t="s">
        <v>1923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1813</v>
      </c>
    </row>
    <row r="623" spans="1:20" ht="23.25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1924</v>
      </c>
      <c r="E623" s="30" t="s">
        <v>1925</v>
      </c>
      <c r="F623" s="31" t="s">
        <v>22</v>
      </c>
      <c r="G623" s="21" t="s">
        <v>34</v>
      </c>
      <c r="H623" s="38" t="s">
        <v>1926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1927</v>
      </c>
    </row>
    <row r="624" spans="1:20" ht="23.25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1782</v>
      </c>
      <c r="E624" s="27" t="s">
        <v>1928</v>
      </c>
      <c r="F624" s="83" t="s">
        <v>66</v>
      </c>
      <c r="G624" s="54" t="s">
        <v>59</v>
      </c>
      <c r="H624" s="36" t="s">
        <v>1929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1785</v>
      </c>
    </row>
    <row r="625" spans="1:20" ht="23.25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1839</v>
      </c>
      <c r="E625" s="30" t="s">
        <v>1930</v>
      </c>
      <c r="F625" s="31" t="s">
        <v>66</v>
      </c>
      <c r="G625" s="21" t="s">
        <v>59</v>
      </c>
      <c r="H625" s="38" t="s">
        <v>1931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1841</v>
      </c>
    </row>
    <row r="626" spans="1:20" ht="23.25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1782</v>
      </c>
      <c r="E626" s="27" t="s">
        <v>1932</v>
      </c>
      <c r="F626" s="29" t="s">
        <v>66</v>
      </c>
      <c r="G626" s="54" t="s">
        <v>59</v>
      </c>
      <c r="H626" s="36" t="s">
        <v>1931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1785</v>
      </c>
    </row>
    <row r="627" spans="1:20" ht="23.25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1933</v>
      </c>
      <c r="E627" s="30" t="s">
        <v>1934</v>
      </c>
      <c r="F627" s="84" t="s">
        <v>22</v>
      </c>
      <c r="G627" s="46" t="s">
        <v>157</v>
      </c>
      <c r="H627" s="38" t="s">
        <v>1935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7" t="s">
        <v>1937</v>
      </c>
      <c r="F628" s="29" t="s">
        <v>22</v>
      </c>
      <c r="G628" s="20" t="s">
        <v>34</v>
      </c>
      <c r="H628" s="36" t="s">
        <v>1938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1939</v>
      </c>
      <c r="T628" s="20" t="s">
        <v>1940</v>
      </c>
    </row>
    <row r="629" spans="1:20" ht="23.25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1941</v>
      </c>
      <c r="E629" s="30" t="s">
        <v>1942</v>
      </c>
      <c r="F629" s="31" t="s">
        <v>51</v>
      </c>
      <c r="G629" s="21" t="s">
        <v>59</v>
      </c>
      <c r="H629" s="38" t="s">
        <v>1943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1944</v>
      </c>
    </row>
    <row r="630" spans="1:20" ht="23.25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1945</v>
      </c>
      <c r="E630" s="27" t="s">
        <v>1946</v>
      </c>
      <c r="F630" s="29" t="s">
        <v>66</v>
      </c>
      <c r="G630" s="20" t="s">
        <v>59</v>
      </c>
      <c r="H630" s="36" t="s">
        <v>1947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3.25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1859</v>
      </c>
      <c r="E631" s="30" t="s">
        <v>1948</v>
      </c>
      <c r="F631" s="31" t="s">
        <v>22</v>
      </c>
      <c r="G631" s="46" t="s">
        <v>56</v>
      </c>
      <c r="H631" s="38" t="s">
        <v>1949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1524</v>
      </c>
    </row>
    <row r="632" spans="1:20" ht="23.25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1950</v>
      </c>
      <c r="E632" s="82" t="s">
        <v>1951</v>
      </c>
      <c r="F632" s="29" t="s">
        <v>22</v>
      </c>
      <c r="G632" s="20" t="s">
        <v>34</v>
      </c>
      <c r="H632" s="77" t="s">
        <v>1952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1953</v>
      </c>
    </row>
    <row r="633" spans="1:20" ht="23.25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1954</v>
      </c>
      <c r="E633" s="30" t="s">
        <v>1955</v>
      </c>
      <c r="F633" s="31" t="s">
        <v>51</v>
      </c>
      <c r="G633" s="21" t="s">
        <v>59</v>
      </c>
      <c r="H633" s="38" t="s">
        <v>1956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1848</v>
      </c>
    </row>
    <row r="634" spans="1:20" ht="23.25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1957</v>
      </c>
      <c r="E634" s="27" t="s">
        <v>1958</v>
      </c>
      <c r="F634" s="83" t="s">
        <v>22</v>
      </c>
      <c r="G634" s="54" t="s">
        <v>157</v>
      </c>
      <c r="H634" s="36" t="s">
        <v>1959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1747</v>
      </c>
      <c r="E635" s="30" t="s">
        <v>1960</v>
      </c>
      <c r="F635" s="31" t="s">
        <v>51</v>
      </c>
      <c r="G635" s="21" t="s">
        <v>30</v>
      </c>
      <c r="H635" s="38" t="s">
        <v>1961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1750</v>
      </c>
    </row>
    <row r="636" spans="1:20" ht="31.5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1962</v>
      </c>
      <c r="E636" s="82" t="s">
        <v>1963</v>
      </c>
      <c r="F636" s="29" t="s">
        <v>51</v>
      </c>
      <c r="G636" s="20" t="s">
        <v>59</v>
      </c>
      <c r="H636" s="36" t="s">
        <v>1964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1965</v>
      </c>
    </row>
    <row r="637" spans="1:20" ht="23.25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1966</v>
      </c>
      <c r="E637" s="30" t="s">
        <v>1967</v>
      </c>
      <c r="F637" s="31" t="s">
        <v>66</v>
      </c>
      <c r="G637" s="21" t="s">
        <v>59</v>
      </c>
      <c r="H637" s="263" t="s">
        <v>1968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1969</v>
      </c>
    </row>
    <row r="638" spans="1:20" ht="23.25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1970</v>
      </c>
      <c r="E638" s="27" t="s">
        <v>1971</v>
      </c>
      <c r="F638" s="29" t="s">
        <v>22</v>
      </c>
      <c r="G638" s="20" t="s">
        <v>30</v>
      </c>
      <c r="H638" s="36" t="s">
        <v>1972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1939</v>
      </c>
      <c r="T638" s="20" t="s">
        <v>1940</v>
      </c>
    </row>
    <row r="639" spans="1:20" ht="23.25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1973</v>
      </c>
      <c r="E639" s="30" t="s">
        <v>1974</v>
      </c>
      <c r="F639" s="31" t="s">
        <v>66</v>
      </c>
      <c r="G639" s="46" t="s">
        <v>59</v>
      </c>
      <c r="H639" s="38" t="s">
        <v>1975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3.25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1976</v>
      </c>
      <c r="E640" s="27" t="s">
        <v>1977</v>
      </c>
      <c r="F640" s="83" t="s">
        <v>22</v>
      </c>
      <c r="G640" s="54" t="s">
        <v>157</v>
      </c>
      <c r="H640" s="36" t="s">
        <v>1978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1979</v>
      </c>
      <c r="E641" s="30" t="s">
        <v>1837</v>
      </c>
      <c r="F641" s="31" t="s">
        <v>66</v>
      </c>
      <c r="G641" s="78" t="s">
        <v>59</v>
      </c>
      <c r="H641" s="76" t="s">
        <v>1980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1981</v>
      </c>
    </row>
    <row r="642" spans="1:20" ht="23.25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1982</v>
      </c>
      <c r="E642" s="27" t="s">
        <v>1715</v>
      </c>
      <c r="F642" s="29" t="s">
        <v>66</v>
      </c>
      <c r="G642" s="20" t="s">
        <v>59</v>
      </c>
      <c r="H642" s="36" t="s">
        <v>1983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1633</v>
      </c>
    </row>
    <row r="643" spans="1:20" ht="23.25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1782</v>
      </c>
      <c r="E643" s="30" t="s">
        <v>1984</v>
      </c>
      <c r="F643" s="31" t="s">
        <v>66</v>
      </c>
      <c r="G643" s="21" t="s">
        <v>59</v>
      </c>
      <c r="H643" s="38" t="s">
        <v>1985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1785</v>
      </c>
    </row>
    <row r="644" spans="1:20" ht="23.25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1986</v>
      </c>
      <c r="E644" s="27" t="s">
        <v>1928</v>
      </c>
      <c r="F644" s="29" t="s">
        <v>66</v>
      </c>
      <c r="G644" s="20" t="s">
        <v>59</v>
      </c>
      <c r="H644" s="36" t="s">
        <v>1985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1987</v>
      </c>
    </row>
    <row r="645" spans="1:20" ht="32.25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1988</v>
      </c>
      <c r="E645" s="30" t="s">
        <v>1989</v>
      </c>
      <c r="F645" s="84" t="s">
        <v>22</v>
      </c>
      <c r="G645" s="46" t="s">
        <v>157</v>
      </c>
      <c r="H645" s="38" t="s">
        <v>1990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1969</v>
      </c>
    </row>
    <row r="646" spans="1:20" ht="23.25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1878</v>
      </c>
      <c r="E646" s="27" t="s">
        <v>1991</v>
      </c>
      <c r="F646" s="29" t="s">
        <v>22</v>
      </c>
      <c r="G646" s="54" t="s">
        <v>157</v>
      </c>
      <c r="H646" s="36" t="s">
        <v>1992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3.25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1993</v>
      </c>
      <c r="E647" s="30" t="s">
        <v>1684</v>
      </c>
      <c r="F647" s="31" t="s">
        <v>51</v>
      </c>
      <c r="G647" s="21" t="s">
        <v>59</v>
      </c>
      <c r="H647" s="76" t="s">
        <v>1994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1528</v>
      </c>
    </row>
    <row r="648" spans="1:20" ht="23.25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1995</v>
      </c>
      <c r="E648" s="27" t="s">
        <v>1996</v>
      </c>
      <c r="F648" s="29" t="s">
        <v>51</v>
      </c>
      <c r="G648" s="20" t="s">
        <v>59</v>
      </c>
      <c r="H648" s="262" t="s">
        <v>1997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1856</v>
      </c>
    </row>
    <row r="649" spans="1:20" ht="23.25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1998</v>
      </c>
      <c r="E649" s="30" t="s">
        <v>1999</v>
      </c>
      <c r="F649" s="31" t="s">
        <v>22</v>
      </c>
      <c r="G649" s="46" t="s">
        <v>157</v>
      </c>
      <c r="H649" s="263" t="s">
        <v>2000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2001</v>
      </c>
    </row>
    <row r="650" spans="1:20" ht="23.25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2002</v>
      </c>
      <c r="E650" s="82" t="s">
        <v>2003</v>
      </c>
      <c r="F650" s="29" t="s">
        <v>22</v>
      </c>
      <c r="G650" s="20" t="s">
        <v>34</v>
      </c>
      <c r="H650" s="36" t="s">
        <v>2004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2005</v>
      </c>
    </row>
    <row r="651" spans="1:20" ht="23.25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2006</v>
      </c>
      <c r="E651" s="30" t="s">
        <v>2007</v>
      </c>
      <c r="F651" s="31" t="s">
        <v>22</v>
      </c>
      <c r="G651" s="21" t="s">
        <v>23</v>
      </c>
      <c r="H651" s="76" t="s">
        <v>2008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2009</v>
      </c>
    </row>
    <row r="652" spans="1:20" ht="23.25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2010</v>
      </c>
      <c r="E652" s="82" t="s">
        <v>2011</v>
      </c>
      <c r="F652" s="29" t="s">
        <v>66</v>
      </c>
      <c r="G652" s="20" t="s">
        <v>59</v>
      </c>
      <c r="H652" s="77" t="s">
        <v>2008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2012</v>
      </c>
      <c r="D653" s="24" t="s">
        <v>2013</v>
      </c>
      <c r="E653" s="30" t="s">
        <v>1658</v>
      </c>
      <c r="F653" s="31" t="s">
        <v>22</v>
      </c>
      <c r="G653" s="21" t="s">
        <v>30</v>
      </c>
      <c r="H653" s="38" t="s">
        <v>2014</v>
      </c>
      <c r="I653" s="39">
        <v>45992</v>
      </c>
      <c r="J653" s="39">
        <v>45992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3.25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2015</v>
      </c>
      <c r="E654" s="27" t="s">
        <v>2016</v>
      </c>
      <c r="F654" s="29" t="s">
        <v>22</v>
      </c>
      <c r="G654" s="20" t="s">
        <v>34</v>
      </c>
      <c r="H654" s="77" t="s">
        <v>2017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1359</v>
      </c>
    </row>
    <row r="655" spans="1:20" ht="23.25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2018</v>
      </c>
      <c r="E655" s="30" t="s">
        <v>2019</v>
      </c>
      <c r="F655" s="31" t="s">
        <v>22</v>
      </c>
      <c r="G655" s="21" t="s">
        <v>157</v>
      </c>
      <c r="H655" s="38" t="s">
        <v>2020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2021</v>
      </c>
      <c r="E656" s="27" t="s">
        <v>2022</v>
      </c>
      <c r="F656" s="29" t="s">
        <v>66</v>
      </c>
      <c r="G656" s="20" t="s">
        <v>59</v>
      </c>
      <c r="H656" s="50" t="s">
        <v>2023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3.25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2024</v>
      </c>
      <c r="E657" s="30" t="s">
        <v>1613</v>
      </c>
      <c r="F657" s="31" t="s">
        <v>51</v>
      </c>
      <c r="G657" s="21" t="s">
        <v>59</v>
      </c>
      <c r="H657" s="38" t="s">
        <v>2025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3.25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2026</v>
      </c>
      <c r="E658" s="27" t="s">
        <v>2027</v>
      </c>
      <c r="F658" s="29" t="s">
        <v>22</v>
      </c>
      <c r="G658" s="20" t="s">
        <v>157</v>
      </c>
      <c r="H658" s="36" t="s">
        <v>2028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2029</v>
      </c>
    </row>
    <row r="659" spans="1:20" ht="23.25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2030</v>
      </c>
      <c r="E659" s="30" t="s">
        <v>2031</v>
      </c>
      <c r="F659" s="31" t="s">
        <v>22</v>
      </c>
      <c r="G659" s="21" t="s">
        <v>34</v>
      </c>
      <c r="H659" s="76" t="s">
        <v>2032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2033</v>
      </c>
    </row>
    <row r="660" spans="1:20" ht="23.25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2034</v>
      </c>
      <c r="E660" s="27" t="s">
        <v>2035</v>
      </c>
      <c r="F660" s="29" t="s">
        <v>51</v>
      </c>
      <c r="G660" s="20" t="s">
        <v>2036</v>
      </c>
      <c r="H660" s="36" t="s">
        <v>2037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2038</v>
      </c>
    </row>
    <row r="661" spans="1:20" ht="23.25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2039</v>
      </c>
      <c r="E661" s="30" t="s">
        <v>2040</v>
      </c>
      <c r="F661" s="31" t="s">
        <v>22</v>
      </c>
      <c r="G661" s="46" t="s">
        <v>2041</v>
      </c>
      <c r="H661" s="38" t="s">
        <v>2042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2043</v>
      </c>
    </row>
    <row r="662" spans="1:20" ht="23.25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2044</v>
      </c>
      <c r="E662" s="27" t="s">
        <v>2045</v>
      </c>
      <c r="F662" s="29" t="s">
        <v>51</v>
      </c>
      <c r="G662" s="20" t="s">
        <v>2036</v>
      </c>
      <c r="H662" s="165" t="s">
        <v>2046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2047</v>
      </c>
    </row>
    <row r="663" spans="1:20" ht="23.25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2048</v>
      </c>
      <c r="E663" s="30" t="s">
        <v>2049</v>
      </c>
      <c r="F663" s="31" t="s">
        <v>51</v>
      </c>
      <c r="G663" s="21" t="s">
        <v>59</v>
      </c>
      <c r="H663" s="38" t="s">
        <v>2050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3.25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2051</v>
      </c>
      <c r="E664" s="27" t="s">
        <v>2052</v>
      </c>
      <c r="F664" s="29" t="s">
        <v>22</v>
      </c>
      <c r="G664" s="54" t="s">
        <v>283</v>
      </c>
      <c r="H664" s="36" t="s">
        <v>2053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2054</v>
      </c>
    </row>
    <row r="665" spans="1:20" ht="23.25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2055</v>
      </c>
      <c r="E665" s="30" t="s">
        <v>2056</v>
      </c>
      <c r="F665" s="31" t="s">
        <v>22</v>
      </c>
      <c r="G665" s="46" t="s">
        <v>2057</v>
      </c>
      <c r="H665" s="38" t="s">
        <v>2058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2059</v>
      </c>
    </row>
    <row r="666" spans="1:20" ht="32.25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2048</v>
      </c>
      <c r="E666" s="27" t="s">
        <v>2060</v>
      </c>
      <c r="F666" s="29" t="s">
        <v>51</v>
      </c>
      <c r="G666" s="20" t="s">
        <v>59</v>
      </c>
      <c r="H666" s="36" t="s">
        <v>2061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3.25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2062</v>
      </c>
      <c r="E667" s="30" t="s">
        <v>2063</v>
      </c>
      <c r="F667" s="31" t="s">
        <v>51</v>
      </c>
      <c r="G667" s="21" t="s">
        <v>59</v>
      </c>
      <c r="H667" s="24" t="s">
        <v>2064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33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2065</v>
      </c>
      <c r="E668" s="27" t="s">
        <v>2066</v>
      </c>
      <c r="F668" s="29" t="s">
        <v>51</v>
      </c>
      <c r="G668" s="20" t="s">
        <v>59</v>
      </c>
      <c r="H668" s="36" t="s">
        <v>2067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2068</v>
      </c>
      <c r="E669" s="30" t="s">
        <v>2069</v>
      </c>
      <c r="F669" s="31" t="s">
        <v>51</v>
      </c>
      <c r="G669" s="167" t="s">
        <v>2036</v>
      </c>
      <c r="H669" s="168" t="s">
        <v>2070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2047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2071</v>
      </c>
      <c r="E670" s="173" t="s">
        <v>2072</v>
      </c>
      <c r="F670" s="29" t="s">
        <v>66</v>
      </c>
      <c r="G670" s="20" t="s">
        <v>2073</v>
      </c>
      <c r="H670" s="174" t="s">
        <v>2074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1601</v>
      </c>
    </row>
    <row r="671" spans="1:20" ht="23.2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2055</v>
      </c>
      <c r="E671" s="30" t="s">
        <v>2075</v>
      </c>
      <c r="F671" s="31" t="s">
        <v>22</v>
      </c>
      <c r="G671" s="46" t="s">
        <v>2057</v>
      </c>
      <c r="H671" s="38" t="s">
        <v>2076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2077</v>
      </c>
    </row>
    <row r="672" spans="1:20" ht="23.2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2078</v>
      </c>
      <c r="E672" s="173" t="s">
        <v>2079</v>
      </c>
      <c r="F672" s="29" t="s">
        <v>22</v>
      </c>
      <c r="G672" s="54" t="s">
        <v>2057</v>
      </c>
      <c r="H672" s="174" t="s">
        <v>2080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2077</v>
      </c>
    </row>
    <row r="673" spans="1:20" ht="23.25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2081</v>
      </c>
      <c r="E673" s="30" t="s">
        <v>2082</v>
      </c>
      <c r="F673" s="31" t="s">
        <v>22</v>
      </c>
      <c r="G673" s="21" t="s">
        <v>157</v>
      </c>
      <c r="H673" s="59" t="s">
        <v>2083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2084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2085</v>
      </c>
      <c r="E674" s="27" t="s">
        <v>2373</v>
      </c>
      <c r="F674" s="29" t="s">
        <v>66</v>
      </c>
      <c r="G674" s="48" t="s">
        <v>2073</v>
      </c>
      <c r="H674" s="36" t="s">
        <v>2086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2087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2085</v>
      </c>
      <c r="E675" s="27" t="s">
        <v>2374</v>
      </c>
      <c r="F675" s="29" t="s">
        <v>66</v>
      </c>
      <c r="G675" s="48" t="s">
        <v>2073</v>
      </c>
      <c r="H675" s="262" t="s">
        <v>2088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2087</v>
      </c>
    </row>
    <row r="676" spans="1:20" ht="23.25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2089</v>
      </c>
      <c r="D676" s="24" t="s">
        <v>2090</v>
      </c>
      <c r="E676" s="30" t="s">
        <v>2091</v>
      </c>
      <c r="F676" s="31" t="s">
        <v>22</v>
      </c>
      <c r="G676" s="21" t="s">
        <v>2041</v>
      </c>
      <c r="H676" s="38" t="s">
        <v>2092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2043</v>
      </c>
    </row>
    <row r="677" spans="1:20" ht="23.2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2093</v>
      </c>
      <c r="E677" s="274" t="s">
        <v>2094</v>
      </c>
      <c r="F677" s="188" t="s">
        <v>22</v>
      </c>
      <c r="G677" s="194" t="s">
        <v>34</v>
      </c>
      <c r="H677" s="189" t="s">
        <v>2095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3.25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2096</v>
      </c>
      <c r="E678" s="30" t="s">
        <v>2097</v>
      </c>
      <c r="F678" s="31" t="s">
        <v>22</v>
      </c>
      <c r="G678" s="45" t="s">
        <v>23</v>
      </c>
      <c r="H678" s="189" t="s">
        <v>2098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2099</v>
      </c>
    </row>
    <row r="679" spans="1:20" ht="23.2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2100</v>
      </c>
      <c r="E679" s="275" t="s">
        <v>2101</v>
      </c>
      <c r="F679" s="29" t="s">
        <v>51</v>
      </c>
      <c r="G679" s="179" t="s">
        <v>2036</v>
      </c>
      <c r="H679" s="182" t="s">
        <v>2102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2038</v>
      </c>
    </row>
    <row r="680" spans="1:20" ht="23.25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2100</v>
      </c>
      <c r="E680" s="272" t="s">
        <v>2106</v>
      </c>
      <c r="F680" s="31" t="s">
        <v>51</v>
      </c>
      <c r="G680" s="167" t="s">
        <v>2036</v>
      </c>
      <c r="H680" s="189" t="s">
        <v>2107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2038</v>
      </c>
    </row>
    <row r="681" spans="1:20" ht="23.25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2108</v>
      </c>
      <c r="E681" s="164" t="s">
        <v>2109</v>
      </c>
      <c r="F681" s="29" t="s">
        <v>51</v>
      </c>
      <c r="G681" s="181" t="s">
        <v>2036</v>
      </c>
      <c r="H681" s="182" t="s">
        <v>2110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3.25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2012</v>
      </c>
      <c r="D682" s="70" t="s">
        <v>2090</v>
      </c>
      <c r="E682" s="65" t="s">
        <v>2104</v>
      </c>
      <c r="F682" s="29" t="s">
        <v>22</v>
      </c>
      <c r="G682" s="67" t="s">
        <v>2041</v>
      </c>
      <c r="H682" s="68" t="s">
        <v>2105</v>
      </c>
      <c r="I682" s="69">
        <v>46210</v>
      </c>
      <c r="J682" s="69">
        <v>46212</v>
      </c>
      <c r="K682" s="22" t="s">
        <v>32</v>
      </c>
      <c r="L682" s="284">
        <v>0</v>
      </c>
      <c r="M682" s="198"/>
      <c r="N682" s="73"/>
      <c r="O682" s="73"/>
      <c r="P682" s="73"/>
      <c r="Q682" s="73"/>
      <c r="R682" s="73">
        <f t="shared" si="13"/>
        <v>0</v>
      </c>
      <c r="S682" s="70">
        <v>12</v>
      </c>
      <c r="T682" s="20" t="s">
        <v>2043</v>
      </c>
    </row>
    <row r="683" spans="1:20" ht="23.25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2103</v>
      </c>
      <c r="D683" s="186" t="s">
        <v>2111</v>
      </c>
      <c r="E683" s="187" t="s">
        <v>2112</v>
      </c>
      <c r="F683" s="31" t="s">
        <v>51</v>
      </c>
      <c r="G683" s="21" t="s">
        <v>59</v>
      </c>
      <c r="H683" s="189" t="s">
        <v>2113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365</v>
      </c>
    </row>
    <row r="684" spans="1:20" ht="23.25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2114</v>
      </c>
      <c r="D684" s="70" t="s">
        <v>2115</v>
      </c>
      <c r="E684" s="164" t="s">
        <v>2116</v>
      </c>
      <c r="F684" s="66" t="s">
        <v>66</v>
      </c>
      <c r="G684" s="67" t="s">
        <v>2073</v>
      </c>
      <c r="H684" s="68"/>
      <c r="I684" s="69"/>
      <c r="J684" s="69"/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2117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2103</v>
      </c>
      <c r="D685" s="209" t="s">
        <v>2118</v>
      </c>
      <c r="E685" s="210" t="s">
        <v>2119</v>
      </c>
      <c r="F685" s="211" t="s">
        <v>51</v>
      </c>
      <c r="G685" s="208" t="s">
        <v>59</v>
      </c>
      <c r="H685" s="212" t="s">
        <v>2120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365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2103</v>
      </c>
      <c r="D686" s="218" t="s">
        <v>2121</v>
      </c>
      <c r="E686" s="239" t="s">
        <v>2122</v>
      </c>
      <c r="F686" s="220" t="s">
        <v>22</v>
      </c>
      <c r="G686" s="217" t="s">
        <v>56</v>
      </c>
      <c r="H686" s="221" t="s">
        <v>2123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2099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2089</v>
      </c>
      <c r="D687" s="209" t="s">
        <v>2124</v>
      </c>
      <c r="E687" s="210" t="s">
        <v>2125</v>
      </c>
      <c r="F687" s="211" t="s">
        <v>22</v>
      </c>
      <c r="G687" s="208" t="s">
        <v>56</v>
      </c>
      <c r="H687" s="212" t="s">
        <v>2126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2127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2128</v>
      </c>
      <c r="E688" s="239" t="s">
        <v>2129</v>
      </c>
      <c r="F688" s="220" t="s">
        <v>66</v>
      </c>
      <c r="G688" s="217" t="s">
        <v>2073</v>
      </c>
      <c r="H688" s="221" t="s">
        <v>2130</v>
      </c>
      <c r="I688" s="222">
        <v>46204</v>
      </c>
      <c r="J688" s="222">
        <v>46206</v>
      </c>
      <c r="K688" s="218" t="s">
        <v>32</v>
      </c>
      <c r="L688" s="223">
        <v>7687.86</v>
      </c>
      <c r="M688" s="214">
        <v>4.6900000000000004</v>
      </c>
      <c r="N688" s="225">
        <v>30</v>
      </c>
      <c r="O688" s="224">
        <v>0</v>
      </c>
      <c r="P688" s="4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1848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2131</v>
      </c>
      <c r="E689" s="244" t="s">
        <v>2132</v>
      </c>
      <c r="F689" s="211" t="s">
        <v>22</v>
      </c>
      <c r="G689" s="208" t="s">
        <v>2057</v>
      </c>
      <c r="H689" s="246" t="s">
        <v>2133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2077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2131</v>
      </c>
      <c r="E690" s="245" t="s">
        <v>2134</v>
      </c>
      <c r="F690" s="220" t="s">
        <v>22</v>
      </c>
      <c r="G690" s="217" t="s">
        <v>2057</v>
      </c>
      <c r="H690" s="247" t="s">
        <v>2135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2077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2136</v>
      </c>
      <c r="E691" s="244" t="s">
        <v>2016</v>
      </c>
      <c r="F691" s="211" t="s">
        <v>22</v>
      </c>
      <c r="G691" s="208" t="s">
        <v>34</v>
      </c>
      <c r="H691" s="212" t="s">
        <v>2137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1359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2138</v>
      </c>
      <c r="E692" s="245" t="s">
        <v>2139</v>
      </c>
      <c r="F692" s="220" t="s">
        <v>22</v>
      </c>
      <c r="G692" s="217" t="s">
        <v>283</v>
      </c>
      <c r="H692" s="221" t="s">
        <v>2140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365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2141</v>
      </c>
      <c r="E693" s="244" t="s">
        <v>2142</v>
      </c>
      <c r="F693" s="211" t="s">
        <v>22</v>
      </c>
      <c r="G693" s="208" t="s">
        <v>23</v>
      </c>
      <c r="H693" s="212" t="s">
        <v>2143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2144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2103</v>
      </c>
      <c r="D694" s="218" t="s">
        <v>2145</v>
      </c>
      <c r="E694" s="219" t="s">
        <v>2146</v>
      </c>
      <c r="F694" s="220" t="s">
        <v>51</v>
      </c>
      <c r="G694" s="217" t="s">
        <v>2036</v>
      </c>
      <c r="H694" s="221" t="s">
        <v>2147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2038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2103</v>
      </c>
      <c r="D695" s="209" t="s">
        <v>2148</v>
      </c>
      <c r="E695" s="210" t="s">
        <v>2149</v>
      </c>
      <c r="F695" s="211" t="s">
        <v>66</v>
      </c>
      <c r="G695" s="260" t="s">
        <v>2073</v>
      </c>
      <c r="H695" s="212" t="s">
        <v>2150</v>
      </c>
      <c r="I695" s="213">
        <v>46223</v>
      </c>
      <c r="J695" s="213">
        <v>46227</v>
      </c>
      <c r="K695" s="209" t="s">
        <v>32</v>
      </c>
      <c r="L695" s="223"/>
      <c r="M695" s="214"/>
      <c r="N695" s="215"/>
      <c r="O695" s="216"/>
      <c r="P695" s="216"/>
      <c r="Q695" s="216"/>
      <c r="R695" s="216">
        <f t="shared" si="14"/>
        <v>0</v>
      </c>
      <c r="S695" s="209">
        <v>20</v>
      </c>
      <c r="T695" s="208" t="s">
        <v>324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2151</v>
      </c>
      <c r="E696" s="219" t="s">
        <v>2152</v>
      </c>
      <c r="F696" s="220" t="s">
        <v>66</v>
      </c>
      <c r="G696" s="269" t="s">
        <v>2073</v>
      </c>
      <c r="H696" s="221" t="s">
        <v>2153</v>
      </c>
      <c r="I696" s="222">
        <v>46167</v>
      </c>
      <c r="J696" s="222">
        <v>46171</v>
      </c>
      <c r="K696" s="218" t="s">
        <v>32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784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2154</v>
      </c>
      <c r="E697" s="210" t="s">
        <v>2155</v>
      </c>
      <c r="F697" s="211" t="s">
        <v>66</v>
      </c>
      <c r="G697" s="260" t="s">
        <v>2073</v>
      </c>
      <c r="H697" s="212" t="s">
        <v>2156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2157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2103</v>
      </c>
      <c r="D698" s="218" t="s">
        <v>2158</v>
      </c>
      <c r="E698" s="219" t="s">
        <v>2159</v>
      </c>
      <c r="F698" s="220" t="s">
        <v>22</v>
      </c>
      <c r="G698" s="217" t="s">
        <v>23</v>
      </c>
      <c r="H698" s="221" t="s">
        <v>2147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425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2103</v>
      </c>
      <c r="D699" s="209" t="s">
        <v>2160</v>
      </c>
      <c r="E699" s="210" t="s">
        <v>2161</v>
      </c>
      <c r="F699" s="211" t="s">
        <v>22</v>
      </c>
      <c r="G699" s="208" t="s">
        <v>56</v>
      </c>
      <c r="H699" s="212" t="s">
        <v>2162</v>
      </c>
      <c r="I699" s="213">
        <v>46244</v>
      </c>
      <c r="J699" s="213">
        <v>46245</v>
      </c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2163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2103</v>
      </c>
      <c r="D700" s="218" t="s">
        <v>2164</v>
      </c>
      <c r="E700" s="219" t="s">
        <v>2165</v>
      </c>
      <c r="F700" s="220" t="s">
        <v>51</v>
      </c>
      <c r="G700" s="217" t="s">
        <v>59</v>
      </c>
      <c r="H700" s="221" t="s">
        <v>2166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/>
      <c r="O700" s="224"/>
      <c r="P700" s="224"/>
      <c r="Q700" s="224"/>
      <c r="R700" s="224">
        <f t="shared" si="14"/>
        <v>0</v>
      </c>
      <c r="S700" s="218">
        <v>4</v>
      </c>
      <c r="T700" s="217" t="s">
        <v>365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2103</v>
      </c>
      <c r="D701" s="209" t="s">
        <v>2167</v>
      </c>
      <c r="E701" s="210" t="s">
        <v>2168</v>
      </c>
      <c r="F701" s="211" t="s">
        <v>51</v>
      </c>
      <c r="G701" s="208" t="s">
        <v>59</v>
      </c>
      <c r="H701" s="212" t="s">
        <v>2169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2170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2171</v>
      </c>
      <c r="E702" s="219" t="s">
        <v>2172</v>
      </c>
      <c r="F702" s="220" t="s">
        <v>22</v>
      </c>
      <c r="G702" s="217" t="s">
        <v>23</v>
      </c>
      <c r="H702" s="221" t="s">
        <v>2173</v>
      </c>
      <c r="I702" s="222">
        <v>46189</v>
      </c>
      <c r="J702" s="222">
        <v>46191</v>
      </c>
      <c r="K702" s="218" t="s">
        <v>32</v>
      </c>
      <c r="L702" s="223">
        <v>9746.07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2174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2103</v>
      </c>
      <c r="D703" s="209" t="s">
        <v>2175</v>
      </c>
      <c r="E703" s="210" t="s">
        <v>2176</v>
      </c>
      <c r="F703" s="211" t="s">
        <v>51</v>
      </c>
      <c r="G703" s="208" t="s">
        <v>59</v>
      </c>
      <c r="H703" s="212" t="s">
        <v>2147</v>
      </c>
      <c r="I703" s="212" t="s">
        <v>2177</v>
      </c>
      <c r="J703" s="212" t="s">
        <v>2178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2179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2180</v>
      </c>
      <c r="E704" s="219" t="s">
        <v>2181</v>
      </c>
      <c r="F704" s="220" t="s">
        <v>51</v>
      </c>
      <c r="G704" s="217" t="s">
        <v>59</v>
      </c>
      <c r="H704" s="221" t="s">
        <v>2182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>
        <v>26</v>
      </c>
      <c r="Q704" s="224">
        <v>0</v>
      </c>
      <c r="R704" s="224">
        <f t="shared" si="14"/>
        <v>28</v>
      </c>
      <c r="S704" s="218">
        <v>8</v>
      </c>
      <c r="T704" s="104" t="s">
        <v>2077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2103</v>
      </c>
      <c r="D705" s="209" t="s">
        <v>2085</v>
      </c>
      <c r="E705" s="244" t="s">
        <v>2183</v>
      </c>
      <c r="F705" s="211" t="s">
        <v>66</v>
      </c>
      <c r="G705" s="260" t="s">
        <v>2073</v>
      </c>
      <c r="H705" s="276" t="s">
        <v>2184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2185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2103</v>
      </c>
      <c r="D706" s="209" t="s">
        <v>2085</v>
      </c>
      <c r="E706" s="210" t="s">
        <v>2183</v>
      </c>
      <c r="F706" s="220" t="s">
        <v>66</v>
      </c>
      <c r="G706" s="269" t="s">
        <v>2073</v>
      </c>
      <c r="H706" s="277" t="s">
        <v>2186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8" t="s">
        <v>2187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2103</v>
      </c>
      <c r="D707" s="209" t="s">
        <v>2085</v>
      </c>
      <c r="E707" s="210" t="s">
        <v>2183</v>
      </c>
      <c r="F707" s="211" t="s">
        <v>66</v>
      </c>
      <c r="G707" s="260" t="s">
        <v>2073</v>
      </c>
      <c r="H707" s="276" t="s">
        <v>2188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8" t="s">
        <v>2187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2103</v>
      </c>
      <c r="D708" s="209" t="s">
        <v>2085</v>
      </c>
      <c r="E708" s="210" t="s">
        <v>2183</v>
      </c>
      <c r="F708" s="220" t="s">
        <v>66</v>
      </c>
      <c r="G708" s="269" t="s">
        <v>2073</v>
      </c>
      <c r="H708" s="277" t="s">
        <v>2189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8" t="s">
        <v>2187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2103</v>
      </c>
      <c r="D709" s="209" t="s">
        <v>2190</v>
      </c>
      <c r="E709" s="210" t="s">
        <v>2191</v>
      </c>
      <c r="F709" s="211" t="s">
        <v>22</v>
      </c>
      <c r="G709" s="208" t="s">
        <v>2057</v>
      </c>
      <c r="H709" s="212" t="s">
        <v>2147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2103</v>
      </c>
      <c r="D710" s="218" t="s">
        <v>2192</v>
      </c>
      <c r="E710" s="210" t="s">
        <v>2193</v>
      </c>
      <c r="F710" s="220" t="s">
        <v>51</v>
      </c>
      <c r="G710" s="217" t="s">
        <v>59</v>
      </c>
      <c r="H710" s="221" t="s">
        <v>2162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2194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2103</v>
      </c>
      <c r="D711" s="209" t="s">
        <v>2085</v>
      </c>
      <c r="E711" s="210" t="s">
        <v>2183</v>
      </c>
      <c r="F711" s="211" t="s">
        <v>66</v>
      </c>
      <c r="G711" s="260" t="s">
        <v>2073</v>
      </c>
      <c r="H711" s="212" t="s">
        <v>2195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8" t="s">
        <v>2187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2103</v>
      </c>
      <c r="D712" s="218" t="s">
        <v>2085</v>
      </c>
      <c r="E712" s="210" t="s">
        <v>2183</v>
      </c>
      <c r="F712" s="220" t="s">
        <v>66</v>
      </c>
      <c r="G712" s="269" t="s">
        <v>2073</v>
      </c>
      <c r="H712" s="221" t="s">
        <v>2196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8" t="s">
        <v>2187</v>
      </c>
    </row>
    <row r="713" spans="1:21" ht="23.25" customHeight="1" x14ac:dyDescent="0.25">
      <c r="A713" s="208"/>
      <c r="B713" s="209"/>
      <c r="C713" s="218"/>
      <c r="D713" s="209"/>
      <c r="E713" s="244"/>
      <c r="F713" s="211"/>
      <c r="G713" s="208"/>
      <c r="H713" s="212"/>
      <c r="I713" s="213"/>
      <c r="J713" s="213"/>
      <c r="K713" s="209"/>
      <c r="L713" s="223"/>
      <c r="M713" s="214"/>
      <c r="N713" s="215"/>
      <c r="O713" s="216"/>
      <c r="P713" s="216"/>
      <c r="Q713" s="216"/>
      <c r="R713" s="216" t="str">
        <f t="shared" si="14"/>
        <v/>
      </c>
      <c r="S713" s="209"/>
      <c r="T713" s="208"/>
    </row>
    <row r="714" spans="1:21" ht="23.25" customHeight="1" x14ac:dyDescent="0.25">
      <c r="A714" s="217" t="str">
        <f>IF(B714="","",B714&amp;"-"&amp;TEXT(COUNTIF(B$2:B714,B714),"000"))</f>
        <v/>
      </c>
      <c r="B714" s="218"/>
      <c r="C714" s="218"/>
      <c r="D714" s="218"/>
      <c r="E714" s="219"/>
      <c r="F714" s="220"/>
      <c r="G714" s="217"/>
      <c r="H714" s="221"/>
      <c r="I714" s="222"/>
      <c r="J714" s="222"/>
      <c r="K714" s="218"/>
      <c r="L714" s="223"/>
      <c r="M714" s="214"/>
      <c r="N714" s="225"/>
      <c r="O714" s="224"/>
      <c r="P714" s="224"/>
      <c r="Q714" s="224"/>
      <c r="R714" s="224" t="str">
        <f t="shared" si="14"/>
        <v/>
      </c>
      <c r="S714" s="218"/>
      <c r="T714" s="217"/>
    </row>
    <row r="715" spans="1:21" ht="23.25" customHeight="1" x14ac:dyDescent="0.25">
      <c r="A715" s="208" t="str">
        <f>IF(B715="","",B715&amp;"-"&amp;TEXT(COUNTIF(B$2:B715,B715),"000"))</f>
        <v/>
      </c>
      <c r="B715" s="209"/>
      <c r="C715" s="218"/>
      <c r="D715" s="209"/>
      <c r="E715" s="210"/>
      <c r="F715" s="211"/>
      <c r="G715" s="208"/>
      <c r="H715" s="212"/>
      <c r="I715" s="213"/>
      <c r="J715" s="213"/>
      <c r="K715" s="209"/>
      <c r="L715" s="223"/>
      <c r="M715" s="214"/>
      <c r="N715" s="215"/>
      <c r="O715" s="216"/>
      <c r="P715" s="216"/>
      <c r="Q715" s="216"/>
      <c r="R715" s="216" t="str">
        <f t="shared" si="14"/>
        <v/>
      </c>
      <c r="S715" s="209"/>
      <c r="T715" s="208"/>
    </row>
    <row r="716" spans="1:21" ht="23.25" customHeight="1" x14ac:dyDescent="0.25">
      <c r="A716" s="217" t="str">
        <f>IF(B716="","",B716&amp;"-"&amp;TEXT(COUNTIF(B$2:B716,B716),"000"))</f>
        <v/>
      </c>
      <c r="B716" s="218"/>
      <c r="C716" s="218"/>
      <c r="D716" s="218"/>
      <c r="E716" s="219"/>
      <c r="F716" s="220"/>
      <c r="G716" s="217"/>
      <c r="H716" s="221"/>
      <c r="I716" s="222"/>
      <c r="J716" s="222"/>
      <c r="K716" s="218"/>
      <c r="L716" s="223"/>
      <c r="M716" s="214"/>
      <c r="N716" s="225"/>
      <c r="O716" s="224"/>
      <c r="P716" s="224"/>
      <c r="Q716" s="224"/>
      <c r="R716" s="224" t="str">
        <f t="shared" si="14"/>
        <v/>
      </c>
      <c r="S716" s="218"/>
      <c r="T716" s="217"/>
    </row>
    <row r="717" spans="1:21" ht="23.25" customHeight="1" x14ac:dyDescent="0.25">
      <c r="A717" s="208" t="str">
        <f>IF(B717="","",B717&amp;"-"&amp;TEXT(COUNTIF(B$2:B717,B717),"000"))</f>
        <v/>
      </c>
      <c r="B717" s="209"/>
      <c r="C717" s="218"/>
      <c r="D717" s="209"/>
      <c r="E717" s="210"/>
      <c r="F717" s="211"/>
      <c r="G717" s="208"/>
      <c r="H717" s="212"/>
      <c r="I717" s="213"/>
      <c r="J717" s="213"/>
      <c r="K717" s="209"/>
      <c r="L717" s="223"/>
      <c r="M717" s="214"/>
      <c r="N717" s="215"/>
      <c r="O717" s="216"/>
      <c r="P717" s="216"/>
      <c r="Q717" s="216"/>
      <c r="R717" s="216" t="str">
        <f t="shared" si="14"/>
        <v/>
      </c>
      <c r="S717" s="209"/>
      <c r="T717" s="208"/>
    </row>
    <row r="718" spans="1:21" ht="23.25" customHeight="1" x14ac:dyDescent="0.25">
      <c r="A718" s="217" t="str">
        <f>IF(B718="","",B718&amp;"-"&amp;TEXT(COUNTIF(B$2:B718,B718),"000"))</f>
        <v/>
      </c>
      <c r="B718" s="218"/>
      <c r="C718" s="218"/>
      <c r="D718" s="218"/>
      <c r="E718" s="219"/>
      <c r="F718" s="220"/>
      <c r="G718" s="217"/>
      <c r="H718" s="221"/>
      <c r="I718" s="222"/>
      <c r="J718" s="222"/>
      <c r="K718" s="218"/>
      <c r="L718" s="223"/>
      <c r="M718" s="214"/>
      <c r="N718" s="225"/>
      <c r="O718" s="224"/>
      <c r="P718" s="224"/>
      <c r="Q718" s="224"/>
      <c r="R718" s="224" t="str">
        <f t="shared" si="14"/>
        <v/>
      </c>
      <c r="S718" s="218"/>
      <c r="T718" s="217"/>
    </row>
    <row r="719" spans="1:21" ht="23.25" customHeight="1" x14ac:dyDescent="0.25">
      <c r="A719" s="208" t="str">
        <f>IF(B719="","",B719&amp;"-"&amp;TEXT(COUNTIF(B$2:B719,B719),"000"))</f>
        <v/>
      </c>
      <c r="B719" s="209"/>
      <c r="C719" s="218"/>
      <c r="D719" s="209"/>
      <c r="E719" s="210"/>
      <c r="F719" s="211"/>
      <c r="G719" s="208"/>
      <c r="H719" s="212"/>
      <c r="I719" s="213"/>
      <c r="J719" s="213"/>
      <c r="K719" s="209"/>
      <c r="L719" s="223"/>
      <c r="M719" s="214"/>
      <c r="N719" s="215"/>
      <c r="O719" s="216"/>
      <c r="P719" s="216"/>
      <c r="Q719" s="216"/>
      <c r="R719" s="216" t="str">
        <f t="shared" si="14"/>
        <v/>
      </c>
      <c r="S719" s="209"/>
      <c r="T719" s="208"/>
    </row>
    <row r="720" spans="1:21" ht="23.25" customHeight="1" x14ac:dyDescent="0.25">
      <c r="A720" s="217" t="str">
        <f>IF(B720="","",B720&amp;"-"&amp;TEXT(COUNTIF(B$2:B720,B720),"000"))</f>
        <v/>
      </c>
      <c r="B720" s="218"/>
      <c r="C720" s="218"/>
      <c r="D720" s="218"/>
      <c r="E720" s="219"/>
      <c r="F720" s="220"/>
      <c r="G720" s="217"/>
      <c r="H720" s="221"/>
      <c r="I720" s="222"/>
      <c r="J720" s="222"/>
      <c r="K720" s="218"/>
      <c r="L720" s="223"/>
      <c r="M720" s="214"/>
      <c r="N720" s="225"/>
      <c r="O720" s="224"/>
      <c r="P720" s="224"/>
      <c r="Q720" s="224"/>
      <c r="R720" s="224" t="str">
        <f t="shared" si="14"/>
        <v/>
      </c>
      <c r="S720" s="218"/>
      <c r="T720" s="217"/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1" priority="7">
      <formula>TRIM(C2)="Realizado"</formula>
    </cfRule>
    <cfRule type="expression" dxfId="50" priority="8">
      <formula>TRIM(C2)="Cancelado"</formula>
    </cfRule>
    <cfRule type="expression" dxfId="49" priority="9">
      <formula>TRIM(C2)="Adiado"</formula>
    </cfRule>
    <cfRule type="expression" dxfId="48" priority="10">
      <formula>AND(TRIM(C2)="A realizar",ISODD(ROW(C2)))</formula>
    </cfRule>
  </conditionalFormatting>
  <conditionalFormatting sqref="L680">
    <cfRule type="containsBlanks" dxfId="47" priority="4">
      <formula>LEN(TRIM(L680))=0</formula>
    </cfRule>
  </conditionalFormatting>
  <conditionalFormatting sqref="L689:L690">
    <cfRule type="containsBlanks" dxfId="46" priority="2">
      <formula>LEN(TRIM(L689))=0</formula>
    </cfRule>
  </conditionalFormatting>
  <conditionalFormatting sqref="M1:M513 L1:L537 L678">
    <cfRule type="containsBlanks" dxfId="45" priority="5">
      <formula>LEN(TRIM(L1))=0</formula>
    </cfRule>
  </conditionalFormatting>
  <conditionalFormatting sqref="M517:M675 L539:L675 L676:M676">
    <cfRule type="containsBlanks" dxfId="44" priority="6">
      <formula>LEN(TRIM(L517))=0</formula>
    </cfRule>
  </conditionalFormatting>
  <conditionalFormatting sqref="L704">
    <cfRule type="containsBlanks" dxfId="43" priority="1">
      <formula>LEN(TRIM(L704))=0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87"/>
  <sheetViews>
    <sheetView topLeftCell="A6" workbookViewId="0">
      <selection activeCell="M19" sqref="M19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2197</v>
      </c>
      <c r="F1" s="280" t="s">
        <v>2198</v>
      </c>
    </row>
    <row r="2" spans="1:6" x14ac:dyDescent="0.25">
      <c r="F2" s="281" t="s">
        <v>2199</v>
      </c>
    </row>
    <row r="3" spans="1:6" x14ac:dyDescent="0.25">
      <c r="A3" t="s">
        <v>0</v>
      </c>
      <c r="B3" t="s">
        <v>19</v>
      </c>
      <c r="C3" t="s">
        <v>2200</v>
      </c>
      <c r="D3" t="s">
        <v>2201</v>
      </c>
      <c r="F3" s="281" t="s">
        <v>2202</v>
      </c>
    </row>
    <row r="4" spans="1:6" x14ac:dyDescent="0.25">
      <c r="A4">
        <v>1</v>
      </c>
      <c r="B4" t="s">
        <v>2203</v>
      </c>
      <c r="D4" t="s">
        <v>2204</v>
      </c>
      <c r="F4" s="281" t="s">
        <v>2205</v>
      </c>
    </row>
    <row r="5" spans="1:6" x14ac:dyDescent="0.25">
      <c r="A5">
        <v>2</v>
      </c>
      <c r="B5" t="s">
        <v>1890</v>
      </c>
      <c r="D5" t="s">
        <v>2204</v>
      </c>
      <c r="F5" s="281" t="s">
        <v>2206</v>
      </c>
    </row>
    <row r="6" spans="1:6" x14ac:dyDescent="0.25">
      <c r="A6">
        <v>3</v>
      </c>
      <c r="B6" t="s">
        <v>784</v>
      </c>
      <c r="D6" t="s">
        <v>2204</v>
      </c>
    </row>
    <row r="7" spans="1:6" x14ac:dyDescent="0.25">
      <c r="A7">
        <v>4</v>
      </c>
      <c r="B7" t="s">
        <v>2207</v>
      </c>
      <c r="D7" t="s">
        <v>2204</v>
      </c>
      <c r="F7" s="281" t="s">
        <v>2208</v>
      </c>
    </row>
    <row r="8" spans="1:6" x14ac:dyDescent="0.25">
      <c r="A8">
        <v>5</v>
      </c>
      <c r="B8" t="s">
        <v>2209</v>
      </c>
      <c r="D8" t="s">
        <v>2204</v>
      </c>
    </row>
    <row r="9" spans="1:6" x14ac:dyDescent="0.25">
      <c r="A9">
        <v>6</v>
      </c>
      <c r="B9" t="s">
        <v>1746</v>
      </c>
      <c r="D9" t="s">
        <v>2204</v>
      </c>
    </row>
    <row r="10" spans="1:6" x14ac:dyDescent="0.25">
      <c r="A10">
        <v>7</v>
      </c>
      <c r="B10" t="s">
        <v>1820</v>
      </c>
      <c r="D10" t="s">
        <v>2204</v>
      </c>
    </row>
    <row r="11" spans="1:6" x14ac:dyDescent="0.25">
      <c r="A11">
        <v>8</v>
      </c>
      <c r="B11" t="s">
        <v>1868</v>
      </c>
      <c r="D11" t="s">
        <v>2204</v>
      </c>
    </row>
    <row r="12" spans="1:6" x14ac:dyDescent="0.25">
      <c r="A12">
        <v>10</v>
      </c>
      <c r="B12" t="s">
        <v>2059</v>
      </c>
      <c r="D12" t="s">
        <v>2204</v>
      </c>
    </row>
    <row r="13" spans="1:6" x14ac:dyDescent="0.25">
      <c r="A13">
        <v>11</v>
      </c>
      <c r="B13" t="s">
        <v>1719</v>
      </c>
      <c r="D13" t="s">
        <v>2204</v>
      </c>
    </row>
    <row r="14" spans="1:6" x14ac:dyDescent="0.25">
      <c r="A14">
        <v>12</v>
      </c>
      <c r="B14" t="s">
        <v>1791</v>
      </c>
      <c r="D14" t="s">
        <v>2204</v>
      </c>
    </row>
    <row r="15" spans="1:6" x14ac:dyDescent="0.25">
      <c r="A15">
        <v>13</v>
      </c>
      <c r="B15" t="s">
        <v>2033</v>
      </c>
      <c r="D15" t="s">
        <v>2204</v>
      </c>
    </row>
    <row r="16" spans="1:6" x14ac:dyDescent="0.25">
      <c r="A16">
        <v>14</v>
      </c>
      <c r="B16" t="s">
        <v>1441</v>
      </c>
      <c r="D16" t="s">
        <v>2204</v>
      </c>
    </row>
    <row r="17" spans="1:4" x14ac:dyDescent="0.25">
      <c r="A17">
        <v>15</v>
      </c>
      <c r="B17" t="s">
        <v>441</v>
      </c>
      <c r="D17" t="s">
        <v>2204</v>
      </c>
    </row>
    <row r="18" spans="1:4" x14ac:dyDescent="0.25">
      <c r="A18">
        <v>16</v>
      </c>
      <c r="B18" t="s">
        <v>1478</v>
      </c>
      <c r="D18" t="s">
        <v>2204</v>
      </c>
    </row>
    <row r="19" spans="1:4" x14ac:dyDescent="0.25">
      <c r="A19">
        <v>17</v>
      </c>
      <c r="B19" t="s">
        <v>1359</v>
      </c>
      <c r="D19" t="s">
        <v>2204</v>
      </c>
    </row>
    <row r="20" spans="1:4" x14ac:dyDescent="0.25">
      <c r="A20">
        <v>18</v>
      </c>
      <c r="B20" t="s">
        <v>1601</v>
      </c>
      <c r="D20" t="s">
        <v>2204</v>
      </c>
    </row>
    <row r="21" spans="1:4" x14ac:dyDescent="0.25">
      <c r="A21">
        <v>19</v>
      </c>
      <c r="B21" t="s">
        <v>1028</v>
      </c>
      <c r="D21" t="s">
        <v>2204</v>
      </c>
    </row>
    <row r="22" spans="1:4" x14ac:dyDescent="0.25">
      <c r="A22">
        <v>20</v>
      </c>
      <c r="B22" t="s">
        <v>1705</v>
      </c>
      <c r="D22" t="s">
        <v>2204</v>
      </c>
    </row>
    <row r="23" spans="1:4" x14ac:dyDescent="0.25">
      <c r="A23">
        <v>21</v>
      </c>
      <c r="B23" t="s">
        <v>2210</v>
      </c>
      <c r="D23" t="s">
        <v>2204</v>
      </c>
    </row>
    <row r="24" spans="1:4" x14ac:dyDescent="0.25">
      <c r="A24">
        <v>22</v>
      </c>
      <c r="B24" t="s">
        <v>451</v>
      </c>
      <c r="D24" t="s">
        <v>2204</v>
      </c>
    </row>
    <row r="25" spans="1:4" x14ac:dyDescent="0.25">
      <c r="A25">
        <v>23</v>
      </c>
      <c r="B25" t="s">
        <v>2211</v>
      </c>
      <c r="D25" t="s">
        <v>2204</v>
      </c>
    </row>
    <row r="26" spans="1:4" x14ac:dyDescent="0.25">
      <c r="A26">
        <v>24</v>
      </c>
      <c r="B26" t="s">
        <v>2212</v>
      </c>
      <c r="D26" t="s">
        <v>2204</v>
      </c>
    </row>
    <row r="27" spans="1:4" x14ac:dyDescent="0.25">
      <c r="A27">
        <v>25</v>
      </c>
      <c r="B27" t="s">
        <v>365</v>
      </c>
      <c r="D27" t="s">
        <v>2204</v>
      </c>
    </row>
    <row r="28" spans="1:4" x14ac:dyDescent="0.25">
      <c r="A28">
        <v>26</v>
      </c>
      <c r="B28" t="s">
        <v>57</v>
      </c>
      <c r="D28" t="s">
        <v>2204</v>
      </c>
    </row>
    <row r="29" spans="1:4" x14ac:dyDescent="0.25">
      <c r="A29">
        <v>27</v>
      </c>
      <c r="B29" t="s">
        <v>2213</v>
      </c>
      <c r="D29" t="s">
        <v>2204</v>
      </c>
    </row>
    <row r="30" spans="1:4" x14ac:dyDescent="0.25">
      <c r="A30">
        <v>28</v>
      </c>
      <c r="B30" t="s">
        <v>1591</v>
      </c>
      <c r="D30" t="s">
        <v>2204</v>
      </c>
    </row>
    <row r="31" spans="1:4" x14ac:dyDescent="0.25">
      <c r="A31">
        <v>29</v>
      </c>
      <c r="B31" t="s">
        <v>1701</v>
      </c>
      <c r="D31" t="s">
        <v>2204</v>
      </c>
    </row>
    <row r="32" spans="1:4" x14ac:dyDescent="0.25">
      <c r="A32">
        <v>30</v>
      </c>
      <c r="B32" t="s">
        <v>1894</v>
      </c>
      <c r="D32" t="s">
        <v>2204</v>
      </c>
    </row>
    <row r="33" spans="1:4" x14ac:dyDescent="0.25">
      <c r="A33">
        <v>31</v>
      </c>
      <c r="B33" t="s">
        <v>2214</v>
      </c>
      <c r="D33" t="s">
        <v>2204</v>
      </c>
    </row>
    <row r="34" spans="1:4" x14ac:dyDescent="0.25">
      <c r="A34">
        <v>32</v>
      </c>
      <c r="B34" t="s">
        <v>2215</v>
      </c>
      <c r="D34" t="s">
        <v>2204</v>
      </c>
    </row>
    <row r="35" spans="1:4" x14ac:dyDescent="0.25">
      <c r="A35">
        <v>33</v>
      </c>
      <c r="B35" t="s">
        <v>1046</v>
      </c>
      <c r="D35" t="s">
        <v>2204</v>
      </c>
    </row>
    <row r="36" spans="1:4" x14ac:dyDescent="0.25">
      <c r="A36">
        <v>34</v>
      </c>
      <c r="B36" t="s">
        <v>1125</v>
      </c>
      <c r="D36" t="s">
        <v>2204</v>
      </c>
    </row>
    <row r="37" spans="1:4" x14ac:dyDescent="0.25">
      <c r="A37">
        <v>35</v>
      </c>
      <c r="B37" t="s">
        <v>425</v>
      </c>
      <c r="D37" t="s">
        <v>2204</v>
      </c>
    </row>
    <row r="38" spans="1:4" x14ac:dyDescent="0.25">
      <c r="A38">
        <v>36</v>
      </c>
      <c r="B38" t="s">
        <v>2216</v>
      </c>
      <c r="D38" t="s">
        <v>2204</v>
      </c>
    </row>
    <row r="39" spans="1:4" x14ac:dyDescent="0.25">
      <c r="A39">
        <v>37</v>
      </c>
      <c r="B39" t="s">
        <v>1625</v>
      </c>
      <c r="D39" t="s">
        <v>2204</v>
      </c>
    </row>
    <row r="40" spans="1:4" x14ac:dyDescent="0.25">
      <c r="A40">
        <v>38</v>
      </c>
      <c r="B40" t="s">
        <v>2217</v>
      </c>
      <c r="D40" t="s">
        <v>2204</v>
      </c>
    </row>
    <row r="41" spans="1:4" x14ac:dyDescent="0.25">
      <c r="A41">
        <v>39</v>
      </c>
      <c r="B41" t="s">
        <v>1944</v>
      </c>
      <c r="D41" t="s">
        <v>2204</v>
      </c>
    </row>
    <row r="42" spans="1:4" x14ac:dyDescent="0.25">
      <c r="A42">
        <v>40</v>
      </c>
      <c r="B42" t="s">
        <v>2218</v>
      </c>
      <c r="D42" t="s">
        <v>2204</v>
      </c>
    </row>
    <row r="43" spans="1:4" x14ac:dyDescent="0.25">
      <c r="A43">
        <v>41</v>
      </c>
      <c r="B43" t="s">
        <v>656</v>
      </c>
      <c r="D43" t="s">
        <v>2204</v>
      </c>
    </row>
    <row r="44" spans="1:4" x14ac:dyDescent="0.25">
      <c r="A44">
        <v>42</v>
      </c>
      <c r="B44" t="s">
        <v>546</v>
      </c>
      <c r="D44" t="s">
        <v>2204</v>
      </c>
    </row>
    <row r="45" spans="1:4" x14ac:dyDescent="0.25">
      <c r="A45">
        <v>43</v>
      </c>
      <c r="B45" t="s">
        <v>2219</v>
      </c>
      <c r="D45" t="s">
        <v>2204</v>
      </c>
    </row>
    <row r="46" spans="1:4" x14ac:dyDescent="0.25">
      <c r="A46">
        <v>44</v>
      </c>
      <c r="B46" t="s">
        <v>1630</v>
      </c>
      <c r="D46" t="s">
        <v>2204</v>
      </c>
    </row>
    <row r="47" spans="1:4" x14ac:dyDescent="0.25">
      <c r="A47">
        <v>45</v>
      </c>
      <c r="B47" t="s">
        <v>167</v>
      </c>
      <c r="D47" t="s">
        <v>2204</v>
      </c>
    </row>
    <row r="48" spans="1:4" x14ac:dyDescent="0.25">
      <c r="A48">
        <v>46</v>
      </c>
      <c r="B48" t="s">
        <v>741</v>
      </c>
      <c r="D48" t="s">
        <v>2204</v>
      </c>
    </row>
    <row r="49" spans="1:4" x14ac:dyDescent="0.25">
      <c r="A49">
        <v>47</v>
      </c>
      <c r="B49" t="s">
        <v>1070</v>
      </c>
      <c r="D49" t="s">
        <v>2204</v>
      </c>
    </row>
    <row r="50" spans="1:4" x14ac:dyDescent="0.25">
      <c r="A50">
        <v>48</v>
      </c>
      <c r="B50" t="s">
        <v>2220</v>
      </c>
      <c r="D50" t="s">
        <v>2204</v>
      </c>
    </row>
    <row r="51" spans="1:4" x14ac:dyDescent="0.25">
      <c r="A51">
        <v>49</v>
      </c>
      <c r="B51" t="s">
        <v>2117</v>
      </c>
      <c r="D51" t="s">
        <v>2204</v>
      </c>
    </row>
    <row r="52" spans="1:4" x14ac:dyDescent="0.25">
      <c r="A52">
        <v>50</v>
      </c>
      <c r="B52" t="s">
        <v>2221</v>
      </c>
      <c r="D52" t="s">
        <v>2204</v>
      </c>
    </row>
    <row r="53" spans="1:4" x14ac:dyDescent="0.25">
      <c r="A53">
        <v>51</v>
      </c>
      <c r="B53" t="s">
        <v>808</v>
      </c>
      <c r="D53" t="s">
        <v>2204</v>
      </c>
    </row>
    <row r="54" spans="1:4" x14ac:dyDescent="0.25">
      <c r="A54">
        <v>52</v>
      </c>
      <c r="B54" t="s">
        <v>1334</v>
      </c>
      <c r="D54" t="s">
        <v>2204</v>
      </c>
    </row>
    <row r="55" spans="1:4" x14ac:dyDescent="0.25">
      <c r="A55">
        <v>53</v>
      </c>
      <c r="B55" t="s">
        <v>2222</v>
      </c>
      <c r="D55" t="s">
        <v>2204</v>
      </c>
    </row>
    <row r="56" spans="1:4" x14ac:dyDescent="0.25">
      <c r="A56">
        <v>54</v>
      </c>
      <c r="B56" t="s">
        <v>61</v>
      </c>
      <c r="D56" t="s">
        <v>2204</v>
      </c>
    </row>
    <row r="57" spans="1:4" x14ac:dyDescent="0.25">
      <c r="A57">
        <v>55</v>
      </c>
      <c r="B57" t="s">
        <v>840</v>
      </c>
      <c r="D57" t="s">
        <v>2204</v>
      </c>
    </row>
    <row r="58" spans="1:4" x14ac:dyDescent="0.25">
      <c r="A58">
        <v>56</v>
      </c>
      <c r="B58" t="s">
        <v>1550</v>
      </c>
      <c r="D58" t="s">
        <v>2204</v>
      </c>
    </row>
    <row r="59" spans="1:4" x14ac:dyDescent="0.25">
      <c r="A59">
        <v>57</v>
      </c>
      <c r="B59" t="s">
        <v>2223</v>
      </c>
      <c r="D59" t="s">
        <v>2204</v>
      </c>
    </row>
    <row r="60" spans="1:4" x14ac:dyDescent="0.25">
      <c r="A60">
        <v>58</v>
      </c>
      <c r="B60" t="s">
        <v>1420</v>
      </c>
      <c r="D60" t="s">
        <v>2204</v>
      </c>
    </row>
    <row r="61" spans="1:4" x14ac:dyDescent="0.25">
      <c r="A61">
        <v>59</v>
      </c>
      <c r="B61" t="s">
        <v>1576</v>
      </c>
      <c r="D61" t="s">
        <v>2204</v>
      </c>
    </row>
    <row r="62" spans="1:4" x14ac:dyDescent="0.25">
      <c r="A62">
        <v>60</v>
      </c>
      <c r="B62" t="s">
        <v>1524</v>
      </c>
      <c r="D62" t="s">
        <v>2204</v>
      </c>
    </row>
    <row r="63" spans="1:4" x14ac:dyDescent="0.25">
      <c r="A63">
        <v>61</v>
      </c>
      <c r="B63" t="s">
        <v>2224</v>
      </c>
      <c r="D63" t="s">
        <v>2204</v>
      </c>
    </row>
    <row r="64" spans="1:4" x14ac:dyDescent="0.25">
      <c r="A64">
        <v>62</v>
      </c>
      <c r="B64" t="s">
        <v>2225</v>
      </c>
      <c r="D64" t="s">
        <v>2204</v>
      </c>
    </row>
    <row r="65" spans="1:4" x14ac:dyDescent="0.25">
      <c r="A65">
        <v>63</v>
      </c>
      <c r="B65" t="s">
        <v>2226</v>
      </c>
      <c r="D65" t="s">
        <v>2204</v>
      </c>
    </row>
    <row r="66" spans="1:4" x14ac:dyDescent="0.25">
      <c r="A66">
        <v>64</v>
      </c>
      <c r="B66" t="s">
        <v>2227</v>
      </c>
      <c r="D66" t="s">
        <v>2204</v>
      </c>
    </row>
    <row r="67" spans="1:4" x14ac:dyDescent="0.25">
      <c r="A67">
        <v>65</v>
      </c>
      <c r="B67" t="s">
        <v>2043</v>
      </c>
      <c r="D67" t="s">
        <v>2204</v>
      </c>
    </row>
    <row r="68" spans="1:4" x14ac:dyDescent="0.25">
      <c r="A68">
        <v>66</v>
      </c>
      <c r="B68" t="s">
        <v>1927</v>
      </c>
      <c r="D68" t="s">
        <v>2204</v>
      </c>
    </row>
    <row r="69" spans="1:4" x14ac:dyDescent="0.25">
      <c r="A69">
        <v>67</v>
      </c>
      <c r="B69" t="s">
        <v>2228</v>
      </c>
      <c r="D69" t="s">
        <v>2204</v>
      </c>
    </row>
    <row r="70" spans="1:4" x14ac:dyDescent="0.25">
      <c r="A70">
        <v>68</v>
      </c>
      <c r="B70" t="s">
        <v>2229</v>
      </c>
      <c r="D70" t="s">
        <v>2204</v>
      </c>
    </row>
    <row r="71" spans="1:4" x14ac:dyDescent="0.25">
      <c r="A71">
        <v>69</v>
      </c>
      <c r="B71" t="s">
        <v>1852</v>
      </c>
      <c r="D71" t="s">
        <v>2204</v>
      </c>
    </row>
    <row r="72" spans="1:4" x14ac:dyDescent="0.25">
      <c r="A72">
        <v>70</v>
      </c>
      <c r="B72" t="s">
        <v>2230</v>
      </c>
      <c r="D72" t="s">
        <v>2204</v>
      </c>
    </row>
    <row r="73" spans="1:4" x14ac:dyDescent="0.25">
      <c r="A73">
        <v>71</v>
      </c>
      <c r="B73" t="s">
        <v>2009</v>
      </c>
      <c r="D73" t="s">
        <v>2204</v>
      </c>
    </row>
    <row r="74" spans="1:4" x14ac:dyDescent="0.25">
      <c r="A74">
        <v>72</v>
      </c>
      <c r="B74" t="s">
        <v>1750</v>
      </c>
      <c r="D74" t="s">
        <v>2204</v>
      </c>
    </row>
    <row r="75" spans="1:4" x14ac:dyDescent="0.25">
      <c r="A75">
        <v>73</v>
      </c>
      <c r="B75" t="s">
        <v>1734</v>
      </c>
      <c r="D75" t="s">
        <v>2204</v>
      </c>
    </row>
    <row r="76" spans="1:4" x14ac:dyDescent="0.25">
      <c r="A76">
        <v>74</v>
      </c>
      <c r="B76" t="s">
        <v>2231</v>
      </c>
      <c r="D76" t="s">
        <v>2204</v>
      </c>
    </row>
    <row r="77" spans="1:4" x14ac:dyDescent="0.25">
      <c r="A77">
        <v>75</v>
      </c>
      <c r="B77" t="s">
        <v>88</v>
      </c>
      <c r="D77" t="s">
        <v>2204</v>
      </c>
    </row>
    <row r="78" spans="1:4" x14ac:dyDescent="0.25">
      <c r="A78">
        <v>76</v>
      </c>
      <c r="B78" t="s">
        <v>717</v>
      </c>
      <c r="D78" t="s">
        <v>2204</v>
      </c>
    </row>
    <row r="79" spans="1:4" x14ac:dyDescent="0.25">
      <c r="A79">
        <v>77</v>
      </c>
      <c r="B79" t="s">
        <v>611</v>
      </c>
      <c r="D79" t="s">
        <v>2204</v>
      </c>
    </row>
    <row r="80" spans="1:4" x14ac:dyDescent="0.25">
      <c r="A80">
        <v>78</v>
      </c>
      <c r="B80" t="s">
        <v>324</v>
      </c>
      <c r="D80" t="s">
        <v>2204</v>
      </c>
    </row>
    <row r="81" spans="1:4" x14ac:dyDescent="0.25">
      <c r="A81">
        <v>79</v>
      </c>
      <c r="B81" t="s">
        <v>2232</v>
      </c>
      <c r="D81" t="s">
        <v>2204</v>
      </c>
    </row>
    <row r="82" spans="1:4" x14ac:dyDescent="0.25">
      <c r="A82">
        <v>80</v>
      </c>
      <c r="B82" t="s">
        <v>2233</v>
      </c>
      <c r="D82" t="s">
        <v>2204</v>
      </c>
    </row>
    <row r="83" spans="1:4" x14ac:dyDescent="0.25">
      <c r="A83">
        <v>81</v>
      </c>
      <c r="B83" t="s">
        <v>2234</v>
      </c>
      <c r="D83" t="s">
        <v>2204</v>
      </c>
    </row>
    <row r="84" spans="1:4" x14ac:dyDescent="0.25">
      <c r="A84">
        <v>82</v>
      </c>
      <c r="B84" t="s">
        <v>2235</v>
      </c>
      <c r="D84" t="s">
        <v>2204</v>
      </c>
    </row>
    <row r="85" spans="1:4" x14ac:dyDescent="0.25">
      <c r="A85">
        <v>83</v>
      </c>
      <c r="B85" t="s">
        <v>1871</v>
      </c>
      <c r="D85" t="s">
        <v>2204</v>
      </c>
    </row>
    <row r="86" spans="1:4" x14ac:dyDescent="0.25">
      <c r="A86">
        <v>84</v>
      </c>
      <c r="B86" t="s">
        <v>2236</v>
      </c>
      <c r="D86" t="s">
        <v>2204</v>
      </c>
    </row>
    <row r="87" spans="1:4" x14ac:dyDescent="0.25">
      <c r="A87">
        <v>85</v>
      </c>
      <c r="B87" t="s">
        <v>1940</v>
      </c>
      <c r="D87" t="s">
        <v>2204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5" activePane="bottomLeft" state="frozen"/>
      <selection pane="bottomLeft" activeCell="U83" sqref="U83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2237</v>
      </c>
      <c r="C1" s="96" t="s">
        <v>2238</v>
      </c>
      <c r="D1" s="96" t="s">
        <v>4</v>
      </c>
      <c r="E1" s="96" t="s">
        <v>2239</v>
      </c>
      <c r="F1" s="96" t="s">
        <v>19</v>
      </c>
      <c r="G1" s="96" t="s">
        <v>2240</v>
      </c>
      <c r="H1" s="96" t="s">
        <v>2241</v>
      </c>
      <c r="I1" s="96" t="s">
        <v>2242</v>
      </c>
      <c r="J1" s="96" t="s">
        <v>2243</v>
      </c>
      <c r="L1" s="129" t="s">
        <v>2244</v>
      </c>
      <c r="M1" s="100">
        <v>2026</v>
      </c>
      <c r="U1" s="162" t="s">
        <v>2245</v>
      </c>
      <c r="V1" s="161"/>
      <c r="X1" s="159" t="s">
        <v>2246</v>
      </c>
      <c r="Y1" s="107"/>
      <c r="Z1" s="107"/>
      <c r="AA1" s="107"/>
      <c r="AC1" s="253" t="s">
        <v>2247</v>
      </c>
    </row>
    <row r="2" spans="1:31" x14ac:dyDescent="0.25">
      <c r="A2" s="98" cm="1">
        <f t="array" ref="A2:J113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2248</v>
      </c>
      <c r="M2" s="283" t="s">
        <v>2249</v>
      </c>
      <c r="X2" s="160" t="s">
        <v>2237</v>
      </c>
      <c r="Y2" s="160" t="s">
        <v>19</v>
      </c>
      <c r="Z2" s="160" t="s">
        <v>2250</v>
      </c>
      <c r="AA2" s="160" t="s">
        <v>2251</v>
      </c>
      <c r="AC2" s="254" t="s">
        <v>1</v>
      </c>
      <c r="AD2" s="254" t="s">
        <v>2252</v>
      </c>
      <c r="AE2" s="254" t="s">
        <v>2253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2254</v>
      </c>
      <c r="M3" s="19" t="s">
        <v>2255</v>
      </c>
      <c r="N3" s="19" t="s">
        <v>2256</v>
      </c>
      <c r="O3" s="19" t="s">
        <v>2257</v>
      </c>
      <c r="P3" s="19" t="s">
        <v>2258</v>
      </c>
      <c r="Q3" s="19" t="s">
        <v>2259</v>
      </c>
      <c r="R3" s="19" t="s">
        <v>2260</v>
      </c>
      <c r="S3" s="19" t="s">
        <v>2261</v>
      </c>
      <c r="T3" s="19" t="s">
        <v>2262</v>
      </c>
      <c r="X3" t="s">
        <v>2263</v>
      </c>
      <c r="Y3" t="s">
        <v>2043</v>
      </c>
      <c r="Z3">
        <v>0</v>
      </c>
      <c r="AA3">
        <v>0</v>
      </c>
      <c r="AC3" s="248">
        <v>2026</v>
      </c>
      <c r="AD3" s="95" t="s">
        <v>1359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47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48">_xlfn.VSTACK(0,_xlfn._xlws.FILTER(S4:S200,S4:S200&lt;&gt;""))</f>
        <v>0</v>
      </c>
      <c r="X4" t="s">
        <v>2264</v>
      </c>
      <c r="Y4" t="s">
        <v>2043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2265</v>
      </c>
      <c r="Y5" t="s">
        <v>2059</v>
      </c>
      <c r="Z5">
        <v>1</v>
      </c>
      <c r="AA5">
        <v>0.6</v>
      </c>
      <c r="AC5" s="248">
        <v>2026</v>
      </c>
      <c r="AD5" s="95" t="s">
        <v>2266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2265</v>
      </c>
      <c r="Y6" t="s">
        <v>2217</v>
      </c>
      <c r="Z6">
        <v>1</v>
      </c>
      <c r="AA6">
        <v>0</v>
      </c>
      <c r="AC6" s="248">
        <v>2026</v>
      </c>
      <c r="AD6" s="95" t="s">
        <v>2267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2268</v>
      </c>
      <c r="Y7" t="s">
        <v>2043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2269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2269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2269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2269</v>
      </c>
      <c r="Y11" s="95" t="s">
        <v>2211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2269</v>
      </c>
      <c r="Y12" s="95" t="s">
        <v>2270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2271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2271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2271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2271</v>
      </c>
      <c r="Y16" s="95" t="s">
        <v>2211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2271</v>
      </c>
      <c r="Y17" s="95" t="s">
        <v>2270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 2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2272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2272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2272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2272</v>
      </c>
      <c r="Y21" s="95" t="s">
        <v>2211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2272</v>
      </c>
      <c r="Y22" s="95" t="s">
        <v>2270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Em andamento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2273</v>
      </c>
      <c r="Y23" s="95" t="s">
        <v>2059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2273</v>
      </c>
      <c r="Y24" s="95" t="s">
        <v>2217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2274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2274</v>
      </c>
      <c r="Y26" s="95" t="s">
        <v>2222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2275</v>
      </c>
      <c r="Y27" s="95" t="s">
        <v>2059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2275</v>
      </c>
      <c r="Y28" s="95" t="s">
        <v>2217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2276</v>
      </c>
      <c r="Y29" s="95" t="s">
        <v>2059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 2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Formação Inicial para Novos Auditores do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2276</v>
      </c>
      <c r="Y30" s="95" t="s">
        <v>2217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 2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2277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 2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2278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 2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2278</v>
      </c>
      <c r="Y33" t="s">
        <v>2230</v>
      </c>
      <c r="Z33">
        <v>4</v>
      </c>
      <c r="AA33">
        <v>0.6</v>
      </c>
      <c r="AC33" s="250"/>
      <c r="AD33" s="251" t="s">
        <v>2279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 2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2278</v>
      </c>
      <c r="Y34" t="s">
        <v>2231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2278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2278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2280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2280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2281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2282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2283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Em andamento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2283</v>
      </c>
      <c r="Y42" t="s">
        <v>2194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2284</v>
      </c>
      <c r="Y43" s="95" t="s">
        <v>2059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2284</v>
      </c>
      <c r="Y44" s="95" t="s">
        <v>2217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2285</v>
      </c>
      <c r="Y45" t="s">
        <v>2286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2285</v>
      </c>
      <c r="Y46" t="s">
        <v>2287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2285</v>
      </c>
      <c r="Y47" t="s">
        <v>2288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R48" t="str">
        <v/>
      </c>
      <c r="S48" t="str">
        <v/>
      </c>
      <c r="T48">
        <v>112</v>
      </c>
      <c r="X48" t="s">
        <v>2285</v>
      </c>
      <c r="Y48" t="s">
        <v>2289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R49" t="str">
        <v/>
      </c>
      <c r="S49" t="str">
        <v/>
      </c>
      <c r="X49" t="s">
        <v>2285</v>
      </c>
      <c r="Y49" t="s">
        <v>2290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R50" t="str">
        <v/>
      </c>
      <c r="S50" t="str">
        <v/>
      </c>
      <c r="X50" t="s">
        <v>2285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R51" t="str">
        <v/>
      </c>
      <c r="S51" t="str">
        <v/>
      </c>
      <c r="X51" t="s">
        <v>2285</v>
      </c>
      <c r="Y51" t="s">
        <v>2291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R52" t="str">
        <v/>
      </c>
      <c r="S52" t="str">
        <v/>
      </c>
      <c r="X52" t="s">
        <v>2285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Formação Inicial para Novos Auditores do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R53" t="str">
        <v/>
      </c>
      <c r="S53" t="str">
        <v/>
      </c>
      <c r="X53" t="s">
        <v>2285</v>
      </c>
      <c r="Y53" t="s">
        <v>2292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Formação Inicial para Novos Auditores do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R54" t="str">
        <v/>
      </c>
      <c r="S54" t="str">
        <v/>
      </c>
      <c r="X54" t="s">
        <v>2285</v>
      </c>
      <c r="Y54" t="s">
        <v>2293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Formação Inicial para Novos Auditores do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R55" t="str">
        <v/>
      </c>
      <c r="S55" t="str">
        <v/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Formação Inicial para Novos Auditores do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Formação Inicial para Novos Auditores do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R114" t="str">
        <v/>
      </c>
      <c r="S114" t="str">
        <v/>
      </c>
    </row>
    <row r="115" spans="1:19" x14ac:dyDescent="0.25">
      <c r="R115" t="str">
        <v/>
      </c>
      <c r="S115" t="str">
        <v/>
      </c>
    </row>
    <row r="116" spans="1:19" x14ac:dyDescent="0.25">
      <c r="R116" t="str">
        <v/>
      </c>
      <c r="S116" t="str">
        <v/>
      </c>
    </row>
    <row r="117" spans="1:19" x14ac:dyDescent="0.25">
      <c r="R117" t="str">
        <v/>
      </c>
      <c r="S117" t="str">
        <v/>
      </c>
    </row>
    <row r="118" spans="1:19" x14ac:dyDescent="0.25">
      <c r="R118" t="str">
        <v/>
      </c>
      <c r="S118" t="str">
        <v/>
      </c>
    </row>
    <row r="119" spans="1:19" x14ac:dyDescent="0.25">
      <c r="R119" t="str">
        <v/>
      </c>
      <c r="S119" t="str">
        <v/>
      </c>
    </row>
    <row r="120" spans="1:19" x14ac:dyDescent="0.25">
      <c r="R120" t="str">
        <v/>
      </c>
      <c r="S120" t="str">
        <v/>
      </c>
    </row>
    <row r="121" spans="1:19" x14ac:dyDescent="0.25">
      <c r="R121" t="str">
        <v/>
      </c>
      <c r="S121" t="str">
        <v/>
      </c>
    </row>
    <row r="122" spans="1:19" x14ac:dyDescent="0.25">
      <c r="R122" t="str">
        <v/>
      </c>
      <c r="S122" t="str">
        <v/>
      </c>
    </row>
    <row r="123" spans="1:19" x14ac:dyDescent="0.25">
      <c r="R123" t="str">
        <v/>
      </c>
      <c r="S123" t="str">
        <v/>
      </c>
    </row>
    <row r="124" spans="1:19" x14ac:dyDescent="0.25">
      <c r="R124" t="str">
        <v/>
      </c>
      <c r="S124" t="str">
        <v/>
      </c>
    </row>
    <row r="125" spans="1:19" x14ac:dyDescent="0.25">
      <c r="R125" t="str">
        <v/>
      </c>
      <c r="S125" t="str">
        <v/>
      </c>
    </row>
    <row r="126" spans="1:19" x14ac:dyDescent="0.25">
      <c r="R126" t="str">
        <v/>
      </c>
      <c r="S126" t="str">
        <v/>
      </c>
    </row>
    <row r="127" spans="1:19" x14ac:dyDescent="0.25">
      <c r="R127" t="str">
        <v/>
      </c>
      <c r="S127" t="str">
        <v/>
      </c>
    </row>
    <row r="128" spans="1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88" t="s">
        <v>2294</v>
      </c>
      <c r="B1" s="288"/>
      <c r="C1" s="288"/>
      <c r="D1" s="288"/>
      <c r="E1" s="288"/>
      <c r="F1" s="288"/>
      <c r="G1" s="288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89" t="s">
        <v>2295</v>
      </c>
      <c r="B4" s="290"/>
      <c r="D4" s="291" t="s">
        <v>2296</v>
      </c>
      <c r="E4" s="292"/>
      <c r="G4" s="125" t="s">
        <v>2297</v>
      </c>
    </row>
    <row r="5" spans="1:7" ht="54.95" customHeight="1" thickBot="1" x14ac:dyDescent="0.75">
      <c r="A5" s="115">
        <f>COUNTIF('Ações InCompany'!B:B,2026)</f>
        <v>56</v>
      </c>
      <c r="B5" s="116" t="s">
        <v>2298</v>
      </c>
      <c r="D5" s="123">
        <f>COUNTIFS('Ações InCompany'!B:B,2026,'Ações InCompany'!C:C,"Realizado")</f>
        <v>34</v>
      </c>
      <c r="E5" s="124" t="s">
        <v>2298</v>
      </c>
      <c r="G5" s="126">
        <f>COUNTIFS('Ações InCompany'!B:B,2026,'Ações InCompany'!C:C,"A realizar")</f>
        <v>18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6" t="s">
        <v>2299</v>
      </c>
      <c r="B8" s="286"/>
      <c r="D8" s="286" t="s">
        <v>2300</v>
      </c>
      <c r="E8" s="286"/>
    </row>
    <row r="9" spans="1:7" ht="5.0999999999999996" customHeight="1" x14ac:dyDescent="0.25">
      <c r="A9" s="287"/>
      <c r="B9" s="287"/>
      <c r="D9" s="287"/>
      <c r="E9" s="287"/>
    </row>
    <row r="10" spans="1:7" ht="24.95" customHeight="1" x14ac:dyDescent="0.25">
      <c r="A10" s="108" t="s">
        <v>5</v>
      </c>
      <c r="B10" s="108" t="s">
        <v>2301</v>
      </c>
      <c r="D10" s="108" t="s">
        <v>2302</v>
      </c>
      <c r="E10" s="108" t="s">
        <v>2303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16</v>
      </c>
      <c r="D11" s="109" t="s">
        <v>2304</v>
      </c>
      <c r="E11" s="110">
        <f>SUMIFS('Ações InCompany'!O:O,'Ações InCompany'!B:B,2026,'Ações InCompany'!C:C,"Realizado")</f>
        <v>504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12</v>
      </c>
      <c r="D12" s="111" t="s">
        <v>2305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2306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2307</v>
      </c>
      <c r="B14" s="114">
        <f>SUM(B11:B13)</f>
        <v>34</v>
      </c>
      <c r="D14" s="113" t="s">
        <v>2308</v>
      </c>
      <c r="E14" s="114">
        <f>SUM(E11:E13)</f>
        <v>1544</v>
      </c>
    </row>
    <row r="30" spans="1:5" ht="17.25" x14ac:dyDescent="0.3">
      <c r="A30" s="286" t="s">
        <v>2309</v>
      </c>
      <c r="B30" s="286"/>
      <c r="C30" s="286"/>
      <c r="D30" s="286"/>
      <c r="E30" s="286"/>
    </row>
    <row r="31" spans="1:5" ht="5.0999999999999996" customHeight="1" x14ac:dyDescent="0.25">
      <c r="A31" s="287"/>
      <c r="B31" s="287"/>
      <c r="C31" s="287"/>
      <c r="D31" s="287"/>
      <c r="E31" s="287"/>
    </row>
    <row r="32" spans="1:5" ht="24.95" customHeight="1" x14ac:dyDescent="0.25">
      <c r="A32" s="108" t="s">
        <v>6</v>
      </c>
      <c r="B32" s="108" t="s">
        <v>2310</v>
      </c>
      <c r="C32" s="108" t="s">
        <v>2311</v>
      </c>
      <c r="D32" s="108" t="s">
        <v>2312</v>
      </c>
      <c r="E32" s="108" t="s">
        <v>2313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6</v>
      </c>
      <c r="D33" s="117">
        <f t="shared" ref="D33:D44" si="0">B33+C33</f>
        <v>12</v>
      </c>
      <c r="E33" s="118">
        <f t="shared" ref="E33:E44" si="1">D33/$D$45</f>
        <v>0.23076923076923078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5.7692307692307696E-2</v>
      </c>
    </row>
    <row r="35" spans="1:5" ht="24" customHeight="1" x14ac:dyDescent="0.25">
      <c r="A35" s="109" t="s">
        <v>2057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0.11538461538461539</v>
      </c>
    </row>
    <row r="36" spans="1:5" ht="24" customHeight="1" x14ac:dyDescent="0.25">
      <c r="A36" s="111" t="s">
        <v>2041</v>
      </c>
      <c r="B36" s="119">
        <f>COUNTIFS('Ações InCompany'!B:B,2026,'Ações InCompany'!C:C,"Realizado",'Ações InCompany'!G:G,A36)</f>
        <v>1</v>
      </c>
      <c r="C36" s="128">
        <f>COUNTIFS('Ações InCompany'!B:B,2026,'Ações InCompany'!C:C,"A realizar",'Ações InCompany'!G:G,A36)</f>
        <v>0</v>
      </c>
      <c r="D36" s="119">
        <f t="shared" si="0"/>
        <v>1</v>
      </c>
      <c r="E36" s="120">
        <f t="shared" si="1"/>
        <v>1.9230769230769232E-2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3.8461538461538464E-2</v>
      </c>
    </row>
    <row r="38" spans="1:5" ht="24" customHeight="1" x14ac:dyDescent="0.25">
      <c r="A38" s="111" t="s">
        <v>2073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7</v>
      </c>
      <c r="D38" s="119">
        <f t="shared" si="0"/>
        <v>13</v>
      </c>
      <c r="E38" s="120">
        <f t="shared" si="1"/>
        <v>0.25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7.6923076923076927E-2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3.8461538461538464E-2</v>
      </c>
    </row>
    <row r="41" spans="1:5" ht="24" customHeight="1" x14ac:dyDescent="0.25">
      <c r="A41" s="155" t="s">
        <v>2036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0.13461538461538461</v>
      </c>
    </row>
    <row r="42" spans="1:5" ht="24" customHeight="1" x14ac:dyDescent="0.25">
      <c r="A42" s="156" t="s">
        <v>2314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3.8461538461538464E-2</v>
      </c>
    </row>
    <row r="44" spans="1:5" ht="24" customHeight="1" x14ac:dyDescent="0.25">
      <c r="A44" s="148" t="s">
        <v>2315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2307</v>
      </c>
      <c r="B45" s="121">
        <f>SUM(B33:B44)</f>
        <v>34</v>
      </c>
      <c r="C45" s="121">
        <f>SUM(C33:C44)</f>
        <v>18</v>
      </c>
      <c r="D45" s="121">
        <f>SUM(D33:D44)</f>
        <v>52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2316</v>
      </c>
      <c r="B1" s="12" t="s">
        <v>2317</v>
      </c>
      <c r="C1" s="13" t="s">
        <v>2318</v>
      </c>
      <c r="D1" s="13" t="s">
        <v>2319</v>
      </c>
      <c r="E1" s="13" t="s">
        <v>2320</v>
      </c>
    </row>
    <row r="2" spans="1:5" ht="18" customHeight="1" x14ac:dyDescent="0.25">
      <c r="A2" s="12" t="s">
        <v>2321</v>
      </c>
      <c r="B2" s="12" t="s">
        <v>2322</v>
      </c>
      <c r="C2" s="12" t="s">
        <v>1316</v>
      </c>
      <c r="D2" s="12" t="s">
        <v>2323</v>
      </c>
      <c r="E2" s="12" t="s">
        <v>2324</v>
      </c>
    </row>
    <row r="3" spans="1:5" ht="18" customHeight="1" x14ac:dyDescent="0.25">
      <c r="A3" s="12" t="s">
        <v>2321</v>
      </c>
      <c r="B3" s="12" t="s">
        <v>2322</v>
      </c>
      <c r="C3" s="14" t="s">
        <v>23</v>
      </c>
      <c r="D3" s="12" t="s">
        <v>2325</v>
      </c>
      <c r="E3" s="12" t="s">
        <v>2326</v>
      </c>
    </row>
    <row r="4" spans="1:5" ht="18" customHeight="1" x14ac:dyDescent="0.25">
      <c r="A4" s="12" t="s">
        <v>2321</v>
      </c>
      <c r="B4" s="12" t="s">
        <v>2322</v>
      </c>
      <c r="C4" s="12" t="s">
        <v>56</v>
      </c>
      <c r="D4" s="12" t="s">
        <v>2323</v>
      </c>
      <c r="E4" s="12" t="s">
        <v>2327</v>
      </c>
    </row>
    <row r="5" spans="1:5" ht="18" customHeight="1" x14ac:dyDescent="0.25">
      <c r="A5" s="12" t="s">
        <v>2321</v>
      </c>
      <c r="B5" s="12" t="s">
        <v>2322</v>
      </c>
      <c r="C5" s="12" t="s">
        <v>59</v>
      </c>
      <c r="D5" s="12" t="s">
        <v>2328</v>
      </c>
      <c r="E5" s="12" t="s">
        <v>2329</v>
      </c>
    </row>
    <row r="6" spans="1:5" ht="18" customHeight="1" x14ac:dyDescent="0.25">
      <c r="A6" s="12" t="s">
        <v>2321</v>
      </c>
      <c r="B6" s="12" t="s">
        <v>2322</v>
      </c>
      <c r="C6" s="12" t="s">
        <v>2073</v>
      </c>
      <c r="D6" s="12" t="s">
        <v>2330</v>
      </c>
      <c r="E6" s="12" t="s">
        <v>2331</v>
      </c>
    </row>
    <row r="7" spans="1:5" ht="18" customHeight="1" x14ac:dyDescent="0.25">
      <c r="A7" s="12" t="s">
        <v>2321</v>
      </c>
      <c r="B7" s="12" t="s">
        <v>2332</v>
      </c>
      <c r="C7" s="12" t="s">
        <v>30</v>
      </c>
      <c r="D7" s="12" t="s">
        <v>2333</v>
      </c>
      <c r="E7" s="12" t="s">
        <v>2334</v>
      </c>
    </row>
    <row r="8" spans="1:5" ht="18" customHeight="1" x14ac:dyDescent="0.25">
      <c r="A8" s="12" t="s">
        <v>2321</v>
      </c>
      <c r="B8" s="12" t="s">
        <v>2332</v>
      </c>
      <c r="C8" s="12" t="s">
        <v>34</v>
      </c>
      <c r="D8" s="12" t="s">
        <v>2335</v>
      </c>
      <c r="E8" s="12" t="s">
        <v>2336</v>
      </c>
    </row>
    <row r="9" spans="1:5" ht="18" customHeight="1" x14ac:dyDescent="0.25">
      <c r="A9" s="12" t="s">
        <v>2321</v>
      </c>
      <c r="B9" s="12" t="s">
        <v>2337</v>
      </c>
      <c r="C9" s="12" t="s">
        <v>353</v>
      </c>
      <c r="D9" s="12" t="s">
        <v>2338</v>
      </c>
      <c r="E9" s="12" t="s">
        <v>2339</v>
      </c>
    </row>
    <row r="10" spans="1:5" ht="18" customHeight="1" x14ac:dyDescent="0.25">
      <c r="A10" s="12" t="s">
        <v>2321</v>
      </c>
      <c r="B10" s="12" t="s">
        <v>2337</v>
      </c>
      <c r="C10" s="12" t="s">
        <v>157</v>
      </c>
      <c r="D10" s="12" t="s">
        <v>22</v>
      </c>
      <c r="E10" s="12" t="s">
        <v>2340</v>
      </c>
    </row>
    <row r="11" spans="1:5" ht="18" customHeight="1" x14ac:dyDescent="0.25">
      <c r="A11" s="12" t="s">
        <v>2321</v>
      </c>
      <c r="B11" s="12" t="s">
        <v>2337</v>
      </c>
      <c r="C11" s="12" t="s">
        <v>283</v>
      </c>
      <c r="D11" s="12" t="s">
        <v>22</v>
      </c>
      <c r="E11" s="12" t="s">
        <v>2341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2342</v>
      </c>
      <c r="B1" s="5" t="s">
        <v>10</v>
      </c>
      <c r="C1" s="15" t="s">
        <v>2343</v>
      </c>
      <c r="D1" s="15" t="s">
        <v>2238</v>
      </c>
    </row>
    <row r="2" spans="1:4" ht="21" customHeight="1" x14ac:dyDescent="0.25">
      <c r="A2" s="258" t="s">
        <v>22</v>
      </c>
      <c r="B2" s="258" t="s">
        <v>32</v>
      </c>
      <c r="C2" s="12" t="s">
        <v>2344</v>
      </c>
      <c r="D2" s="12" t="s">
        <v>2103</v>
      </c>
    </row>
    <row r="3" spans="1:4" ht="21" customHeight="1" x14ac:dyDescent="0.25">
      <c r="A3" s="12" t="s">
        <v>51</v>
      </c>
      <c r="B3" s="258" t="s">
        <v>25</v>
      </c>
      <c r="C3" s="12" t="s">
        <v>2345</v>
      </c>
      <c r="D3" s="12" t="s">
        <v>2012</v>
      </c>
    </row>
    <row r="4" spans="1:4" ht="21" customHeight="1" x14ac:dyDescent="0.25">
      <c r="A4" s="14" t="s">
        <v>66</v>
      </c>
      <c r="B4" s="258" t="s">
        <v>174</v>
      </c>
      <c r="D4" s="12" t="s">
        <v>2089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2316</v>
      </c>
      <c r="B1" s="12" t="s">
        <v>2317</v>
      </c>
      <c r="C1" s="13" t="s">
        <v>2318</v>
      </c>
      <c r="D1" s="13" t="s">
        <v>2319</v>
      </c>
      <c r="E1" s="13" t="s">
        <v>2320</v>
      </c>
    </row>
    <row r="2" spans="1:5" ht="18" customHeight="1" x14ac:dyDescent="0.25">
      <c r="A2" s="12" t="s">
        <v>2346</v>
      </c>
      <c r="B2" s="12" t="s">
        <v>2322</v>
      </c>
      <c r="C2" s="14" t="s">
        <v>23</v>
      </c>
      <c r="D2" s="12" t="s">
        <v>2323</v>
      </c>
      <c r="E2" s="18" t="s">
        <v>2347</v>
      </c>
    </row>
    <row r="3" spans="1:5" ht="18" customHeight="1" x14ac:dyDescent="0.25">
      <c r="A3" s="12" t="s">
        <v>2346</v>
      </c>
      <c r="B3" s="12" t="s">
        <v>2322</v>
      </c>
      <c r="C3" s="12" t="s">
        <v>56</v>
      </c>
      <c r="D3" s="12" t="s">
        <v>2325</v>
      </c>
      <c r="E3" s="12" t="s">
        <v>2348</v>
      </c>
    </row>
    <row r="4" spans="1:5" ht="18" customHeight="1" x14ac:dyDescent="0.25">
      <c r="A4" s="12" t="s">
        <v>2346</v>
      </c>
      <c r="B4" s="12" t="s">
        <v>2322</v>
      </c>
      <c r="C4" s="12" t="s">
        <v>59</v>
      </c>
      <c r="D4" s="12" t="s">
        <v>2328</v>
      </c>
      <c r="E4" s="12" t="s">
        <v>2349</v>
      </c>
    </row>
    <row r="5" spans="1:5" ht="27.75" customHeight="1" x14ac:dyDescent="0.25">
      <c r="A5" s="12" t="s">
        <v>2346</v>
      </c>
      <c r="B5" s="12" t="s">
        <v>2322</v>
      </c>
      <c r="C5" s="12" t="s">
        <v>2036</v>
      </c>
      <c r="D5" s="18" t="s">
        <v>2350</v>
      </c>
      <c r="E5" s="12" t="s">
        <v>2351</v>
      </c>
    </row>
    <row r="6" spans="1:5" ht="18" customHeight="1" x14ac:dyDescent="0.25">
      <c r="A6" s="12" t="s">
        <v>2346</v>
      </c>
      <c r="B6" s="12" t="s">
        <v>2322</v>
      </c>
      <c r="C6" s="12" t="s">
        <v>2073</v>
      </c>
      <c r="D6" s="12" t="s">
        <v>2330</v>
      </c>
      <c r="E6" s="12" t="s">
        <v>2331</v>
      </c>
    </row>
    <row r="7" spans="1:5" ht="18" customHeight="1" x14ac:dyDescent="0.25">
      <c r="A7" s="12" t="s">
        <v>2346</v>
      </c>
      <c r="B7" s="12" t="s">
        <v>2332</v>
      </c>
      <c r="C7" s="12" t="s">
        <v>2057</v>
      </c>
      <c r="D7" s="12" t="s">
        <v>2352</v>
      </c>
      <c r="E7" s="12" t="s">
        <v>2353</v>
      </c>
    </row>
    <row r="8" spans="1:5" ht="18" customHeight="1" x14ac:dyDescent="0.25">
      <c r="A8" s="12" t="s">
        <v>2346</v>
      </c>
      <c r="B8" s="12" t="s">
        <v>2332</v>
      </c>
      <c r="C8" s="12" t="s">
        <v>34</v>
      </c>
      <c r="D8" s="12" t="s">
        <v>2335</v>
      </c>
      <c r="E8" s="12" t="s">
        <v>2336</v>
      </c>
    </row>
    <row r="9" spans="1:5" ht="18" customHeight="1" x14ac:dyDescent="0.25">
      <c r="A9" s="12" t="s">
        <v>2346</v>
      </c>
      <c r="B9" s="12" t="s">
        <v>2332</v>
      </c>
      <c r="C9" s="12" t="s">
        <v>2041</v>
      </c>
      <c r="D9" s="12" t="s">
        <v>2354</v>
      </c>
      <c r="E9" s="18" t="s">
        <v>2355</v>
      </c>
    </row>
    <row r="10" spans="1:5" ht="18" customHeight="1" x14ac:dyDescent="0.25">
      <c r="A10" s="12" t="s">
        <v>2346</v>
      </c>
      <c r="B10" s="12" t="s">
        <v>2356</v>
      </c>
      <c r="C10" s="12" t="s">
        <v>2314</v>
      </c>
      <c r="D10" s="12" t="s">
        <v>2357</v>
      </c>
      <c r="E10" s="18" t="s">
        <v>2358</v>
      </c>
    </row>
    <row r="11" spans="1:5" ht="18" customHeight="1" x14ac:dyDescent="0.25">
      <c r="A11" s="12" t="s">
        <v>2346</v>
      </c>
      <c r="B11" s="12" t="s">
        <v>2356</v>
      </c>
      <c r="C11" s="12" t="s">
        <v>157</v>
      </c>
      <c r="D11" s="12" t="s">
        <v>22</v>
      </c>
      <c r="E11" s="12" t="s">
        <v>2340</v>
      </c>
    </row>
    <row r="12" spans="1:5" ht="18" customHeight="1" x14ac:dyDescent="0.25">
      <c r="A12" s="12" t="s">
        <v>2346</v>
      </c>
      <c r="B12" s="12" t="s">
        <v>2356</v>
      </c>
      <c r="C12" s="12" t="s">
        <v>283</v>
      </c>
      <c r="D12" s="12" t="s">
        <v>22</v>
      </c>
      <c r="E12" s="12" t="s">
        <v>2341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3" t="s">
        <v>2359</v>
      </c>
      <c r="B1" s="293"/>
      <c r="C1" s="293"/>
      <c r="D1" s="293"/>
      <c r="E1" s="293"/>
      <c r="F1" s="293"/>
      <c r="G1" s="293"/>
      <c r="H1" s="293"/>
    </row>
    <row r="2" spans="1:8" x14ac:dyDescent="0.25">
      <c r="A2" s="130" t="s">
        <v>2360</v>
      </c>
    </row>
    <row r="4" spans="1:8" ht="21.95" customHeight="1" x14ac:dyDescent="0.25">
      <c r="A4" s="294" t="s">
        <v>2361</v>
      </c>
      <c r="B4" s="295"/>
      <c r="D4" s="294" t="s">
        <v>2362</v>
      </c>
      <c r="E4" s="295"/>
      <c r="G4" s="294" t="s">
        <v>2363</v>
      </c>
      <c r="H4" s="295"/>
    </row>
    <row r="5" spans="1:8" ht="35.1" customHeight="1" x14ac:dyDescent="0.25">
      <c r="A5" s="298">
        <f>COUNTIF('Ações InCompany'!E:E,"*maratona*")</f>
        <v>13</v>
      </c>
      <c r="B5" s="297"/>
      <c r="D5" s="296">
        <f>SUM(H8:H100)</f>
        <v>1762</v>
      </c>
      <c r="E5" s="297"/>
      <c r="G5" s="296">
        <f>IFERROR(ROUND(D5/A5,0),"-")</f>
        <v>136</v>
      </c>
      <c r="H5" s="297"/>
    </row>
    <row r="6" spans="1:8" ht="9.9499999999999993" customHeight="1" x14ac:dyDescent="0.25"/>
    <row r="7" spans="1:8" ht="24.95" customHeight="1" thickBot="1" x14ac:dyDescent="0.3">
      <c r="A7" s="143" t="s">
        <v>2364</v>
      </c>
      <c r="B7" s="143" t="s">
        <v>2365</v>
      </c>
      <c r="C7" s="143" t="s">
        <v>1</v>
      </c>
      <c r="D7" s="143" t="s">
        <v>2366</v>
      </c>
      <c r="E7" s="143" t="s">
        <v>2367</v>
      </c>
      <c r="F7" s="143" t="s">
        <v>2238</v>
      </c>
      <c r="G7" s="143" t="s">
        <v>5</v>
      </c>
      <c r="H7" s="143" t="s">
        <v>2368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5" activePane="bottomLeft" state="frozen"/>
      <selection pane="bottomLeft" activeCell="K18" sqref="K1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99" t="s">
        <v>2369</v>
      </c>
      <c r="B1" s="299"/>
      <c r="C1" s="299"/>
      <c r="D1" s="299"/>
      <c r="E1" s="299"/>
      <c r="F1" s="299"/>
    </row>
    <row r="2" spans="1:7" x14ac:dyDescent="0.25">
      <c r="A2" s="300" t="s">
        <v>2370</v>
      </c>
      <c r="B2" s="300"/>
      <c r="C2" s="300"/>
      <c r="D2" s="300"/>
      <c r="E2" s="300"/>
      <c r="F2" s="300"/>
    </row>
    <row r="4" spans="1:7" x14ac:dyDescent="0.25">
      <c r="A4" s="102" t="s">
        <v>19</v>
      </c>
      <c r="B4" s="102" t="s">
        <v>2241</v>
      </c>
      <c r="C4" s="102" t="s">
        <v>2242</v>
      </c>
      <c r="D4" s="102" t="s">
        <v>2371</v>
      </c>
      <c r="E4" s="102" t="s">
        <v>2243</v>
      </c>
      <c r="F4" s="102" t="s">
        <v>2372</v>
      </c>
    </row>
    <row r="5" spans="1:7" x14ac:dyDescent="0.25">
      <c r="A5" t="str" cm="1">
        <f t="array" ref="A5:A44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Carolina Pereira de Oliveira</v>
      </c>
      <c r="B9" s="103">
        <f>IF($A9="","",SUMIFS('GECC 2026'!H$2:H$200,'GECC 2026'!F$2:F$200,$A9))</f>
        <v>1</v>
      </c>
      <c r="C9" s="103">
        <f>IF($A9="","",SUMIFS('GECC 2026'!I$2:I$200,'GECC 2026'!F$2:F$200,$A9))</f>
        <v>0.3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1.3</v>
      </c>
      <c r="F9" s="101">
        <f>IF($A9="","",COUNTIFS('GECC 2026'!F$2:F$200,$A9))</f>
        <v>1</v>
      </c>
    </row>
    <row r="10" spans="1:7" x14ac:dyDescent="0.25">
      <c r="A10" t="str">
        <v>Cássio Murilo Alves Costa Filho</v>
      </c>
      <c r="B10" s="103">
        <f>IF($A10="","",SUMIFS('GECC 2026'!H$2:H$200,'GECC 2026'!F$2:F$200,$A10))</f>
        <v>16</v>
      </c>
      <c r="C10" s="103">
        <f>IF($A10="","",SUMIFS('GECC 2026'!I$2:I$200,'GECC 2026'!F$2:F$200,$A10))</f>
        <v>4.8</v>
      </c>
      <c r="D10" s="255">
        <f>IF($A10="","",SUMIFS('GECC 2026'!$AE$3:$AE$32,'GECC 2026'!$AD$3:$AD$32,$A10))</f>
        <v>16</v>
      </c>
      <c r="E10" s="240">
        <f>IF($A10="","",SUMIFS('GECC 2026'!J$2:J$200,'GECC 2026'!F$2:F$200,$A10)+SUMIFS('GECC 2026'!$AE$3:$AE$32,'GECC 2026'!$AD$3:$AD$32,$A10))</f>
        <v>36.799999999999997</v>
      </c>
      <c r="F10" s="101">
        <f>IF($A10="","",COUNTIFS('GECC 2026'!F$2:F$200,$A10))</f>
        <v>1</v>
      </c>
    </row>
    <row r="11" spans="1:7" x14ac:dyDescent="0.25">
      <c r="A11" t="str">
        <v>Cinthia Thais de Carvalho Luz Thomazi</v>
      </c>
      <c r="B11" s="103">
        <f>IF($A11="","",SUMIFS('GECC 2026'!H$2:H$200,'GECC 2026'!F$2:F$200,$A11))</f>
        <v>61</v>
      </c>
      <c r="C11" s="103">
        <f>IF($A11="","",SUMIFS('GECC 2026'!I$2:I$200,'GECC 2026'!F$2:F$200,$A11))</f>
        <v>7.9800000000000013</v>
      </c>
      <c r="D11" s="255">
        <f>IF($A11="","",SUMIFS('GECC 2026'!$AE$3:$AE$32,'GECC 2026'!$AD$3:$AD$32,$A11))</f>
        <v>0</v>
      </c>
      <c r="E11" s="240">
        <f>IF($A11="","",SUMIFS('GECC 2026'!J$2:J$200,'GECC 2026'!F$2:F$200,$A11)+SUMIFS('GECC 2026'!$AE$3:$AE$32,'GECC 2026'!$AD$3:$AD$32,$A11))</f>
        <v>68.98</v>
      </c>
      <c r="F11" s="101">
        <f>IF($A11="","",COUNTIFS('GECC 2026'!F$2:F$200,$A11))</f>
        <v>12</v>
      </c>
    </row>
    <row r="12" spans="1:7" x14ac:dyDescent="0.25">
      <c r="A12" t="str">
        <v>Davi Assunção Salvador Nery de Castro</v>
      </c>
      <c r="B12" s="103">
        <f>IF($A12="","",SUMIFS('GECC 2026'!H$2:H$200,'GECC 2026'!F$2:F$200,$A12))</f>
        <v>12</v>
      </c>
      <c r="C12" s="103">
        <f>IF($A12="","",SUMIFS('GECC 2026'!I$2:I$200,'GECC 2026'!F$2:F$200,$A12))</f>
        <v>1.2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13.2</v>
      </c>
      <c r="F12" s="101">
        <f>IF($A12="","",COUNTIFS('GECC 2026'!F$2:F$200,$A12))</f>
        <v>1</v>
      </c>
    </row>
    <row r="13" spans="1:7" x14ac:dyDescent="0.25">
      <c r="A13" t="str">
        <v>David da Silva de Araújo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Denise Duarte Guirra Kuhlmann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2.6399999999999997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14.64</v>
      </c>
      <c r="F14" s="101">
        <f>IF($A14="","",COUNTIFS('GECC 2026'!F$2:F$200,$A14))</f>
        <v>3</v>
      </c>
    </row>
    <row r="15" spans="1:7" x14ac:dyDescent="0.25">
      <c r="A15" t="str">
        <v>Diversos</v>
      </c>
      <c r="B15" s="103">
        <f>IF($A15="","",SUMIFS('GECC 2026'!H$2:H$200,'GECC 2026'!F$2:F$200,$A15))</f>
        <v>0</v>
      </c>
      <c r="C15" s="103">
        <f>IF($A15="","",SUMIFS('GECC 2026'!I$2:I$200,'GECC 2026'!F$2:F$200,$A15))</f>
        <v>0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0</v>
      </c>
      <c r="F15" s="101">
        <f>IF($A15="","",COUNTIFS('GECC 2026'!F$2:F$200,$A15))</f>
        <v>2</v>
      </c>
    </row>
    <row r="16" spans="1:7" x14ac:dyDescent="0.25">
      <c r="A16" t="str">
        <v>Eustáquio Rabelo de Souza</v>
      </c>
      <c r="B16" s="103">
        <f>IF($A16="","",SUMIFS('GECC 2026'!H$2:H$200,'GECC 2026'!F$2:F$200,$A16))</f>
        <v>1</v>
      </c>
      <c r="C16" s="103">
        <f>IF($A16="","",SUMIFS('GECC 2026'!I$2:I$200,'GECC 2026'!F$2:F$200,$A16))</f>
        <v>0.3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1.3</v>
      </c>
      <c r="F16" s="101">
        <f>IF($A16="","",COUNTIFS('GECC 2026'!F$2:F$200,$A16))</f>
        <v>1</v>
      </c>
    </row>
    <row r="17" spans="1:6" x14ac:dyDescent="0.25">
      <c r="A17" t="str">
        <v>Felipe da Costa Malaquias</v>
      </c>
      <c r="B17" s="103">
        <f>IF($A17="","",SUMIFS('GECC 2026'!H$2:H$200,'GECC 2026'!F$2:F$200,$A17))</f>
        <v>8</v>
      </c>
      <c r="C17" s="103">
        <f>IF($A17="","",SUMIFS('GECC 2026'!I$2:I$200,'GECC 2026'!F$2:F$200,$A17))</f>
        <v>37.299999999999997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45.3</v>
      </c>
      <c r="F17" s="101">
        <f>IF($A17="","",COUNTIFS('GECC 2026'!F$2:F$200,$A17))</f>
        <v>2</v>
      </c>
    </row>
    <row r="18" spans="1:6" x14ac:dyDescent="0.25">
      <c r="A18" t="str">
        <v>Felipe Ramos Barbosa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Fernanda Viana de Souza</v>
      </c>
      <c r="B19" s="103">
        <f>IF($A19="","",SUMIFS('GECC 2026'!H$2:H$200,'GECC 2026'!F$2:F$200,$A19))</f>
        <v>39</v>
      </c>
      <c r="C19" s="103">
        <f>IF($A19="","",SUMIFS('GECC 2026'!I$2:I$200,'GECC 2026'!F$2:F$200,$A19))</f>
        <v>4.5300000000000011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43.530000000000008</v>
      </c>
      <c r="F19" s="101">
        <f>IF($A19="","",COUNTIFS('GECC 2026'!F$2:F$200,$A19))</f>
        <v>10</v>
      </c>
    </row>
    <row r="20" spans="1:6" x14ac:dyDescent="0.25">
      <c r="A20" t="str">
        <v>Flávio José Fonseca de Souza</v>
      </c>
      <c r="B20" s="103">
        <f>IF($A20="","",SUMIFS('GECC 2026'!H$2:H$200,'GECC 2026'!F$2:F$200,$A20))</f>
        <v>8</v>
      </c>
      <c r="C20" s="103">
        <f>IF($A20="","",SUMIFS('GECC 2026'!I$2:I$200,'GECC 2026'!F$2:F$200,$A20))</f>
        <v>37.299999999999997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45.3</v>
      </c>
      <c r="F20" s="101">
        <f>IF($A20="","",COUNTIFS('GECC 2026'!F$2:F$200,$A20))</f>
        <v>2</v>
      </c>
    </row>
    <row r="21" spans="1:6" x14ac:dyDescent="0.25">
      <c r="A21" t="str">
        <v>Gabriel Heller</v>
      </c>
      <c r="B21" s="103">
        <f>IF($A21="","",SUMIFS('GECC 2026'!H$2:H$200,'GECC 2026'!F$2:F$200,$A21))</f>
        <v>4</v>
      </c>
      <c r="C21" s="103">
        <f>IF($A21="","",SUMIFS('GECC 2026'!I$2:I$200,'GECC 2026'!F$2:F$200,$A21))</f>
        <v>33.200000000000003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37.200000000000003</v>
      </c>
      <c r="F21" s="101">
        <f>IF($A21="","",COUNTIFS('GECC 2026'!F$2:F$200,$A21))</f>
        <v>2</v>
      </c>
    </row>
    <row r="22" spans="1:6" x14ac:dyDescent="0.25">
      <c r="A22" t="str">
        <v>Guilherme Bride Fernandes</v>
      </c>
      <c r="B22" s="103">
        <f>IF($A22="","",SUMIFS('GECC 2026'!H$2:H$200,'GECC 2026'!F$2:F$200,$A22))</f>
        <v>0</v>
      </c>
      <c r="C22" s="103">
        <f>IF($A22="","",SUMIFS('GECC 2026'!I$2:I$200,'GECC 2026'!F$2:F$200,$A22))</f>
        <v>0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0</v>
      </c>
      <c r="F22" s="101">
        <f>IF($A22="","",COUNTIFS('GECC 2026'!F$2:F$200,$A22))</f>
        <v>1</v>
      </c>
    </row>
    <row r="23" spans="1:6" x14ac:dyDescent="0.25">
      <c r="A23" t="str">
        <v>Gustavo Takahashi</v>
      </c>
      <c r="B23" s="103">
        <f>IF($A23="","",SUMIFS('GECC 2026'!H$2:H$200,'GECC 2026'!F$2:F$200,$A23))</f>
        <v>33</v>
      </c>
      <c r="C23" s="103">
        <f>IF($A23="","",SUMIFS('GECC 2026'!I$2:I$200,'GECC 2026'!F$2:F$200,$A23))</f>
        <v>0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33</v>
      </c>
      <c r="F23" s="101">
        <f>IF($A23="","",COUNTIFS('GECC 2026'!F$2:F$200,$A23))</f>
        <v>5</v>
      </c>
    </row>
    <row r="24" spans="1:6" x14ac:dyDescent="0.25">
      <c r="A24" t="str">
        <v>Hamilton de Jesus Lopes Neto</v>
      </c>
      <c r="B24" s="103">
        <f>IF($A24="","",SUMIFS('GECC 2026'!H$2:H$200,'GECC 2026'!F$2:F$200,$A24))</f>
        <v>12</v>
      </c>
      <c r="C24" s="103">
        <f>IF($A24="","",SUMIFS('GECC 2026'!I$2:I$200,'GECC 2026'!F$2:F$200,$A24))</f>
        <v>1.2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13.2</v>
      </c>
      <c r="F24" s="101">
        <f>IF($A24="","",COUNTIFS('GECC 2026'!F$2:F$200,$A24))</f>
        <v>1</v>
      </c>
    </row>
    <row r="25" spans="1:6" x14ac:dyDescent="0.25">
      <c r="A25" t="str">
        <v>Igor Queiroz</v>
      </c>
      <c r="B25" s="103">
        <f>IF($A25="","",SUMIFS('GECC 2026'!H$2:H$200,'GECC 2026'!F$2:F$200,$A25))</f>
        <v>1</v>
      </c>
      <c r="C25" s="103">
        <f>IF($A25="","",SUMIFS('GECC 2026'!I$2:I$200,'GECC 2026'!F$2:F$200,$A25))</f>
        <v>0.3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1.3</v>
      </c>
      <c r="F25" s="101">
        <f>IF($A25="","",COUNTIFS('GECC 2026'!F$2:F$200,$A25))</f>
        <v>1</v>
      </c>
    </row>
    <row r="26" spans="1:6" x14ac:dyDescent="0.25">
      <c r="A26" t="str">
        <v>Indio Artiaga do Brasil Rabelo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3.6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15.6</v>
      </c>
      <c r="F26" s="101">
        <f>IF($A26="","",COUNTIFS('GECC 2026'!F$2:F$200,$A26))</f>
        <v>1</v>
      </c>
    </row>
    <row r="27" spans="1:6" x14ac:dyDescent="0.25">
      <c r="A27" t="str">
        <v>José Roberto Alcuri Júnior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Leonardo de Melo</v>
      </c>
      <c r="B28" s="103">
        <f>IF($A28="","",SUMIFS('GECC 2026'!H$2:H$200,'GECC 2026'!F$2:F$200,$A28))</f>
        <v>0</v>
      </c>
      <c r="C28" s="103">
        <f>IF($A28="","",SUMIFS('GECC 2026'!I$2:I$200,'GECC 2026'!F$2:F$200,$A28))</f>
        <v>0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0</v>
      </c>
      <c r="F28" s="101">
        <f>IF($A28="","",COUNTIFS('GECC 2026'!F$2:F$200,$A28))</f>
        <v>1</v>
      </c>
    </row>
    <row r="29" spans="1:6" x14ac:dyDescent="0.25">
      <c r="A29" t="str">
        <v>Leonardo José Alves Leal Neri</v>
      </c>
      <c r="B29" s="103">
        <f>IF($A29="","",SUMIFS('GECC 2026'!H$2:H$200,'GECC 2026'!F$2:F$200,$A29))</f>
        <v>40</v>
      </c>
      <c r="C29" s="103">
        <f>IF($A29="","",SUMIFS('GECC 2026'!I$2:I$200,'GECC 2026'!F$2:F$200,$A29))</f>
        <v>12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52</v>
      </c>
      <c r="F29" s="101">
        <f>IF($A29="","",COUNTIFS('GECC 2026'!F$2:F$200,$A29))</f>
        <v>2</v>
      </c>
    </row>
    <row r="30" spans="1:6" x14ac:dyDescent="0.25">
      <c r="A30" t="str">
        <v>Luciana Alvim</v>
      </c>
      <c r="B30" s="103">
        <f>IF($A30="","",SUMIFS('GECC 2026'!H$2:H$200,'GECC 2026'!F$2:F$200,$A30))</f>
        <v>60</v>
      </c>
      <c r="C30" s="103">
        <f>IF($A30="","",SUMIFS('GECC 2026'!I$2:I$200,'GECC 2026'!F$2:F$200,$A30))</f>
        <v>94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154</v>
      </c>
      <c r="F30" s="101">
        <f>IF($A30="","",COUNTIFS('GECC 2026'!F$2:F$200,$A30))</f>
        <v>6</v>
      </c>
    </row>
    <row r="31" spans="1:6" x14ac:dyDescent="0.25">
      <c r="A31" t="str">
        <v>Luiz Felipe Tenório de Lima Gondim</v>
      </c>
      <c r="B31" s="103">
        <f>IF($A31="","",SUMIFS('GECC 2026'!H$2:H$200,'GECC 2026'!F$2:F$200,$A31))</f>
        <v>24</v>
      </c>
      <c r="C31" s="103">
        <f>IF($A31="","",SUMIFS('GECC 2026'!I$2:I$200,'GECC 2026'!F$2:F$200,$A31))</f>
        <v>1.44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25.440000000000005</v>
      </c>
      <c r="F31" s="101">
        <f>IF($A31="","",COUNTIFS('GECC 2026'!F$2:F$200,$A31))</f>
        <v>6</v>
      </c>
    </row>
    <row r="32" spans="1:6" x14ac:dyDescent="0.25">
      <c r="A32" t="str">
        <v>Marcelo Bálbio Moraes</v>
      </c>
      <c r="B32" s="103">
        <f>IF($A32="","",SUMIFS('GECC 2026'!H$2:H$200,'GECC 2026'!F$2:F$200,$A32))</f>
        <v>0</v>
      </c>
      <c r="C32" s="103">
        <f>IF($A32="","",SUMIFS('GECC 2026'!I$2:I$200,'GECC 2026'!F$2:F$200,$A32))</f>
        <v>0</v>
      </c>
      <c r="D32" s="255">
        <f>IF($A32="","",SUMIFS('GECC 2026'!$AE$3:$AE$32,'GECC 2026'!$AD$3:$AD$32,$A32))</f>
        <v>16</v>
      </c>
      <c r="E32" s="240">
        <f>IF($A32="","",SUMIFS('GECC 2026'!J$2:J$200,'GECC 2026'!F$2:F$200,$A32)+SUMIFS('GECC 2026'!$AE$3:$AE$32,'GECC 2026'!$AD$3:$AD$32,$A32))</f>
        <v>16</v>
      </c>
      <c r="F32" s="101">
        <f>IF($A32="","",COUNTIFS('GECC 2026'!F$2:F$200,$A32))</f>
        <v>0</v>
      </c>
    </row>
    <row r="33" spans="1:6" x14ac:dyDescent="0.25">
      <c r="A33" t="str">
        <v>Marcelo Santana</v>
      </c>
      <c r="B33" s="103">
        <f>IF($A33="","",SUMIFS('GECC 2026'!H$2:H$200,'GECC 2026'!F$2:F$200,$A33))</f>
        <v>1</v>
      </c>
      <c r="C33" s="103">
        <f>IF($A33="","",SUMIFS('GECC 2026'!I$2:I$200,'GECC 2026'!F$2:F$200,$A33))</f>
        <v>0.3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1.3</v>
      </c>
      <c r="F33" s="101">
        <f>IF($A33="","",COUNTIFS('GECC 2026'!F$2:F$200,$A33))</f>
        <v>1</v>
      </c>
    </row>
    <row r="34" spans="1:6" x14ac:dyDescent="0.25">
      <c r="A34" t="str">
        <v>Mauri Siqueira Montessi</v>
      </c>
      <c r="B34" s="103">
        <f>IF($A34="","",SUMIFS('GECC 2026'!H$2:H$200,'GECC 2026'!F$2:F$200,$A34))</f>
        <v>0</v>
      </c>
      <c r="C34" s="103">
        <f>IF($A34="","",SUMIFS('GECC 2026'!I$2:I$200,'GECC 2026'!F$2:F$200,$A34))</f>
        <v>0</v>
      </c>
      <c r="D34" s="255">
        <f>IF($A34="","",SUMIFS('GECC 2026'!$AE$3:$AE$32,'GECC 2026'!$AD$3:$AD$32,$A34))</f>
        <v>16</v>
      </c>
      <c r="E34" s="240">
        <f>IF($A34="","",SUMIFS('GECC 2026'!J$2:J$200,'GECC 2026'!F$2:F$200,$A34)+SUMIFS('GECC 2026'!$AE$3:$AE$32,'GECC 2026'!$AD$3:$AD$32,$A34))</f>
        <v>16</v>
      </c>
      <c r="F34" s="101">
        <f>IF($A34="","",COUNTIFS('GECC 2026'!F$2:F$200,$A34))</f>
        <v>0</v>
      </c>
    </row>
    <row r="35" spans="1:6" x14ac:dyDescent="0.25">
      <c r="A35" t="str">
        <v>Michel Martins de Morais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Paulo José Góes Daltro</v>
      </c>
      <c r="B36" s="103">
        <f>IF($A36="","",SUMIFS('GECC 2026'!H$2:H$200,'GECC 2026'!F$2:F$200,$A36))</f>
        <v>28</v>
      </c>
      <c r="C36" s="103">
        <f>IF($A36="","",SUMIFS('GECC 2026'!I$2:I$200,'GECC 2026'!F$2:F$200,$A36))</f>
        <v>8.3999999999999986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36.4</v>
      </c>
      <c r="F36" s="101">
        <f>IF($A36="","",COUNTIFS('GECC 2026'!F$2:F$200,$A36))</f>
        <v>3</v>
      </c>
    </row>
    <row r="37" spans="1:6" x14ac:dyDescent="0.25">
      <c r="A37" t="str">
        <v>Priscila Nolasco de Oliveira</v>
      </c>
      <c r="B37" s="103">
        <f>IF($A37="","",SUMIFS('GECC 2026'!H$2:H$200,'GECC 2026'!F$2:F$200,$A37))</f>
        <v>36</v>
      </c>
      <c r="C37" s="103">
        <f>IF($A37="","",SUMIFS('GECC 2026'!I$2:I$200,'GECC 2026'!F$2:F$200,$A37))</f>
        <v>2.16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38.160000000000011</v>
      </c>
      <c r="F37" s="101">
        <f>IF($A37="","",COUNTIFS('GECC 2026'!F$2:F$200,$A37))</f>
        <v>9</v>
      </c>
    </row>
    <row r="38" spans="1:6" x14ac:dyDescent="0.25">
      <c r="A38" t="str">
        <v>Reinaldo Alencar</v>
      </c>
      <c r="B38" s="103">
        <f>IF($A38="","",SUMIFS('GECC 2026'!H$2:H$200,'GECC 2026'!F$2:F$200,$A38))</f>
        <v>48</v>
      </c>
      <c r="C38" s="103">
        <f>IF($A38="","",SUMIFS('GECC 2026'!I$2:I$200,'GECC 2026'!F$2:F$200,$A38))</f>
        <v>7.1999999999999993</v>
      </c>
      <c r="D38" s="255">
        <f>IF($A38="","",SUMIFS('GECC 2026'!$AE$3:$AE$32,'GECC 2026'!$AD$3:$AD$32,$A38))</f>
        <v>0</v>
      </c>
      <c r="E38" s="240">
        <f>IF($A38="","",SUMIFS('GECC 2026'!J$2:J$200,'GECC 2026'!F$2:F$200,$A38)+SUMIFS('GECC 2026'!$AE$3:$AE$32,'GECC 2026'!$AD$3:$AD$32,$A38))</f>
        <v>55.2</v>
      </c>
      <c r="F38" s="101">
        <f>IF($A38="","",COUNTIFS('GECC 2026'!F$2:F$200,$A38))</f>
        <v>3</v>
      </c>
    </row>
    <row r="39" spans="1:6" x14ac:dyDescent="0.25">
      <c r="A39" t="str">
        <v>Rogério Ribeiro</v>
      </c>
      <c r="B39" s="103">
        <f>IF($A39="","",SUMIFS('GECC 2026'!H$2:H$200,'GECC 2026'!F$2:F$200,$A39))</f>
        <v>48</v>
      </c>
      <c r="C39" s="103">
        <f>IF($A39="","",SUMIFS('GECC 2026'!I$2:I$200,'GECC 2026'!F$2:F$200,$A39))</f>
        <v>7.1999999999999993</v>
      </c>
      <c r="D39" s="255">
        <f>IF($A39="","",SUMIFS('GECC 2026'!$AE$3:$AE$32,'GECC 2026'!$AD$3:$AD$32,$A39))</f>
        <v>0</v>
      </c>
      <c r="E39" s="240">
        <f>IF($A39="","",SUMIFS('GECC 2026'!J$2:J$200,'GECC 2026'!F$2:F$200,$A39)+SUMIFS('GECC 2026'!$AE$3:$AE$32,'GECC 2026'!$AD$3:$AD$32,$A39))</f>
        <v>55.2</v>
      </c>
      <c r="F39" s="101">
        <f>IF($A39="","",COUNTIFS('GECC 2026'!F$2:F$200,$A39))</f>
        <v>3</v>
      </c>
    </row>
    <row r="40" spans="1:6" x14ac:dyDescent="0.25">
      <c r="A40" t="str">
        <v>Rômulo Miranda Alvim</v>
      </c>
      <c r="B40" s="103">
        <f>IF($A40="","",SUMIFS('GECC 2026'!H$2:H$200,'GECC 2026'!F$2:F$200,$A40))</f>
        <v>24</v>
      </c>
      <c r="C40" s="103">
        <f>IF($A40="","",SUMIFS('GECC 2026'!I$2:I$200,'GECC 2026'!F$2:F$200,$A40))</f>
        <v>3.6</v>
      </c>
      <c r="D40" s="255">
        <f>IF($A40="","",SUMIFS('GECC 2026'!$AE$3:$AE$32,'GECC 2026'!$AD$3:$AD$32,$A40))</f>
        <v>16</v>
      </c>
      <c r="E40" s="240">
        <f>IF($A40="","",SUMIFS('GECC 2026'!J$2:J$200,'GECC 2026'!F$2:F$200,$A40)+SUMIFS('GECC 2026'!$AE$3:$AE$32,'GECC 2026'!$AD$3:$AD$32,$A40))</f>
        <v>43.6</v>
      </c>
      <c r="F40" s="101">
        <f>IF($A40="","",COUNTIFS('GECC 2026'!F$2:F$200,$A40))</f>
        <v>2</v>
      </c>
    </row>
    <row r="41" spans="1:6" x14ac:dyDescent="0.25">
      <c r="A41" t="str">
        <v>Servidores, colaboradores e estagiários do TCDF</v>
      </c>
      <c r="B41" s="103">
        <f>IF($A41="","",SUMIFS('GECC 2026'!H$2:H$200,'GECC 2026'!F$2:F$200,$A41))</f>
        <v>0</v>
      </c>
      <c r="C41" s="103">
        <f>IF($A41="","",SUMIFS('GECC 2026'!I$2:I$200,'GECC 2026'!F$2:F$200,$A41))</f>
        <v>0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0</v>
      </c>
      <c r="F41" s="101">
        <f>IF($A41="","",COUNTIFS('GECC 2026'!F$2:F$200,$A41))</f>
        <v>1</v>
      </c>
    </row>
    <row r="42" spans="1:6" x14ac:dyDescent="0.25">
      <c r="A42" t="str">
        <v>Silvia Lima Damasceno Carvalho</v>
      </c>
      <c r="B42" s="103">
        <f>IF($A42="","",SUMIFS('GECC 2026'!H$2:H$200,'GECC 2026'!F$2:F$200,$A42))</f>
        <v>1</v>
      </c>
      <c r="C42" s="103">
        <f>IF($A42="","",SUMIFS('GECC 2026'!I$2:I$200,'GECC 2026'!F$2:F$200,$A42))</f>
        <v>0.3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1.3</v>
      </c>
      <c r="F42" s="101">
        <f>IF($A42="","",COUNTIFS('GECC 2026'!F$2:F$200,$A42))</f>
        <v>1</v>
      </c>
    </row>
    <row r="43" spans="1:6" x14ac:dyDescent="0.25">
      <c r="A43" t="str">
        <v>Tarsila Firmino Ely</v>
      </c>
      <c r="B43" s="103">
        <f>IF($A43="","",SUMIFS('GECC 2026'!H$2:H$200,'GECC 2026'!F$2:F$200,$A43))</f>
        <v>56</v>
      </c>
      <c r="C43" s="103">
        <f>IF($A43="","",SUMIFS('GECC 2026'!I$2:I$200,'GECC 2026'!F$2:F$200,$A43))</f>
        <v>96.4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152.4</v>
      </c>
      <c r="F43" s="101">
        <f>IF($A43="","",COUNTIFS('GECC 2026'!F$2:F$200,$A43))</f>
        <v>5</v>
      </c>
    </row>
    <row r="44" spans="1:6" x14ac:dyDescent="0.25">
      <c r="A44" t="str">
        <v>Túllio Herbeth Teixeira Moraes</v>
      </c>
      <c r="B44" s="103">
        <f>IF($A44="","",SUMIFS('GECC 2026'!H$2:H$200,'GECC 2026'!F$2:F$200,$A44))</f>
        <v>3</v>
      </c>
      <c r="C44" s="103">
        <f>IF($A44="","",SUMIFS('GECC 2026'!I$2:I$200,'GECC 2026'!F$2:F$200,$A44))</f>
        <v>0.44999999999999996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3.45</v>
      </c>
      <c r="F44" s="101">
        <f>IF($A44="","",COUNTIFS('GECC 2026'!F$2:F$200,$A44))</f>
        <v>1</v>
      </c>
    </row>
    <row r="45" spans="1:6" x14ac:dyDescent="0.25">
      <c r="B45" s="103" t="str">
        <f>IF($A45="","",SUMIFS('GECC 2026'!H$2:H$200,'GECC 2026'!F$2:F$200,$A45))</f>
        <v/>
      </c>
      <c r="C45" s="103" t="str">
        <f>IF($A45="","",SUMIFS('GECC 2026'!I$2:I$200,'GECC 2026'!F$2:F$200,$A45))</f>
        <v/>
      </c>
      <c r="D45" s="255" t="str">
        <f>IF($A45="","",SUMIFS('GECC 2026'!$AE$3:$AE$32,'GECC 2026'!$AD$3:$AD$32,$A45))</f>
        <v/>
      </c>
      <c r="E45" s="240" t="str">
        <f>IF($A45="","",SUMIFS('GECC 2026'!J$2:J$200,'GECC 2026'!F$2:F$200,$A45)+SUMIFS('GECC 2026'!$AE$3:$AE$32,'GECC 2026'!$AD$3:$AD$32,$A45))</f>
        <v/>
      </c>
      <c r="F45" s="101" t="str">
        <f>IF($A45="","",COUNTIFS('GECC 2026'!F$2:F$200,$A45))</f>
        <v/>
      </c>
    </row>
    <row r="46" spans="1:6" x14ac:dyDescent="0.25">
      <c r="B46" s="103" t="str">
        <f>IF($A46="","",SUMIFS('GECC 2026'!H$2:H$200,'GECC 2026'!F$2:F$200,$A46))</f>
        <v/>
      </c>
      <c r="C46" s="103" t="str">
        <f>IF($A46="","",SUMIFS('GECC 2026'!I$2:I$200,'GECC 2026'!F$2:F$200,$A46))</f>
        <v/>
      </c>
      <c r="D46" s="255" t="str">
        <f>IF($A46="","",SUMIFS('GECC 2026'!$AE$3:$AE$32,'GECC 2026'!$AD$3:$AD$32,$A46))</f>
        <v/>
      </c>
      <c r="E46" s="240" t="str">
        <f>IF($A46="","",SUMIFS('GECC 2026'!J$2:J$200,'GECC 2026'!F$2:F$200,$A46)+SUMIFS('GECC 2026'!$AE$3:$AE$32,'GECC 2026'!$AD$3:$AD$32,$A46))</f>
        <v/>
      </c>
      <c r="F46" s="101" t="str">
        <f>IF($A46="","",COUNTIFS('GECC 2026'!F$2:F$200,$A46))</f>
        <v/>
      </c>
    </row>
    <row r="47" spans="1:6" x14ac:dyDescent="0.25">
      <c r="B47" s="103" t="str">
        <f>IF($A47="","",SUMIFS('GECC 2026'!H$2:H$200,'GECC 2026'!F$2:F$200,$A47))</f>
        <v/>
      </c>
      <c r="C47" s="103" t="str">
        <f>IF($A47="","",SUMIFS('GECC 2026'!I$2:I$200,'GECC 2026'!F$2:F$200,$A47))</f>
        <v/>
      </c>
      <c r="D47" s="255" t="str">
        <f>IF($A47="","",SUMIFS('GECC 2026'!$AE$3:$AE$32,'GECC 2026'!$AD$3:$AD$32,$A47))</f>
        <v/>
      </c>
      <c r="E47" s="240" t="str">
        <f>IF($A47="","",SUMIFS('GECC 2026'!J$2:J$200,'GECC 2026'!F$2:F$200,$A47)+SUMIFS('GECC 2026'!$AE$3:$AE$32,'GECC 2026'!$AD$3:$AD$32,$A47))</f>
        <v/>
      </c>
      <c r="F47" s="101" t="str">
        <f>IF($A47="","",COUNTIFS('GECC 2026'!F$2:F$200,$A47))</f>
        <v/>
      </c>
    </row>
    <row r="48" spans="1:6" x14ac:dyDescent="0.25">
      <c r="B48" s="103" t="str">
        <f>IF($A48="","",SUMIFS('GECC 2026'!H$2:H$200,'GECC 2026'!F$2:F$200,$A48))</f>
        <v/>
      </c>
      <c r="C48" s="103" t="str">
        <f>IF($A48="","",SUMIFS('GECC 2026'!I$2:I$200,'GECC 2026'!F$2:F$200,$A48))</f>
        <v/>
      </c>
      <c r="D48" s="255" t="str">
        <f>IF($A48="","",SUMIFS('GECC 2026'!$AE$3:$AE$32,'GECC 2026'!$AD$3:$AD$32,$A48))</f>
        <v/>
      </c>
      <c r="E48" s="240" t="str">
        <f>IF($A48="","",SUMIFS('GECC 2026'!J$2:J$200,'GECC 2026'!F$2:F$200,$A48)+SUMIFS('GECC 2026'!$AE$3:$AE$32,'GECC 2026'!$AD$3:$AD$32,$A48))</f>
        <v/>
      </c>
      <c r="F48" s="101" t="str">
        <f>IF($A48="","",COUNTIFS('GECC 2026'!F$2:F$200,$A48))</f>
        <v/>
      </c>
    </row>
    <row r="49" spans="2:6" x14ac:dyDescent="0.25">
      <c r="B49" s="103" t="str">
        <f>IF($A49="","",SUMIFS('GECC 2026'!H$2:H$200,'GECC 2026'!F$2:F$200,$A49))</f>
        <v/>
      </c>
      <c r="C49" s="103" t="str">
        <f>IF($A49="","",SUMIFS('GECC 2026'!I$2:I$200,'GECC 2026'!F$2:F$200,$A49))</f>
        <v/>
      </c>
      <c r="D49" s="255" t="str">
        <f>IF($A49="","",SUMIFS('GECC 2026'!$AE$3:$AE$32,'GECC 2026'!$AD$3:$AD$32,$A49))</f>
        <v/>
      </c>
      <c r="E49" s="240" t="str">
        <f>IF($A49="","",SUMIFS('GECC 2026'!J$2:J$200,'GECC 2026'!F$2:F$200,$A49)+SUMIFS('GECC 2026'!$AE$3:$AE$32,'GECC 2026'!$AD$3:$AD$32,$A49))</f>
        <v/>
      </c>
      <c r="F49" s="101" t="str">
        <f>IF($A49="","",COUNTIFS('GECC 2026'!F$2:F$200,$A49))</f>
        <v/>
      </c>
    </row>
    <row r="50" spans="2:6" x14ac:dyDescent="0.25">
      <c r="B50" s="103" t="str">
        <f>IF($A50="","",SUMIFS('GECC 2026'!H$2:H$200,'GECC 2026'!F$2:F$200,$A50))</f>
        <v/>
      </c>
      <c r="C50" s="103" t="str">
        <f>IF($A50="","",SUMIFS('GECC 2026'!I$2:I$200,'GECC 2026'!F$2:F$200,$A50))</f>
        <v/>
      </c>
      <c r="D50" s="255" t="str">
        <f>IF($A50="","",SUMIFS('GECC 2026'!$AE$3:$AE$32,'GECC 2026'!$AD$3:$AD$32,$A50))</f>
        <v/>
      </c>
      <c r="E50" s="240" t="str">
        <f>IF($A50="","",SUMIFS('GECC 2026'!J$2:J$200,'GECC 2026'!F$2:F$200,$A50)+SUMIFS('GECC 2026'!$AE$3:$AE$32,'GECC 2026'!$AD$3:$AD$32,$A50))</f>
        <v/>
      </c>
      <c r="F50" s="101" t="str">
        <f>IF($A50="","",COUNTIFS('GECC 2026'!F$2:F$200,$A50))</f>
        <v/>
      </c>
    </row>
    <row r="51" spans="2:6" x14ac:dyDescent="0.25">
      <c r="B51" s="103" t="str">
        <f>IF($A51="","",SUMIFS('GECC 2026'!H$2:H$200,'GECC 2026'!F$2:F$200,$A51))</f>
        <v/>
      </c>
      <c r="C51" s="103" t="str">
        <f>IF($A51="","",SUMIFS('GECC 2026'!I$2:I$200,'GECC 2026'!F$2:F$200,$A51))</f>
        <v/>
      </c>
      <c r="D51" s="255" t="str">
        <f>IF($A51="","",SUMIFS('GECC 2026'!$AE$3:$AE$32,'GECC 2026'!$AD$3:$AD$32,$A51))</f>
        <v/>
      </c>
      <c r="E51" s="240" t="str">
        <f>IF($A51="","",SUMIFS('GECC 2026'!J$2:J$200,'GECC 2026'!F$2:F$200,$A51)+SUMIFS('GECC 2026'!$AE$3:$AE$32,'GECC 2026'!$AD$3:$AD$32,$A51))</f>
        <v/>
      </c>
      <c r="F51" s="101" t="str">
        <f>IF($A51="","",COUNTIFS('GECC 2026'!F$2:F$200,$A51))</f>
        <v/>
      </c>
    </row>
    <row r="52" spans="2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2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2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2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2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2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2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2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2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2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2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2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2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2308</v>
      </c>
      <c r="B105" s="242">
        <f>SUM(B5:B100)</f>
        <v>708</v>
      </c>
      <c r="C105" s="242">
        <f>SUM(C5:C100)</f>
        <v>391.38000000000005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112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www.w3.org/XML/1998/namespace"/>
    <ds:schemaRef ds:uri="http://purl.org/dc/dcmitype/"/>
    <ds:schemaRef ds:uri="http://schemas.microsoft.com/office/infopath/2007/PartnerControls"/>
    <ds:schemaRef ds:uri="91ce1707-6d34-452b-b217-9734c03e6729"/>
    <ds:schemaRef ds:uri="http://schemas.openxmlformats.org/package/2006/metadata/core-properties"/>
    <ds:schemaRef ds:uri="fe686eaa-0658-4f15-b230-9e46c4d089fd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Tatianne Cristine Oliveira Hatem</cp:lastModifiedBy>
  <cp:revision/>
  <dcterms:created xsi:type="dcterms:W3CDTF">2024-04-02T18:43:15Z</dcterms:created>
  <dcterms:modified xsi:type="dcterms:W3CDTF">2026-07-07T21:21:52Z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