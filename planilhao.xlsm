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42" documentId="13_ncr:1_{6A2CC3E2-FAFB-4D8F-B284-5E8FB5045DFE}" xr6:coauthVersionLast="47" xr6:coauthVersionMax="47" xr10:uidLastSave="{4D32A8CD-A17F-4E4A-8096-9D47C1A701EA}"/>
  <bookViews>
    <workbookView xWindow="1335" yWindow="1365" windowWidth="25080" windowHeight="13200" xr2:uid="{00000000-000D-0000-FFFF-FFFF00000000}"/>
  </bookViews>
  <sheets>
    <sheet name="Ações InCompany" sheetId="3" r:id="rId1"/>
    <sheet name="Relatório Saúde Pública" sheetId="30" r:id="rId2"/>
    <sheet name="Cad. Instrutores" sheetId="28" r:id="rId3"/>
    <sheet name="GECC 2026" sheetId="20" r:id="rId4"/>
    <sheet name="Dashboard 2026" sheetId="26" r:id="rId5"/>
    <sheet name="PlanoCap" sheetId="5" state="hidden" r:id="rId6"/>
    <sheet name="Validação Dados" sheetId="4" state="hidden" r:id="rId7"/>
    <sheet name="PlanoCap2627" sheetId="14" state="hidden" r:id="rId8"/>
    <sheet name="Dashboard Maratonas" sheetId="27" r:id="rId9"/>
    <sheet name="Dashboard GECC 2026" sheetId="23" r:id="rId10"/>
    <sheet name="Auditoria GECC" sheetId="29" r:id="rId11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_xlnm.Print_Area" localSheetId="1">'Relatório Saúde Pública'!$A$1:$P$151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5" i="30" l="1"/>
  <c r="O86" i="30"/>
  <c r="O87" i="30"/>
  <c r="O88" i="30"/>
  <c r="O89" i="30"/>
  <c r="O90" i="30"/>
  <c r="O91" i="30"/>
  <c r="O92" i="30"/>
  <c r="O93" i="30"/>
  <c r="O94" i="30"/>
  <c r="O95" i="30"/>
  <c r="O96" i="30"/>
  <c r="O97" i="30"/>
  <c r="O98" i="30"/>
  <c r="O99" i="30"/>
  <c r="O100" i="30"/>
  <c r="O101" i="30"/>
  <c r="O102" i="30"/>
  <c r="O103" i="30"/>
  <c r="O104" i="30"/>
  <c r="O105" i="30"/>
  <c r="O106" i="30"/>
  <c r="O107" i="30"/>
  <c r="O108" i="30"/>
  <c r="O109" i="30"/>
  <c r="O110" i="30"/>
  <c r="O111" i="30"/>
  <c r="O112" i="30"/>
  <c r="O113" i="30"/>
  <c r="O114" i="30"/>
  <c r="O115" i="30"/>
  <c r="O116" i="30"/>
  <c r="O117" i="30"/>
  <c r="O118" i="30"/>
  <c r="O119" i="30"/>
  <c r="O120" i="30"/>
  <c r="O121" i="30"/>
  <c r="O122" i="30"/>
  <c r="O123" i="30"/>
  <c r="O124" i="30"/>
  <c r="O125" i="30"/>
  <c r="O126" i="30"/>
  <c r="O127" i="30"/>
  <c r="O128" i="30"/>
  <c r="O129" i="30"/>
  <c r="O130" i="30"/>
  <c r="O131" i="30"/>
  <c r="O132" i="30"/>
  <c r="O133" i="30"/>
  <c r="O134" i="30"/>
  <c r="O135" i="30"/>
  <c r="O136" i="30"/>
  <c r="O137" i="30"/>
  <c r="O138" i="30"/>
  <c r="O139" i="30"/>
  <c r="O140" i="30"/>
  <c r="O141" i="30"/>
  <c r="F10" i="30"/>
  <c r="B85" i="30"/>
  <c r="D85" i="30"/>
  <c r="E85" i="30"/>
  <c r="G85" i="30"/>
  <c r="H85" i="30"/>
  <c r="I85" i="30"/>
  <c r="J85" i="30"/>
  <c r="K85" i="30"/>
  <c r="L85" i="30"/>
  <c r="M85" i="30"/>
  <c r="N85" i="30"/>
  <c r="B86" i="30"/>
  <c r="D86" i="30"/>
  <c r="E86" i="30"/>
  <c r="G86" i="30"/>
  <c r="H86" i="30"/>
  <c r="I86" i="30"/>
  <c r="J86" i="30"/>
  <c r="K86" i="30"/>
  <c r="L86" i="30"/>
  <c r="M86" i="30"/>
  <c r="N86" i="30"/>
  <c r="B87" i="30"/>
  <c r="D87" i="30"/>
  <c r="E87" i="30"/>
  <c r="G87" i="30"/>
  <c r="H87" i="30"/>
  <c r="I87" i="30"/>
  <c r="J87" i="30"/>
  <c r="K87" i="30"/>
  <c r="L87" i="30"/>
  <c r="M87" i="30"/>
  <c r="N87" i="30"/>
  <c r="B88" i="30"/>
  <c r="D88" i="30"/>
  <c r="E88" i="30"/>
  <c r="G88" i="30"/>
  <c r="H88" i="30"/>
  <c r="I88" i="30"/>
  <c r="J88" i="30"/>
  <c r="K88" i="30"/>
  <c r="L88" i="30"/>
  <c r="M88" i="30"/>
  <c r="N88" i="30"/>
  <c r="B89" i="30"/>
  <c r="D89" i="30"/>
  <c r="E89" i="30"/>
  <c r="G89" i="30"/>
  <c r="H89" i="30"/>
  <c r="I89" i="30"/>
  <c r="J89" i="30"/>
  <c r="K89" i="30"/>
  <c r="L89" i="30"/>
  <c r="M89" i="30"/>
  <c r="N89" i="30"/>
  <c r="B90" i="30"/>
  <c r="D90" i="30"/>
  <c r="E90" i="30"/>
  <c r="G90" i="30"/>
  <c r="H90" i="30"/>
  <c r="I90" i="30"/>
  <c r="J90" i="30"/>
  <c r="K90" i="30"/>
  <c r="L90" i="30"/>
  <c r="M90" i="30"/>
  <c r="N90" i="30"/>
  <c r="B91" i="30"/>
  <c r="D91" i="30"/>
  <c r="E91" i="30"/>
  <c r="G91" i="30"/>
  <c r="H91" i="30"/>
  <c r="I91" i="30"/>
  <c r="J91" i="30"/>
  <c r="K91" i="30"/>
  <c r="L91" i="30"/>
  <c r="M91" i="30"/>
  <c r="N91" i="30"/>
  <c r="B92" i="30"/>
  <c r="D92" i="30"/>
  <c r="E92" i="30"/>
  <c r="G92" i="30"/>
  <c r="H92" i="30"/>
  <c r="I92" i="30"/>
  <c r="J92" i="30"/>
  <c r="K92" i="30"/>
  <c r="L92" i="30"/>
  <c r="M92" i="30"/>
  <c r="N92" i="30"/>
  <c r="B93" i="30"/>
  <c r="D93" i="30"/>
  <c r="E93" i="30"/>
  <c r="G93" i="30"/>
  <c r="H93" i="30"/>
  <c r="I93" i="30"/>
  <c r="J93" i="30"/>
  <c r="K93" i="30"/>
  <c r="L93" i="30"/>
  <c r="M93" i="30"/>
  <c r="N93" i="30"/>
  <c r="B94" i="30"/>
  <c r="D94" i="30"/>
  <c r="E94" i="30"/>
  <c r="G94" i="30"/>
  <c r="H94" i="30"/>
  <c r="I94" i="30"/>
  <c r="J94" i="30"/>
  <c r="K94" i="30"/>
  <c r="L94" i="30"/>
  <c r="M94" i="30"/>
  <c r="N94" i="30"/>
  <c r="B95" i="30"/>
  <c r="D95" i="30"/>
  <c r="E95" i="30"/>
  <c r="G95" i="30"/>
  <c r="H95" i="30"/>
  <c r="I95" i="30"/>
  <c r="J95" i="30"/>
  <c r="K95" i="30"/>
  <c r="L95" i="30"/>
  <c r="M95" i="30"/>
  <c r="N95" i="30"/>
  <c r="B96" i="30"/>
  <c r="D96" i="30"/>
  <c r="E96" i="30"/>
  <c r="G96" i="30"/>
  <c r="H96" i="30"/>
  <c r="I96" i="30"/>
  <c r="J96" i="30"/>
  <c r="K96" i="30"/>
  <c r="L96" i="30"/>
  <c r="M96" i="30"/>
  <c r="N96" i="30"/>
  <c r="B97" i="30"/>
  <c r="D97" i="30"/>
  <c r="E97" i="30"/>
  <c r="G97" i="30"/>
  <c r="H97" i="30"/>
  <c r="I97" i="30"/>
  <c r="J97" i="30"/>
  <c r="K97" i="30"/>
  <c r="L97" i="30"/>
  <c r="M97" i="30"/>
  <c r="N97" i="30"/>
  <c r="B98" i="30"/>
  <c r="D98" i="30"/>
  <c r="E98" i="30"/>
  <c r="G98" i="30"/>
  <c r="H98" i="30"/>
  <c r="I98" i="30"/>
  <c r="J98" i="30"/>
  <c r="K98" i="30"/>
  <c r="L98" i="30"/>
  <c r="M98" i="30"/>
  <c r="N98" i="30"/>
  <c r="B99" i="30"/>
  <c r="D99" i="30"/>
  <c r="E99" i="30"/>
  <c r="G99" i="30"/>
  <c r="H99" i="30"/>
  <c r="I99" i="30"/>
  <c r="J99" i="30"/>
  <c r="K99" i="30"/>
  <c r="L99" i="30"/>
  <c r="M99" i="30"/>
  <c r="N99" i="30"/>
  <c r="B100" i="30"/>
  <c r="D100" i="30"/>
  <c r="E100" i="30"/>
  <c r="G100" i="30"/>
  <c r="H100" i="30"/>
  <c r="I100" i="30"/>
  <c r="J100" i="30"/>
  <c r="K100" i="30"/>
  <c r="L100" i="30"/>
  <c r="M100" i="30"/>
  <c r="N100" i="30"/>
  <c r="B101" i="30"/>
  <c r="D101" i="30"/>
  <c r="E101" i="30"/>
  <c r="G101" i="30"/>
  <c r="H101" i="30"/>
  <c r="I101" i="30"/>
  <c r="J101" i="30"/>
  <c r="K101" i="30"/>
  <c r="L101" i="30"/>
  <c r="M101" i="30"/>
  <c r="N101" i="30"/>
  <c r="B102" i="30"/>
  <c r="D102" i="30"/>
  <c r="E102" i="30"/>
  <c r="G102" i="30"/>
  <c r="H102" i="30"/>
  <c r="I102" i="30"/>
  <c r="J102" i="30"/>
  <c r="K102" i="30"/>
  <c r="L102" i="30"/>
  <c r="M102" i="30"/>
  <c r="N102" i="30"/>
  <c r="B103" i="30"/>
  <c r="D103" i="30"/>
  <c r="E103" i="30"/>
  <c r="G103" i="30"/>
  <c r="H103" i="30"/>
  <c r="I103" i="30"/>
  <c r="J103" i="30"/>
  <c r="K103" i="30"/>
  <c r="L103" i="30"/>
  <c r="M103" i="30"/>
  <c r="N103" i="30"/>
  <c r="B104" i="30"/>
  <c r="D104" i="30"/>
  <c r="E104" i="30"/>
  <c r="G104" i="30"/>
  <c r="H104" i="30"/>
  <c r="I104" i="30"/>
  <c r="J104" i="30"/>
  <c r="K104" i="30"/>
  <c r="L104" i="30"/>
  <c r="M104" i="30"/>
  <c r="N104" i="30"/>
  <c r="B105" i="30"/>
  <c r="D105" i="30"/>
  <c r="E105" i="30"/>
  <c r="G105" i="30"/>
  <c r="H105" i="30"/>
  <c r="I105" i="30"/>
  <c r="J105" i="30"/>
  <c r="K105" i="30"/>
  <c r="L105" i="30"/>
  <c r="M105" i="30"/>
  <c r="N105" i="30"/>
  <c r="B106" i="30"/>
  <c r="D106" i="30"/>
  <c r="E106" i="30"/>
  <c r="G106" i="30"/>
  <c r="H106" i="30"/>
  <c r="I106" i="30"/>
  <c r="J106" i="30"/>
  <c r="K106" i="30"/>
  <c r="L106" i="30"/>
  <c r="M106" i="30"/>
  <c r="N106" i="30"/>
  <c r="B107" i="30"/>
  <c r="D107" i="30"/>
  <c r="E107" i="30"/>
  <c r="G107" i="30"/>
  <c r="H107" i="30"/>
  <c r="I107" i="30"/>
  <c r="J107" i="30"/>
  <c r="K107" i="30"/>
  <c r="L107" i="30"/>
  <c r="M107" i="30"/>
  <c r="N107" i="30"/>
  <c r="B108" i="30"/>
  <c r="D108" i="30"/>
  <c r="E108" i="30"/>
  <c r="G108" i="30"/>
  <c r="H108" i="30"/>
  <c r="I108" i="30"/>
  <c r="J108" i="30"/>
  <c r="K108" i="30"/>
  <c r="L108" i="30"/>
  <c r="M108" i="30"/>
  <c r="N108" i="30"/>
  <c r="B109" i="30"/>
  <c r="D109" i="30"/>
  <c r="E109" i="30"/>
  <c r="G109" i="30"/>
  <c r="H109" i="30"/>
  <c r="I109" i="30"/>
  <c r="J109" i="30"/>
  <c r="K109" i="30"/>
  <c r="L109" i="30"/>
  <c r="M109" i="30"/>
  <c r="N109" i="30"/>
  <c r="B110" i="30"/>
  <c r="D110" i="30"/>
  <c r="E110" i="30"/>
  <c r="G110" i="30"/>
  <c r="H110" i="30"/>
  <c r="I110" i="30"/>
  <c r="J110" i="30"/>
  <c r="K110" i="30"/>
  <c r="L110" i="30"/>
  <c r="M110" i="30"/>
  <c r="N110" i="30"/>
  <c r="B111" i="30"/>
  <c r="D111" i="30"/>
  <c r="E111" i="30"/>
  <c r="G111" i="30"/>
  <c r="H111" i="30"/>
  <c r="I111" i="30"/>
  <c r="J111" i="30"/>
  <c r="K111" i="30"/>
  <c r="L111" i="30"/>
  <c r="M111" i="30"/>
  <c r="N111" i="30"/>
  <c r="B112" i="30"/>
  <c r="D112" i="30"/>
  <c r="E112" i="30"/>
  <c r="G112" i="30"/>
  <c r="H112" i="30"/>
  <c r="I112" i="30"/>
  <c r="J112" i="30"/>
  <c r="K112" i="30"/>
  <c r="L112" i="30"/>
  <c r="M112" i="30"/>
  <c r="N112" i="30"/>
  <c r="B113" i="30"/>
  <c r="D113" i="30"/>
  <c r="E113" i="30"/>
  <c r="G113" i="30"/>
  <c r="H113" i="30"/>
  <c r="I113" i="30"/>
  <c r="J113" i="30"/>
  <c r="K113" i="30"/>
  <c r="L113" i="30"/>
  <c r="M113" i="30"/>
  <c r="N113" i="30"/>
  <c r="B114" i="30"/>
  <c r="D114" i="30"/>
  <c r="E114" i="30"/>
  <c r="G114" i="30"/>
  <c r="H114" i="30"/>
  <c r="I114" i="30"/>
  <c r="J114" i="30"/>
  <c r="K114" i="30"/>
  <c r="L114" i="30"/>
  <c r="M114" i="30"/>
  <c r="N114" i="30"/>
  <c r="B115" i="30"/>
  <c r="D115" i="30"/>
  <c r="E115" i="30"/>
  <c r="G115" i="30"/>
  <c r="H115" i="30"/>
  <c r="I115" i="30"/>
  <c r="J115" i="30"/>
  <c r="K115" i="30"/>
  <c r="L115" i="30"/>
  <c r="M115" i="30"/>
  <c r="N115" i="30"/>
  <c r="B116" i="30"/>
  <c r="D116" i="30"/>
  <c r="E116" i="30"/>
  <c r="G116" i="30"/>
  <c r="H116" i="30"/>
  <c r="I116" i="30"/>
  <c r="J116" i="30"/>
  <c r="K116" i="30"/>
  <c r="L116" i="30"/>
  <c r="M116" i="30"/>
  <c r="N116" i="30"/>
  <c r="B117" i="30"/>
  <c r="D117" i="30"/>
  <c r="E117" i="30"/>
  <c r="G117" i="30"/>
  <c r="H117" i="30"/>
  <c r="I117" i="30"/>
  <c r="J117" i="30"/>
  <c r="K117" i="30"/>
  <c r="L117" i="30"/>
  <c r="M117" i="30"/>
  <c r="N117" i="30"/>
  <c r="B118" i="30"/>
  <c r="D118" i="30"/>
  <c r="E118" i="30"/>
  <c r="G118" i="30"/>
  <c r="H118" i="30"/>
  <c r="I118" i="30"/>
  <c r="J118" i="30"/>
  <c r="K118" i="30"/>
  <c r="L118" i="30"/>
  <c r="M118" i="30"/>
  <c r="N118" i="30"/>
  <c r="B119" i="30"/>
  <c r="D119" i="30"/>
  <c r="E119" i="30"/>
  <c r="G119" i="30"/>
  <c r="H119" i="30"/>
  <c r="I119" i="30"/>
  <c r="J119" i="30"/>
  <c r="K119" i="30"/>
  <c r="L119" i="30"/>
  <c r="M119" i="30"/>
  <c r="N119" i="30"/>
  <c r="B120" i="30"/>
  <c r="D120" i="30"/>
  <c r="E120" i="30"/>
  <c r="G120" i="30"/>
  <c r="H120" i="30"/>
  <c r="I120" i="30"/>
  <c r="J120" i="30"/>
  <c r="K120" i="30"/>
  <c r="L120" i="30"/>
  <c r="M120" i="30"/>
  <c r="N120" i="30"/>
  <c r="B121" i="30"/>
  <c r="D121" i="30"/>
  <c r="E121" i="30"/>
  <c r="G121" i="30"/>
  <c r="H121" i="30"/>
  <c r="I121" i="30"/>
  <c r="J121" i="30"/>
  <c r="K121" i="30"/>
  <c r="L121" i="30"/>
  <c r="M121" i="30"/>
  <c r="N121" i="30"/>
  <c r="B122" i="30"/>
  <c r="D122" i="30"/>
  <c r="E122" i="30"/>
  <c r="G122" i="30"/>
  <c r="H122" i="30"/>
  <c r="I122" i="30"/>
  <c r="J122" i="30"/>
  <c r="K122" i="30"/>
  <c r="L122" i="30"/>
  <c r="M122" i="30"/>
  <c r="N122" i="30"/>
  <c r="B123" i="30"/>
  <c r="D123" i="30"/>
  <c r="E123" i="30"/>
  <c r="G123" i="30"/>
  <c r="H123" i="30"/>
  <c r="I123" i="30"/>
  <c r="J123" i="30"/>
  <c r="K123" i="30"/>
  <c r="L123" i="30"/>
  <c r="M123" i="30"/>
  <c r="N123" i="30"/>
  <c r="B124" i="30"/>
  <c r="D124" i="30"/>
  <c r="E124" i="30"/>
  <c r="G124" i="30"/>
  <c r="H124" i="30"/>
  <c r="I124" i="30"/>
  <c r="J124" i="30"/>
  <c r="K124" i="30"/>
  <c r="L124" i="30"/>
  <c r="M124" i="30"/>
  <c r="N124" i="30"/>
  <c r="B125" i="30"/>
  <c r="D125" i="30"/>
  <c r="E125" i="30"/>
  <c r="G125" i="30"/>
  <c r="H125" i="30"/>
  <c r="I125" i="30"/>
  <c r="J125" i="30"/>
  <c r="K125" i="30"/>
  <c r="L125" i="30"/>
  <c r="M125" i="30"/>
  <c r="N125" i="30"/>
  <c r="B126" i="30"/>
  <c r="D126" i="30"/>
  <c r="E126" i="30"/>
  <c r="G126" i="30"/>
  <c r="H126" i="30"/>
  <c r="I126" i="30"/>
  <c r="J126" i="30"/>
  <c r="K126" i="30"/>
  <c r="L126" i="30"/>
  <c r="M126" i="30"/>
  <c r="N126" i="30"/>
  <c r="B127" i="30"/>
  <c r="D127" i="30"/>
  <c r="E127" i="30"/>
  <c r="G127" i="30"/>
  <c r="H127" i="30"/>
  <c r="I127" i="30"/>
  <c r="J127" i="30"/>
  <c r="K127" i="30"/>
  <c r="L127" i="30"/>
  <c r="M127" i="30"/>
  <c r="N127" i="30"/>
  <c r="B128" i="30"/>
  <c r="D128" i="30"/>
  <c r="E128" i="30"/>
  <c r="G128" i="30"/>
  <c r="H128" i="30"/>
  <c r="I128" i="30"/>
  <c r="J128" i="30"/>
  <c r="K128" i="30"/>
  <c r="L128" i="30"/>
  <c r="M128" i="30"/>
  <c r="N128" i="30"/>
  <c r="B129" i="30"/>
  <c r="D129" i="30"/>
  <c r="E129" i="30"/>
  <c r="G129" i="30"/>
  <c r="H129" i="30"/>
  <c r="I129" i="30"/>
  <c r="J129" i="30"/>
  <c r="K129" i="30"/>
  <c r="L129" i="30"/>
  <c r="M129" i="30"/>
  <c r="N129" i="30"/>
  <c r="B130" i="30"/>
  <c r="D130" i="30"/>
  <c r="E130" i="30"/>
  <c r="G130" i="30"/>
  <c r="H130" i="30"/>
  <c r="I130" i="30"/>
  <c r="J130" i="30"/>
  <c r="K130" i="30"/>
  <c r="L130" i="30"/>
  <c r="M130" i="30"/>
  <c r="N130" i="30"/>
  <c r="B131" i="30"/>
  <c r="D131" i="30"/>
  <c r="E131" i="30"/>
  <c r="G131" i="30"/>
  <c r="H131" i="30"/>
  <c r="I131" i="30"/>
  <c r="J131" i="30"/>
  <c r="K131" i="30"/>
  <c r="L131" i="30"/>
  <c r="M131" i="30"/>
  <c r="N131" i="30"/>
  <c r="B132" i="30"/>
  <c r="D132" i="30"/>
  <c r="E132" i="30"/>
  <c r="G132" i="30"/>
  <c r="H132" i="30"/>
  <c r="I132" i="30"/>
  <c r="J132" i="30"/>
  <c r="K132" i="30"/>
  <c r="L132" i="30"/>
  <c r="M132" i="30"/>
  <c r="N132" i="30"/>
  <c r="B133" i="30"/>
  <c r="D133" i="30"/>
  <c r="E133" i="30"/>
  <c r="G133" i="30"/>
  <c r="H133" i="30"/>
  <c r="I133" i="30"/>
  <c r="J133" i="30"/>
  <c r="K133" i="30"/>
  <c r="L133" i="30"/>
  <c r="M133" i="30"/>
  <c r="N133" i="30"/>
  <c r="B134" i="30"/>
  <c r="D134" i="30"/>
  <c r="E134" i="30"/>
  <c r="F134" i="30"/>
  <c r="G134" i="30"/>
  <c r="H134" i="30"/>
  <c r="I134" i="30"/>
  <c r="J134" i="30"/>
  <c r="K134" i="30"/>
  <c r="L134" i="30"/>
  <c r="M134" i="30"/>
  <c r="N134" i="30"/>
  <c r="B135" i="30"/>
  <c r="D135" i="30"/>
  <c r="E135" i="30"/>
  <c r="G135" i="30"/>
  <c r="H135" i="30"/>
  <c r="I135" i="30"/>
  <c r="J135" i="30"/>
  <c r="K135" i="30"/>
  <c r="L135" i="30"/>
  <c r="M135" i="30"/>
  <c r="N135" i="30"/>
  <c r="B136" i="30"/>
  <c r="D136" i="30"/>
  <c r="E136" i="30"/>
  <c r="G136" i="30"/>
  <c r="H136" i="30"/>
  <c r="I136" i="30"/>
  <c r="J136" i="30"/>
  <c r="K136" i="30"/>
  <c r="L136" i="30"/>
  <c r="M136" i="30"/>
  <c r="N136" i="30"/>
  <c r="B137" i="30"/>
  <c r="D137" i="30"/>
  <c r="E137" i="30"/>
  <c r="G137" i="30"/>
  <c r="H137" i="30"/>
  <c r="I137" i="30"/>
  <c r="J137" i="30"/>
  <c r="K137" i="30"/>
  <c r="L137" i="30"/>
  <c r="M137" i="30"/>
  <c r="N137" i="30"/>
  <c r="B138" i="30"/>
  <c r="D138" i="30"/>
  <c r="E138" i="30"/>
  <c r="G138" i="30"/>
  <c r="H138" i="30"/>
  <c r="I138" i="30"/>
  <c r="J138" i="30"/>
  <c r="K138" i="30"/>
  <c r="L138" i="30"/>
  <c r="M138" i="30"/>
  <c r="N138" i="30"/>
  <c r="B139" i="30"/>
  <c r="D139" i="30"/>
  <c r="E139" i="30"/>
  <c r="G139" i="30"/>
  <c r="H139" i="30"/>
  <c r="I139" i="30"/>
  <c r="J139" i="30"/>
  <c r="K139" i="30"/>
  <c r="L139" i="30"/>
  <c r="M139" i="30"/>
  <c r="N139" i="30"/>
  <c r="B140" i="30"/>
  <c r="D140" i="30"/>
  <c r="E140" i="30"/>
  <c r="G140" i="30"/>
  <c r="H140" i="30"/>
  <c r="I140" i="30"/>
  <c r="J140" i="30"/>
  <c r="K140" i="30"/>
  <c r="L140" i="30"/>
  <c r="M140" i="30"/>
  <c r="N140" i="30"/>
  <c r="B141" i="30"/>
  <c r="D141" i="30"/>
  <c r="E141" i="30"/>
  <c r="G141" i="30"/>
  <c r="H141" i="30"/>
  <c r="I141" i="30"/>
  <c r="J141" i="30"/>
  <c r="K141" i="30"/>
  <c r="L141" i="30"/>
  <c r="M141" i="30"/>
  <c r="N141" i="30"/>
  <c r="J142" i="30"/>
  <c r="A735" i="3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B25" i="30" l="1"/>
  <c r="D25" i="30"/>
  <c r="E25" i="30"/>
  <c r="F25" i="30"/>
  <c r="G25" i="30"/>
  <c r="H25" i="30"/>
  <c r="I25" i="30"/>
  <c r="B26" i="30"/>
  <c r="D26" i="30"/>
  <c r="E26" i="30"/>
  <c r="F26" i="30"/>
  <c r="G26" i="30"/>
  <c r="H26" i="30"/>
  <c r="I26" i="30"/>
  <c r="B27" i="30"/>
  <c r="D27" i="30"/>
  <c r="E27" i="30"/>
  <c r="F27" i="30"/>
  <c r="G27" i="30"/>
  <c r="H27" i="30"/>
  <c r="I27" i="30"/>
  <c r="B28" i="30"/>
  <c r="D28" i="30"/>
  <c r="E28" i="30"/>
  <c r="F28" i="30"/>
  <c r="G28" i="30"/>
  <c r="H28" i="30"/>
  <c r="I28" i="30"/>
  <c r="B29" i="30"/>
  <c r="C29" i="30"/>
  <c r="D29" i="30"/>
  <c r="E29" i="30"/>
  <c r="F29" i="30"/>
  <c r="G29" i="30"/>
  <c r="H29" i="30"/>
  <c r="I29" i="30"/>
  <c r="B30" i="30"/>
  <c r="C30" i="30"/>
  <c r="D30" i="30"/>
  <c r="E30" i="30"/>
  <c r="F30" i="30"/>
  <c r="G30" i="30"/>
  <c r="H30" i="30"/>
  <c r="I30" i="30"/>
  <c r="B31" i="30"/>
  <c r="D31" i="30"/>
  <c r="E31" i="30"/>
  <c r="F31" i="30"/>
  <c r="G31" i="30"/>
  <c r="H31" i="30"/>
  <c r="I31" i="30"/>
  <c r="B32" i="30"/>
  <c r="D32" i="30"/>
  <c r="E32" i="30"/>
  <c r="F32" i="30"/>
  <c r="G32" i="30"/>
  <c r="H32" i="30"/>
  <c r="I32" i="30"/>
  <c r="B33" i="30"/>
  <c r="D33" i="30"/>
  <c r="E33" i="30"/>
  <c r="F33" i="30"/>
  <c r="G33" i="30"/>
  <c r="H33" i="30"/>
  <c r="I33" i="30"/>
  <c r="B34" i="30"/>
  <c r="D34" i="30"/>
  <c r="E34" i="30"/>
  <c r="F34" i="30"/>
  <c r="G34" i="30"/>
  <c r="H34" i="30"/>
  <c r="I34" i="30"/>
  <c r="B35" i="30"/>
  <c r="D35" i="30"/>
  <c r="E35" i="30"/>
  <c r="F35" i="30"/>
  <c r="G35" i="30"/>
  <c r="H35" i="30"/>
  <c r="I35" i="30"/>
  <c r="B36" i="30"/>
  <c r="O142" i="30"/>
  <c r="F21" i="30" s="1"/>
  <c r="I142" i="30"/>
  <c r="D142" i="30"/>
  <c r="H142" i="30"/>
  <c r="H36" i="30" s="1"/>
  <c r="H37" i="30" s="1"/>
  <c r="G142" i="30"/>
  <c r="F142" i="30"/>
  <c r="B142" i="30"/>
  <c r="N142" i="30"/>
  <c r="M142" i="30"/>
  <c r="L142" i="30"/>
  <c r="K142" i="30"/>
  <c r="E142" i="30"/>
  <c r="W6" i="3" a="1"/>
  <c r="W3" i="3" a="1"/>
  <c r="W5" i="3" a="1"/>
  <c r="W7" i="3" a="1"/>
  <c r="W4" i="3"/>
  <c r="S6" i="29"/>
  <c r="S4" i="29"/>
  <c r="S3" i="29"/>
  <c r="S8" i="29"/>
  <c r="S7" i="29"/>
  <c r="R670" i="3"/>
  <c r="F138" i="30" s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F141" i="30" s="1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F140" i="30" s="1"/>
  <c r="R677" i="3"/>
  <c r="F135" i="30" s="1"/>
  <c r="R672" i="3"/>
  <c r="R666" i="3"/>
  <c r="R665" i="3"/>
  <c r="R692" i="3"/>
  <c r="R691" i="3"/>
  <c r="R700" i="3"/>
  <c r="R698" i="3"/>
  <c r="F136" i="30" s="1"/>
  <c r="R701" i="3"/>
  <c r="R695" i="3"/>
  <c r="R694" i="3"/>
  <c r="R658" i="3"/>
  <c r="F139" i="30" s="1"/>
  <c r="R687" i="3"/>
  <c r="R669" i="3"/>
  <c r="F137" i="30" s="1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F133" i="30" s="1"/>
  <c r="R655" i="3"/>
  <c r="R627" i="3"/>
  <c r="R653" i="3"/>
  <c r="R652" i="3"/>
  <c r="R650" i="3"/>
  <c r="R649" i="3"/>
  <c r="R648" i="3"/>
  <c r="R647" i="3"/>
  <c r="R646" i="3"/>
  <c r="R645" i="3"/>
  <c r="R644" i="3"/>
  <c r="R643" i="3"/>
  <c r="F131" i="30" s="1"/>
  <c r="R641" i="3"/>
  <c r="R640" i="3"/>
  <c r="R639" i="3"/>
  <c r="R638" i="3"/>
  <c r="F130" i="30" s="1"/>
  <c r="R637" i="3"/>
  <c r="F129" i="30" s="1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F132" i="30" s="1"/>
  <c r="R685" i="3"/>
  <c r="R642" i="3"/>
  <c r="R654" i="3"/>
  <c r="R656" i="3"/>
  <c r="R661" i="3"/>
  <c r="R720" i="3"/>
  <c r="R683" i="3"/>
  <c r="R651" i="3"/>
  <c r="L645" i="3"/>
  <c r="R295" i="3"/>
  <c r="R286" i="3"/>
  <c r="R610" i="3"/>
  <c r="F128" i="30" s="1"/>
  <c r="R618" i="3"/>
  <c r="R611" i="3"/>
  <c r="R613" i="3"/>
  <c r="R607" i="3"/>
  <c r="R591" i="3"/>
  <c r="F127" i="30" s="1"/>
  <c r="R584" i="3"/>
  <c r="F125" i="30" s="1"/>
  <c r="R576" i="3"/>
  <c r="F124" i="30" s="1"/>
  <c r="R586" i="3"/>
  <c r="F126" i="30" s="1"/>
  <c r="R579" i="3"/>
  <c r="R578" i="3"/>
  <c r="R557" i="3"/>
  <c r="F122" i="30" s="1"/>
  <c r="R556" i="3"/>
  <c r="R555" i="3"/>
  <c r="F121" i="30" s="1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F123" i="30" s="1"/>
  <c r="R562" i="3"/>
  <c r="R549" i="3"/>
  <c r="R539" i="3"/>
  <c r="F120" i="30" s="1"/>
  <c r="C35" i="30" s="1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F109" i="30" s="1"/>
  <c r="R484" i="3"/>
  <c r="R433" i="3"/>
  <c r="R470" i="3"/>
  <c r="R499" i="3"/>
  <c r="F113" i="30" s="1"/>
  <c r="R516" i="3"/>
  <c r="R534" i="3"/>
  <c r="R533" i="3"/>
  <c r="R532" i="3"/>
  <c r="R461" i="3"/>
  <c r="R426" i="3"/>
  <c r="R425" i="3"/>
  <c r="R531" i="3"/>
  <c r="F118" i="30" s="1"/>
  <c r="R530" i="3"/>
  <c r="F117" i="30" s="1"/>
  <c r="R528" i="3"/>
  <c r="R527" i="3"/>
  <c r="R526" i="3"/>
  <c r="F116" i="30" s="1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F115" i="30" s="1"/>
  <c r="R507" i="3"/>
  <c r="R505" i="3"/>
  <c r="R503" i="3"/>
  <c r="F114" i="30" s="1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F112" i="30" s="1"/>
  <c r="R489" i="3"/>
  <c r="R487" i="3"/>
  <c r="R486" i="3"/>
  <c r="R482" i="3"/>
  <c r="R483" i="3"/>
  <c r="R480" i="3"/>
  <c r="R481" i="3"/>
  <c r="R479" i="3"/>
  <c r="F111" i="30" s="1"/>
  <c r="R478" i="3"/>
  <c r="R473" i="3"/>
  <c r="R475" i="3"/>
  <c r="R472" i="3"/>
  <c r="R471" i="3"/>
  <c r="R469" i="3"/>
  <c r="R468" i="3"/>
  <c r="R467" i="3"/>
  <c r="R463" i="3"/>
  <c r="R462" i="3"/>
  <c r="R460" i="3"/>
  <c r="R459" i="3"/>
  <c r="F110" i="30" s="1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F108" i="30" s="1"/>
  <c r="C34" i="30" s="1"/>
  <c r="R411" i="3"/>
  <c r="R409" i="3"/>
  <c r="R408" i="3"/>
  <c r="R407" i="3"/>
  <c r="R405" i="3"/>
  <c r="R404" i="3"/>
  <c r="R402" i="3"/>
  <c r="F107" i="30" s="1"/>
  <c r="R401" i="3"/>
  <c r="R400" i="3"/>
  <c r="R399" i="3"/>
  <c r="R398" i="3"/>
  <c r="R397" i="3"/>
  <c r="R396" i="3"/>
  <c r="R395" i="3"/>
  <c r="R394" i="3"/>
  <c r="F106" i="30" s="1"/>
  <c r="R392" i="3"/>
  <c r="R391" i="3"/>
  <c r="F105" i="30" s="1"/>
  <c r="R390" i="3"/>
  <c r="R389" i="3"/>
  <c r="F104" i="30" s="1"/>
  <c r="R388" i="3"/>
  <c r="R387" i="3"/>
  <c r="R386" i="3"/>
  <c r="R385" i="3"/>
  <c r="R383" i="3"/>
  <c r="R382" i="3"/>
  <c r="F103" i="30" s="1"/>
  <c r="R381" i="3"/>
  <c r="R380" i="3"/>
  <c r="R378" i="3"/>
  <c r="R377" i="3"/>
  <c r="R376" i="3"/>
  <c r="F102" i="30" s="1"/>
  <c r="R375" i="3"/>
  <c r="R374" i="3"/>
  <c r="R373" i="3"/>
  <c r="F101" i="30" s="1"/>
  <c r="R372" i="3"/>
  <c r="R371" i="3"/>
  <c r="F100" i="30" s="1"/>
  <c r="R370" i="3"/>
  <c r="R369" i="3"/>
  <c r="R368" i="3"/>
  <c r="R367" i="3"/>
  <c r="R366" i="3"/>
  <c r="F99" i="30" s="1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F98" i="30" s="1"/>
  <c r="R337" i="3"/>
  <c r="F97" i="30" s="1"/>
  <c r="R336" i="3"/>
  <c r="R335" i="3"/>
  <c r="F96" i="30" s="1"/>
  <c r="C33" i="30" s="1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F95" i="30" s="1"/>
  <c r="C32" i="30" s="1"/>
  <c r="R290" i="3"/>
  <c r="R289" i="3"/>
  <c r="R288" i="3"/>
  <c r="R287" i="3"/>
  <c r="R285" i="3"/>
  <c r="R284" i="3"/>
  <c r="R283" i="3"/>
  <c r="F94" i="30" s="1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F93" i="30" s="1"/>
  <c r="C31" i="30" s="1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F92" i="30" s="1"/>
  <c r="C28" i="30" s="1"/>
  <c r="R94" i="3"/>
  <c r="R93" i="3"/>
  <c r="F91" i="30" s="1"/>
  <c r="C27" i="30" s="1"/>
  <c r="R92" i="3"/>
  <c r="R91" i="3"/>
  <c r="R90" i="3"/>
  <c r="R89" i="3"/>
  <c r="R88" i="3"/>
  <c r="R87" i="3"/>
  <c r="R84" i="3"/>
  <c r="R86" i="3"/>
  <c r="R85" i="3"/>
  <c r="F90" i="30" s="1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F89" i="30" s="1"/>
  <c r="R46" i="3"/>
  <c r="R45" i="3"/>
  <c r="R44" i="3"/>
  <c r="R43" i="3"/>
  <c r="R42" i="3"/>
  <c r="R41" i="3"/>
  <c r="R40" i="3"/>
  <c r="F88" i="30" s="1"/>
  <c r="C26" i="30" s="1"/>
  <c r="R39" i="3"/>
  <c r="R38" i="3"/>
  <c r="R37" i="3"/>
  <c r="R36" i="3"/>
  <c r="R35" i="3"/>
  <c r="R34" i="3"/>
  <c r="R33" i="3"/>
  <c r="R13" i="3"/>
  <c r="R32" i="3"/>
  <c r="F87" i="30" s="1"/>
  <c r="R31" i="3"/>
  <c r="R30" i="3"/>
  <c r="R29" i="3"/>
  <c r="R28" i="3"/>
  <c r="F86" i="30" s="1"/>
  <c r="R27" i="3"/>
  <c r="R26" i="3"/>
  <c r="R25" i="3"/>
  <c r="R24" i="3"/>
  <c r="R23" i="3"/>
  <c r="R22" i="3"/>
  <c r="R21" i="3"/>
  <c r="R20" i="3"/>
  <c r="R19" i="3"/>
  <c r="R18" i="3"/>
  <c r="R17" i="3"/>
  <c r="R16" i="3"/>
  <c r="F85" i="30" s="1"/>
  <c r="C25" i="30" s="1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F119" i="30" s="1"/>
  <c r="R583" i="3"/>
  <c r="B37" i="30" l="1"/>
  <c r="I36" i="30"/>
  <c r="I37" i="30"/>
  <c r="F14" i="30"/>
  <c r="E36" i="30"/>
  <c r="E37" i="30" s="1"/>
  <c r="F16" i="30"/>
  <c r="G36" i="30"/>
  <c r="G37" i="30" s="1"/>
  <c r="F13" i="30"/>
  <c r="D36" i="30"/>
  <c r="D37" i="30" s="1"/>
  <c r="F15" i="30"/>
  <c r="F36" i="30"/>
  <c r="F37" i="30" s="1"/>
  <c r="F12" i="30"/>
  <c r="C36" i="30"/>
  <c r="C37" i="30" s="1"/>
  <c r="F11" i="30"/>
  <c r="F19" i="30"/>
  <c r="F17" i="30"/>
  <c r="F18" i="30"/>
  <c r="B8" i="27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F20" i="30" l="1"/>
  <c r="D5" i="27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A2" i="20" l="1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<sst xmlns="http://schemas.openxmlformats.org/spreadsheetml/2006/main" count="7430" uniqueCount="3277">
  <si>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</si>
  <si>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</si>
  <si>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</si>
  <si>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</si>
  <si>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</si>
  <si>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</si>
  <si>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</si>
  <si>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</si>
  <si>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</si>
  <si>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</si>
  <si>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</si>
  <si>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</si>
  <si>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</si>
  <si>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</si>
  <si>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</si>
  <si>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</si>
  <si>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</si>
  <si>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</si>
  <si>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</si>
  <si>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</si>
  <si>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</si>
  <si>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</si>
  <si>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</si>
  <si>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</si>
  <si>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</si>
  <si>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</si>
  <si>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</si>
  <si>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</si>
  <si>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</si>
  <si>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</si>
  <si>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</si>
  <si>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</si>
  <si>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</si>
  <si>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</si>
  <si>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</si>
  <si>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</si>
  <si>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</si>
  <si>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</si>
  <si>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</si>
  <si>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</si>
  <si>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</si>
  <si>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</si>
  <si>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</si>
  <si>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</si>
  <si>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</si>
  <si>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</si>
  <si>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</si>
  <si>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</si>
  <si>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</si>
  <si>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</si>
  <si>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</si>
  <si>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</si>
  <si>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</si>
  <si>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</si>
  <si>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</si>
  <si>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</si>
  <si>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</si>
  <si>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</si>
  <si>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</si>
  <si>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</si>
  <si>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</si>
  <si>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</si>
  <si>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</si>
  <si>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</si>
  <si>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</si>
  <si>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</si>
  <si>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</si>
  <si>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</si>
  <si>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</si>
  <si>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</si>
  <si>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</si>
  <si>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</si>
  <si>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</si>
  <si>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</si>
  <si>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</si>
  <si>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</si>
  <si>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</si>
  <si>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</si>
  <si>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</si>
  <si>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</si>
  <si>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</si>
  <si>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</si>
  <si>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</si>
  <si>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</si>
  <si>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</si>
  <si>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</si>
  <si>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</si>
  <si>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</si>
  <si>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</si>
  <si>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</si>
  <si>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</si>
  <si>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</si>
  <si>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</si>
  <si>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</si>
  <si>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</si>
  <si>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</si>
  <si>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</si>
  <si>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</si>
  <si>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</si>
  <si>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</si>
  <si>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</si>
  <si>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</si>
  <si>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</si>
  <si>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</si>
  <si>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</si>
  <si>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</si>
  <si>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</si>
  <si>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</si>
  <si>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</si>
  <si>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</si>
  <si>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</si>
  <si>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</si>
  <si>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</si>
  <si>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</si>
  <si>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</si>
  <si>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</si>
  <si>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</si>
  <si>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</si>
  <si>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</si>
  <si>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</si>
  <si>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</si>
  <si>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</si>
  <si>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</si>
  <si>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</si>
  <si>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</si>
  <si>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</si>
  <si>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</si>
  <si>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</si>
  <si>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</si>
  <si>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</si>
  <si>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</si>
  <si>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</si>
  <si>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</si>
  <si>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</si>
  <si>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</si>
  <si>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</si>
  <si>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</si>
  <si>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</si>
  <si>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</si>
  <si>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</si>
  <si>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</si>
  <si>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</si>
  <si>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</si>
  <si>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</si>
  <si>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</si>
  <si>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</si>
  <si>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</si>
  <si>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</si>
  <si>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</si>
  <si>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</si>
  <si>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</si>
  <si>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</si>
  <si>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</si>
  <si>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</si>
  <si>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</si>
  <si>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</si>
  <si>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</si>
  <si>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</si>
  <si>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</si>
  <si>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</si>
  <si>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</si>
  <si>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</si>
  <si>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</si>
  <si>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</si>
  <si>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</si>
  <si>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</si>
  <si>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</si>
  <si>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</si>
  <si>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</si>
  <si>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</si>
  <si>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</si>
  <si>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</si>
  <si>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</si>
  <si>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</si>
  <si>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</si>
  <si>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</si>
  <si>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</si>
  <si>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</si>
  <si>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</si>
  <si>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</si>
  <si>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</si>
  <si>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</si>
  <si>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</si>
  <si>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</si>
  <si>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</si>
  <si>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</si>
  <si>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</si>
  <si>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</si>
  <si>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</si>
  <si>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</si>
  <si>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</si>
  <si>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</si>
  <si>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</si>
  <si>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</si>
  <si>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</si>
  <si>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</si>
  <si>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</si>
  <si>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</si>
  <si>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</si>
  <si>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</si>
  <si>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</si>
  <si>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</si>
  <si>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</si>
  <si>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</si>
  <si>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</si>
  <si>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</si>
  <si>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</si>
  <si>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</si>
  <si>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</si>
  <si>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</si>
  <si>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</si>
  <si>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</si>
  <si>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</si>
  <si>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</si>
  <si>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</si>
  <si>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</si>
  <si>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</si>
  <si>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</si>
  <si>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</si>
  <si>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</si>
  <si>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</si>
  <si>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</si>
  <si>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</si>
  <si>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</si>
  <si>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</si>
  <si>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</si>
  <si>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</si>
  <si>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</si>
  <si>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</si>
  <si>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</si>
  <si>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</si>
  <si>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</si>
  <si>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</si>
  <si>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</si>
  <si>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</si>
  <si>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</si>
  <si>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</si>
  <si>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</si>
  <si>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</si>
  <si>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</si>
  <si>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</si>
  <si>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</si>
  <si>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</si>
  <si>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</si>
  <si>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</si>
  <si>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</si>
  <si>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</si>
  <si>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</si>
  <si>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</si>
  <si>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</si>
  <si>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</si>
  <si>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</si>
  <si>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</si>
  <si>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</si>
  <si>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</si>
  <si>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</si>
  <si>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</si>
  <si>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</si>
  <si>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</si>
  <si>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</si>
  <si>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</si>
  <si>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</si>
  <si>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</si>
  <si>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</si>
  <si>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</si>
  <si>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</si>
  <si>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</si>
  <si>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</si>
  <si>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</si>
  <si>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</si>
  <si>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</si>
  <si>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</si>
  <si>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</si>
  <si>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</si>
  <si>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</si>
  <si>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</si>
  <si>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</si>
  <si>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</si>
  <si>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</si>
  <si>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</si>
  <si>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</si>
  <si>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</si>
  <si>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</si>
  <si>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</si>
  <si>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</si>
  <si>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</si>
  <si>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</si>
  <si>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</si>
  <si>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</si>
  <si>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</si>
  <si>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</si>
  <si>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</si>
  <si>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</si>
  <si>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</si>
  <si>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</si>
  <si>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</si>
  <si>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</si>
  <si>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</si>
  <si>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</si>
  <si>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</si>
  <si>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</si>
  <si>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</si>
  <si>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</si>
  <si>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</si>
  <si>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</si>
  <si>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</si>
  <si>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</si>
  <si>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</si>
  <si>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</si>
  <si>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</si>
  <si>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</si>
  <si>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</si>
  <si>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</si>
  <si>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</si>
  <si>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</si>
  <si>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</si>
  <si>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</si>
  <si>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</si>
  <si>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</si>
  <si>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</si>
  <si>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</si>
  <si>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</si>
  <si>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</si>
  <si>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</si>
  <si>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</si>
  <si>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</si>
  <si>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</si>
  <si>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</si>
  <si>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</si>
  <si>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</si>
  <si>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</si>
  <si>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</si>
  <si>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</si>
  <si>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</si>
  <si>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</si>
  <si>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</si>
  <si>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</si>
  <si>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</si>
  <si>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</si>
  <si>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</si>
  <si>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</si>
  <si>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</si>
  <si>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</si>
  <si>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</si>
  <si>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</si>
  <si>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</si>
  <si>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</si>
  <si>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</si>
  <si>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</si>
  <si>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</si>
  <si>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</si>
  <si>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</si>
  <si>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</si>
  <si>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</si>
  <si>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</si>
  <si>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</si>
  <si>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</si>
  <si>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</si>
  <si>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</si>
  <si>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</si>
  <si>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</si>
  <si>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</si>
  <si>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</si>
  <si>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</si>
  <si>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</si>
  <si>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</si>
  <si>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</si>
  <si>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</si>
  <si>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</si>
  <si>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</si>
  <si>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</si>
  <si>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</si>
  <si>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</si>
  <si>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</si>
  <si>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</si>
  <si>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</si>
  <si>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</si>
  <si>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</si>
  <si>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</si>
  <si>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</si>
  <si>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</si>
  <si>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</si>
  <si>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</si>
  <si>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</si>
  <si>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</si>
  <si>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</si>
  <si>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</si>
  <si>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</si>
  <si>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</si>
  <si>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</si>
  <si>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</si>
  <si>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</si>
  <si>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</si>
  <si>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</si>
  <si>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</si>
  <si>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</si>
  <si>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</si>
  <si>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</si>
  <si>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</si>
  <si>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</si>
  <si>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</si>
  <si>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</si>
  <si>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</si>
  <si>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</si>
  <si>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</si>
  <si>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</si>
  <si>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</si>
  <si>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</si>
  <si>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</si>
  <si>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</si>
  <si>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</si>
  <si>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</si>
  <si>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</si>
  <si>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</si>
  <si>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</si>
  <si>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</si>
  <si>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</si>
  <si>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</si>
  <si>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</si>
  <si>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</si>
  <si>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</si>
  <si>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</si>
  <si>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</si>
  <si>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</si>
  <si>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</si>
  <si>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</si>
  <si>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</si>
  <si>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</si>
  <si>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</si>
  <si>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</si>
  <si>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</si>
  <si>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</si>
  <si>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</si>
  <si>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</si>
  <si>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</si>
  <si>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</si>
  <si>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</si>
  <si>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</si>
  <si>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</si>
  <si>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</si>
  <si>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</si>
  <si>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</si>
  <si>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</si>
  <si>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</si>
  <si>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</si>
  <si>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</si>
  <si>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</si>
  <si>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</si>
  <si>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</si>
  <si>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</si>
  <si>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</si>
  <si>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</si>
  <si>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</si>
  <si>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</si>
  <si>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</si>
  <si>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</si>
  <si>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</si>
  <si>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</si>
  <si>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</si>
  <si>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</si>
  <si>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</si>
  <si>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</si>
  <si>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</si>
  <si>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</si>
  <si>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</si>
  <si>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</si>
  <si>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</si>
  <si>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</si>
  <si>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</si>
  <si>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</si>
  <si>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</si>
  <si>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</si>
  <si>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</si>
  <si>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</si>
  <si>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</si>
  <si>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</si>
  <si>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</si>
  <si>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</si>
  <si>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</si>
  <si>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</si>
  <si>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</si>
  <si>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</si>
  <si>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</si>
  <si>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</si>
  <si>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</si>
  <si>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</si>
  <si>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</si>
  <si>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</si>
  <si>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</si>
  <si>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</si>
  <si>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</si>
  <si>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</si>
  <si>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</si>
  <si>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</si>
  <si>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</si>
  <si>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</si>
  <si>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</si>
  <si>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</si>
  <si>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</si>
  <si>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</si>
  <si>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</si>
  <si>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</si>
  <si>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</si>
  <si>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</si>
  <si>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</si>
  <si>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</si>
  <si>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</si>
  <si>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</si>
  <si>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</si>
  <si>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</si>
  <si>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</si>
  <si>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</si>
  <si>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</si>
  <si>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</si>
  <si>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</si>
  <si>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</si>
  <si>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</si>
  <si>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</si>
  <si>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</si>
  <si>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</si>
  <si>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</si>
  <si>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</si>
  <si>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</si>
  <si>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</si>
  <si>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</si>
  <si>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</si>
  <si>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</si>
  <si>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</si>
  <si>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</si>
  <si>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</si>
  <si>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</si>
  <si>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</si>
  <si>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</si>
  <si>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</si>
  <si>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</si>
  <si>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</si>
  <si>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</si>
  <si>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</si>
  <si>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</si>
  <si>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</si>
  <si>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</si>
  <si>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</si>
  <si>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</si>
  <si>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</si>
  <si>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</si>
  <si>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</si>
  <si>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</si>
  <si>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</si>
  <si>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</si>
  <si>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</si>
  <si>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</si>
  <si>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</si>
  <si>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</si>
  <si>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</si>
  <si>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</si>
  <si>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</si>
  <si>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</si>
  <si>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</si>
  <si>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</si>
  <si>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</si>
  <si>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</si>
  <si>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</si>
  <si>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</si>
  <si>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</si>
  <si>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</si>
  <si>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</si>
  <si>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</si>
  <si>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</si>
  <si>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</si>
  <si>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</si>
  <si>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</si>
  <si>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</si>
  <si>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</si>
  <si>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</si>
  <si>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</si>
  <si>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</si>
  <si>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</si>
  <si>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</si>
  <si>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</si>
  <si>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</si>
  <si>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</si>
  <si>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</si>
  <si>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</si>
  <si>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</si>
  <si>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</si>
  <si>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</si>
  <si>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</si>
  <si>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</si>
  <si>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</si>
  <si>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</si>
  <si>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</si>
  <si>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</si>
  <si>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</si>
  <si>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</si>
  <si>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</si>
  <si>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</si>
  <si>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</si>
  <si>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</si>
  <si>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</si>
  <si>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</si>
  <si>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</si>
  <si>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</si>
  <si>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</si>
  <si>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</si>
  <si>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</si>
  <si>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</si>
  <si>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</si>
  <si>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</si>
  <si>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</si>
  <si>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</si>
  <si>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</si>
  <si>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</si>
  <si>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</si>
  <si>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</si>
  <si>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</si>
  <si>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</si>
  <si>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</si>
  <si>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</si>
  <si>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</si>
  <si>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</si>
  <si>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</si>
  <si>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</si>
  <si>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</si>
  <si>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</si>
  <si>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</si>
  <si>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</si>
  <si>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</si>
  <si>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</si>
  <si>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</si>
  <si>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</si>
  <si>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</si>
  <si>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</si>
  <si>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</si>
  <si>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</si>
  <si>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</si>
  <si>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</si>
  <si>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</si>
  <si>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</si>
  <si>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</si>
  <si>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</si>
  <si>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</si>
  <si>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</si>
  <si>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</si>
  <si>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</si>
  <si>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</si>
  <si>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</si>
  <si>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</si>
  <si>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</si>
  <si>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</si>
  <si>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</si>
  <si>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</si>
  <si>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</si>
  <si>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</si>
  <si>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</si>
  <si>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</si>
  <si>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</si>
  <si>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</si>
  <si>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</si>
  <si>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</si>
  <si>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</si>
  <si>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</si>
  <si>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</si>
  <si>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</si>
  <si>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</si>
  <si>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</si>
  <si>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</si>
  <si>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</si>
  <si>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</si>
  <si>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</si>
  <si>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</si>
  <si>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</si>
  <si>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</si>
  <si>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</si>
  <si>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</si>
  <si>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</si>
  <si>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</si>
  <si>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</si>
  <si>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</si>
  <si>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</si>
  <si>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</si>
  <si>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</si>
  <si>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</si>
  <si>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</si>
  <si>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</si>
  <si>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</si>
  <si>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</si>
  <si>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</si>
  <si>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</si>
  <si>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</si>
  <si>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</si>
  <si>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</si>
  <si>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</si>
  <si>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</si>
  <si>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</si>
  <si>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</si>
  <si>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</si>
  <si>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</si>
  <si>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</si>
  <si>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</si>
  <si>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</si>
  <si>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</si>
  <si>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</si>
  <si>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</si>
  <si>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</si>
  <si>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</si>
  <si>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</si>
  <si>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</si>
  <si>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</si>
  <si>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</si>
  <si>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</si>
  <si>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</si>
  <si>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</si>
  <si>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</si>
  <si>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</si>
  <si>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</si>
  <si>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</si>
  <si>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</si>
  <si>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</si>
  <si>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</si>
  <si>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</si>
  <si>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</si>
  <si>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</si>
  <si>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</si>
  <si>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</si>
  <si>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</si>
  <si>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</si>
  <si>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</si>
  <si>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</si>
  <si>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</si>
  <si>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</si>
  <si>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</si>
  <si>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</si>
  <si>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</si>
  <si>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</si>
  <si>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</si>
  <si>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</si>
  <si>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</si>
  <si>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</si>
  <si>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</si>
  <si>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</si>
  <si>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</si>
  <si>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</si>
  <si>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</si>
  <si>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</si>
  <si>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</si>
  <si>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</si>
  <si>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</si>
  <si>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</si>
  <si>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</si>
  <si>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</si>
  <si>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</si>
  <si>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</si>
  <si>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</si>
  <si>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</si>
  <si>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</si>
  <si>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</si>
  <si>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</si>
  <si>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</si>
  <si>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</si>
  <si>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</si>
  <si>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</si>
  <si>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</si>
  <si>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</si>
  <si>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</si>
  <si>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</si>
  <si>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</si>
  <si>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</si>
  <si>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</si>
  <si>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</si>
  <si>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</si>
  <si>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</si>
  <si>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</si>
  <si>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</si>
  <si>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</si>
  <si>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</si>
  <si>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</si>
  <si>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</si>
  <si>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</si>
  <si>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</si>
  <si>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</si>
  <si>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</si>
  <si>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</si>
  <si>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</si>
  <si>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</si>
  <si>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</si>
  <si>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</si>
  <si>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</si>
  <si>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</si>
  <si>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</si>
  <si>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</si>
  <si>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</si>
  <si>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</si>
  <si>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</si>
  <si>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</si>
  <si>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</si>
  <si>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</si>
  <si>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</si>
  <si>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</si>
  <si>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</si>
  <si>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</si>
  <si>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</si>
  <si>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</si>
  <si>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</si>
  <si>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</si>
  <si>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</si>
  <si>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</si>
  <si>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</si>
  <si>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</si>
  <si>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</si>
  <si>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</si>
  <si>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</si>
  <si>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</si>
  <si>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</si>
  <si>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</si>
  <si>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</si>
  <si>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</si>
  <si>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</si>
  <si>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</si>
  <si>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</si>
  <si>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</si>
  <si>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</si>
  <si>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</si>
  <si>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</si>
  <si>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</si>
  <si>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</si>
  <si>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</si>
  <si>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</si>
  <si>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</si>
  <si>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</si>
  <si>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</si>
  <si>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</si>
  <si>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</si>
  <si>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</si>
  <si>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</si>
  <si>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</si>
  <si>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</si>
  <si>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</si>
  <si>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</si>
  <si>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</si>
  <si>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</si>
  <si>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</si>
  <si>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</si>
  <si>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</si>
  <si>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</si>
  <si>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</si>
  <si>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</si>
  <si>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</si>
  <si>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</si>
  <si>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</si>
  <si>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</si>
  <si>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</si>
  <si>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</si>
  <si>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</si>
  <si>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</si>
  <si>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</si>
  <si>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</si>
  <si>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</si>
  <si>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</si>
  <si>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</si>
  <si>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</si>
  <si>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</si>
  <si>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</si>
  <si>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</si>
  <si>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</si>
  <si>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</si>
  <si>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</si>
  <si>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</si>
  <si>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</si>
  <si>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</si>
  <si>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</si>
  <si>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</si>
  <si>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</si>
  <si>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</si>
  <si>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</si>
  <si>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</si>
  <si>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</si>
  <si>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</si>
  <si>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</si>
  <si>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</si>
  <si>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</si>
  <si>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</si>
  <si>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</si>
  <si>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</si>
  <si>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</si>
  <si>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</si>
  <si>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</si>
  <si>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</si>
  <si>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</si>
  <si>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</si>
  <si>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</si>
  <si>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</si>
  <si>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</si>
  <si>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</si>
  <si>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</si>
  <si>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</si>
  <si>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</si>
  <si>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</si>
  <si>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</si>
  <si>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</si>
  <si>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</si>
  <si>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</si>
  <si>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</si>
  <si>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</si>
  <si>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</si>
  <si>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</si>
  <si>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</si>
  <si>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</si>
  <si>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</si>
  <si>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</si>
  <si>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</si>
  <si>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</si>
  <si>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</si>
  <si>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</si>
  <si>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</si>
  <si>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</si>
  <si>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</si>
  <si>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</si>
  <si>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</si>
  <si>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</si>
  <si>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</si>
  <si>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</si>
  <si>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</si>
  <si>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</si>
  <si>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</si>
  <si>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</si>
  <si>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</si>
  <si>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</si>
  <si>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</si>
  <si>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</si>
  <si>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</si>
  <si>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</si>
  <si>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</si>
  <si>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</si>
  <si>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</si>
  <si>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</si>
  <si>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</si>
  <si>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</si>
  <si>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</si>
  <si>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</si>
  <si>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</si>
  <si>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</si>
  <si>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</si>
  <si>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</si>
  <si>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</si>
  <si>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</si>
  <si>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</si>
  <si>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</si>
  <si>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</si>
  <si>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</si>
  <si>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</si>
  <si>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</si>
  <si>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</si>
  <si>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</si>
  <si>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</si>
  <si>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</si>
  <si>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</si>
  <si>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</si>
  <si>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</si>
  <si>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</si>
  <si>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</si>
  <si>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</si>
  <si>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</si>
  <si>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</si>
  <si>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</si>
  <si>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</si>
  <si>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</si>
  <si>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</si>
  <si>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</si>
  <si>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</si>
  <si>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</si>
  <si>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</si>
  <si>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</si>
  <si>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</si>
  <si>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</si>
  <si>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</si>
  <si>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</si>
  <si>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</si>
  <si>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</si>
  <si>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</si>
  <si>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</si>
  <si>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</si>
  <si>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</si>
  <si>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</si>
  <si>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</si>
  <si>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</si>
  <si>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</si>
  <si>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</si>
  <si>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</si>
  <si>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</si>
  <si>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</si>
  <si>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</si>
  <si>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</si>
  <si>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</si>
  <si>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</si>
  <si>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</si>
  <si>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</si>
  <si>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</si>
  <si>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</si>
  <si>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</si>
  <si>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</si>
  <si>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</si>
  <si>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</si>
  <si>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</si>
  <si>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</si>
  <si>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</si>
  <si>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</si>
  <si>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</si>
  <si>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</si>
  <si>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</si>
  <si>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</si>
  <si>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</si>
  <si>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</si>
  <si>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</si>
  <si>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</si>
  <si>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</si>
  <si>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</si>
  <si>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</si>
  <si>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</si>
  <si>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</si>
  <si>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</si>
  <si>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</si>
  <si>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</si>
  <si>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</si>
  <si>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</si>
  <si>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</si>
  <si>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</si>
  <si>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</si>
  <si>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</si>
  <si>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</si>
  <si>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</si>
  <si>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</si>
  <si>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</si>
  <si>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</si>
  <si>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</si>
  <si>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</si>
  <si>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</si>
  <si>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</si>
  <si>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</si>
  <si>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</si>
  <si>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</si>
  <si>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</si>
  <si>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</si>
  <si>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</si>
  <si>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</si>
  <si>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</si>
  <si>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</si>
  <si>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</si>
  <si>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</si>
  <si>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</si>
  <si>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</si>
  <si>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</si>
  <si>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</si>
  <si>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</si>
  <si>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</si>
  <si>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</si>
  <si>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</si>
  <si>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</si>
  <si>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</si>
  <si>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</si>
  <si>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</si>
  <si>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</si>
  <si>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</si>
  <si>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</si>
  <si>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</si>
  <si>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</si>
  <si>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</si>
  <si>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</si>
  <si>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</si>
  <si>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</si>
  <si>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</si>
  <si>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</si>
  <si>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</si>
  <si>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</si>
  <si>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</si>
  <si>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</si>
  <si>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</si>
  <si>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</si>
  <si>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</si>
  <si>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</si>
  <si>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</si>
  <si>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</si>
  <si>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</si>
  <si>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</si>
  <si>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</si>
  <si>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</si>
  <si>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</si>
  <si>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</si>
  <si>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</si>
  <si>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</si>
  <si>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</si>
  <si>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</si>
  <si>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</si>
  <si>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</si>
  <si>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</si>
  <si>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</si>
  <si>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</si>
  <si>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</si>
  <si>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</si>
  <si>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</si>
  <si>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</si>
  <si>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</si>
  <si>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</si>
  <si>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</si>
  <si>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</si>
  <si>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</si>
  <si>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</si>
  <si>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</si>
  <si>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</si>
  <si>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</si>
  <si>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</si>
  <si>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</si>
  <si>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</si>
  <si>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</si>
  <si>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</si>
  <si>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</si>
  <si>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</si>
  <si>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</si>
  <si>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</si>
  <si>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</si>
  <si>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</si>
  <si>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</si>
  <si>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</si>
  <si>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</si>
  <si>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</si>
  <si>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</si>
  <si>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</si>
  <si>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</si>
  <si>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</si>
  <si>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</si>
  <si>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</si>
  <si>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</si>
  <si>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</si>
  <si>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</si>
  <si>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</si>
  <si>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</si>
  <si>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</si>
  <si>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</si>
  <si>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</si>
  <si>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</si>
  <si>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</si>
  <si>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</si>
  <si>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</si>
  <si>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</si>
  <si>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</si>
  <si>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</si>
  <si>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</si>
  <si>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</si>
  <si>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</si>
  <si>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</si>
  <si>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</si>
  <si>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</si>
  <si>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</si>
  <si>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</si>
  <si>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</si>
  <si>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</si>
  <si>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</si>
  <si>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</si>
  <si>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</si>
  <si>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</si>
  <si>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</si>
  <si>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</si>
  <si>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</si>
  <si>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</si>
  <si>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</si>
  <si>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</si>
  <si>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</si>
  <si>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</si>
  <si>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</si>
  <si>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</si>
  <si>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</si>
  <si>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</si>
  <si>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</si>
  <si>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</si>
  <si>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</si>
  <si>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</si>
  <si>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</si>
  <si>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</si>
  <si>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</si>
  <si>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</si>
  <si>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</si>
  <si>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</si>
  <si>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</si>
  <si>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</si>
  <si>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</si>
  <si>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</si>
  <si>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</si>
  <si>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</si>
  <si>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</si>
  <si>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</si>
  <si>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</si>
  <si>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</si>
  <si>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</si>
  <si>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</si>
  <si>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</si>
  <si>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</si>
  <si>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</si>
  <si>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</si>
  <si>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</si>
  <si>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</si>
  <si>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</si>
  <si>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</si>
  <si>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</si>
  <si>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</si>
  <si>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</si>
  <si>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</si>
  <si>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</si>
  <si>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</si>
  <si>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</si>
  <si>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</si>
  <si>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</si>
  <si>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</si>
  <si>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</si>
  <si>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</si>
  <si>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</si>
  <si>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</si>
  <si>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</si>
  <si>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</si>
  <si>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</si>
  <si>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</si>
  <si>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</si>
  <si>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</si>
  <si>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</si>
  <si>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</si>
  <si>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</si>
  <si>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</si>
  <si>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</si>
  <si>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</si>
  <si>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</si>
  <si>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</si>
  <si>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</si>
  <si>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</si>
  <si>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</si>
  <si>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</si>
  <si>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</si>
  <si>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</si>
  <si>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</si>
  <si>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</si>
  <si>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</si>
  <si>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</si>
  <si>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</si>
  <si>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</si>
  <si>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</si>
  <si>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</si>
  <si>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</si>
  <si>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</si>
  <si>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</si>
  <si>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</si>
  <si>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</si>
  <si>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</si>
  <si>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</si>
  <si>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</si>
  <si>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</si>
  <si>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</si>
  <si>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</si>
  <si>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</si>
  <si>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</si>
  <si>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</si>
  <si>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</si>
  <si>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</si>
  <si>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</si>
  <si>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</si>
  <si>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</si>
  <si>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</si>
  <si>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</si>
  <si>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</si>
  <si>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</si>
  <si>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</si>
  <si>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</si>
  <si>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</si>
  <si>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</si>
  <si>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</si>
  <si>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</si>
  <si>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</si>
  <si>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</si>
  <si>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</si>
  <si>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</si>
  <si>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</si>
  <si>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</si>
  <si>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</si>
  <si>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</si>
  <si>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</si>
  <si>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</si>
  <si>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</si>
  <si>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</si>
  <si>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</si>
  <si>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</si>
  <si>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</si>
  <si>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</si>
  <si>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</si>
  <si>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</si>
  <si>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</si>
  <si>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</si>
  <si>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</si>
  <si>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</si>
  <si>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</si>
  <si>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</si>
  <si>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</si>
  <si>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</si>
  <si>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</si>
  <si>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</si>
  <si>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</si>
  <si>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</si>
  <si>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</si>
  <si>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</si>
  <si>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</si>
  <si>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</si>
  <si>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</si>
  <si>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</si>
  <si>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</si>
  <si>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</si>
  <si>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</si>
  <si>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</si>
  <si>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</si>
  <si>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</si>
  <si>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</si>
  <si>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</si>
  <si>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</si>
  <si>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</si>
  <si>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</si>
  <si>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</si>
  <si>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</si>
  <si>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</si>
  <si>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</si>
  <si>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</si>
  <si>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</si>
  <si>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</si>
  <si>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</si>
  <si>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</si>
  <si>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</si>
  <si>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</si>
  <si>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</si>
  <si>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</si>
  <si>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</si>
  <si>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</si>
  <si>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</si>
  <si>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</si>
  <si>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</si>
  <si>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</si>
  <si>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</si>
  <si>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</si>
  <si>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</si>
  <si>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</si>
  <si>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</si>
  <si>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</si>
  <si>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</si>
  <si>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</si>
  <si>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</si>
  <si>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</si>
  <si>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</si>
  <si>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</si>
  <si>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</si>
  <si>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</si>
  <si>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</si>
  <si>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</si>
  <si>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</si>
  <si>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</si>
  <si>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</si>
  <si>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</si>
  <si>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</si>
  <si>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</si>
  <si>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</si>
  <si>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</si>
  <si>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</si>
  <si>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</si>
  <si>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</si>
  <si>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</si>
  <si>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</si>
  <si>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</si>
  <si>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</si>
  <si>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</si>
  <si>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</si>
  <si>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</si>
  <si>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</si>
  <si>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</si>
  <si>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</si>
  <si>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</si>
  <si>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</si>
  <si>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</si>
  <si>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</si>
  <si>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</si>
  <si>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</si>
  <si>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</si>
  <si>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</si>
  <si>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</si>
  <si>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</si>
  <si>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</si>
  <si>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</si>
  <si>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</si>
  <si>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</si>
  <si>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</si>
  <si>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</si>
  <si>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</si>
  <si>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</si>
  <si>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</si>
  <si>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</si>
  <si>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</si>
  <si>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</si>
  <si>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</si>
  <si>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</si>
  <si>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</si>
  <si>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</si>
  <si>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</si>
  <si>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</si>
  <si>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</si>
  <si>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</si>
  <si>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</si>
  <si>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</si>
  <si>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</si>
  <si>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</si>
  <si>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</si>
  <si>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</si>
  <si>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</si>
  <si>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</si>
  <si>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</si>
  <si>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</si>
  <si>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</si>
  <si>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</si>
  <si>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</si>
  <si>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</si>
  <si>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</si>
  <si>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</si>
  <si>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</si>
  <si>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</si>
  <si>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</si>
  <si>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</si>
  <si>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</si>
  <si>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</si>
  <si>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</si>
  <si>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</si>
  <si>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</si>
  <si>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</si>
  <si>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</si>
  <si>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</si>
  <si>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</si>
  <si>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</si>
  <si>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</si>
  <si>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</si>
  <si>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</si>
  <si>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</si>
  <si>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</si>
  <si>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</si>
  <si>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</si>
  <si>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</si>
  <si>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</si>
  <si>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</si>
  <si>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</si>
  <si>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</si>
  <si>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</si>
  <si>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</si>
  <si>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</si>
  <si>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</si>
  <si>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</si>
  <si>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</si>
  <si>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</si>
  <si>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</si>
  <si>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</si>
  <si>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</si>
  <si>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</si>
  <si>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</si>
  <si>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</si>
  <si>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</si>
  <si>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</si>
  <si>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</si>
  <si>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</si>
  <si>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</si>
  <si>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</si>
  <si>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</si>
  <si>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</si>
  <si>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</si>
  <si>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</si>
  <si>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</si>
  <si>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</si>
  <si>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</si>
  <si>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</si>
  <si>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</si>
  <si>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</si>
  <si>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</si>
  <si>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</si>
  <si>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</si>
  <si>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</si>
  <si>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</si>
  <si>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</si>
  <si>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</si>
  <si>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</si>
  <si>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</si>
  <si>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</si>
  <si>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</si>
  <si>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</si>
  <si>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</si>
  <si>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</si>
  <si>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</si>
  <si>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</si>
  <si>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</si>
  <si>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</si>
  <si>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</si>
  <si>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</si>
  <si>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</si>
  <si>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</si>
  <si>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</si>
  <si>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</si>
  <si>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</si>
  <si>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</si>
  <si>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</si>
  <si>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</si>
  <si>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</si>
  <si>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</si>
  <si>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</si>
  <si>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</si>
  <si>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</si>
  <si>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</si>
  <si>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</si>
  <si>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</si>
  <si>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</si>
  <si>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</si>
  <si>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</si>
  <si>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</si>
  <si>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</si>
  <si>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</si>
  <si>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</si>
  <si>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</si>
  <si>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</si>
  <si>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</si>
  <si>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</si>
  <si>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</si>
  <si>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</si>
  <si>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</si>
  <si>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</si>
  <si>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</si>
  <si>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</si>
  <si>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</si>
  <si>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</si>
  <si>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</si>
  <si>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</si>
  <si>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</si>
  <si>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</si>
  <si>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</si>
  <si>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</si>
  <si>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</si>
  <si>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</si>
  <si>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</si>
  <si>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</si>
  <si>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</si>
  <si>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</si>
  <si>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</si>
  <si>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</si>
  <si>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</si>
  <si>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</si>
  <si>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</si>
  <si>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</si>
  <si>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</si>
  <si>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</si>
  <si>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</si>
  <si>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</si>
  <si>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</si>
  <si>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</si>
  <si>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</si>
  <si>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</si>
  <si>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</si>
  <si>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</si>
  <si>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</si>
  <si>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</si>
  <si>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</si>
  <si>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</si>
  <si>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</si>
  <si>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</si>
  <si>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</si>
  <si>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</si>
  <si>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</si>
  <si>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</si>
  <si>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</si>
  <si>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</si>
  <si>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</si>
  <si>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</si>
  <si>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</si>
  <si>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</si>
  <si>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</si>
  <si>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</si>
  <si>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</si>
  <si>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</si>
  <si>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</si>
  <si>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</si>
  <si>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</si>
  <si>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</si>
  <si>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</si>
  <si>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</si>
  <si>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</si>
  <si>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</si>
  <si>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</si>
  <si>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</si>
  <si>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</si>
  <si>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</si>
  <si>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</si>
  <si>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</si>
  <si>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</si>
  <si>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</si>
  <si>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</si>
  <si>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</si>
  <si>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</si>
  <si>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</si>
  <si>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</si>
  <si>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</si>
  <si>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</si>
  <si>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</si>
  <si>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</si>
  <si>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</si>
  <si>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</si>
  <si>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</si>
  <si>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</si>
  <si>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</si>
  <si>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</si>
  <si>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</si>
  <si>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</si>
  <si>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</si>
  <si>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</si>
  <si>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</si>
  <si>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</si>
  <si>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</si>
  <si>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</si>
  <si>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</si>
  <si>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</si>
  <si>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</si>
  <si>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</si>
  <si>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</si>
  <si>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</si>
  <si>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</si>
  <si>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</si>
  <si>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</si>
  <si>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</si>
  <si>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</si>
  <si>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</si>
  <si>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</si>
  <si>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</si>
  <si>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</si>
  <si>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</si>
  <si>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</si>
  <si>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</si>
  <si>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</si>
  <si>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</si>
  <si>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</si>
  <si>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</si>
  <si>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</si>
  <si>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</si>
  <si>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</si>
  <si>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</si>
  <si>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</si>
  <si>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</si>
  <si>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</si>
  <si>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</si>
  <si>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</si>
  <si>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</si>
  <si>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</si>
  <si>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</si>
  <si>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</si>
  <si>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</si>
  <si>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</si>
  <si>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</si>
  <si>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</si>
  <si>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</si>
  <si>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</si>
  <si>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</si>
  <si>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</si>
  <si>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</si>
  <si>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</si>
  <si>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</si>
  <si>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</si>
  <si>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</si>
  <si>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</si>
  <si>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</si>
  <si>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</si>
  <si>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</si>
  <si>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</si>
  <si>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</si>
  <si>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</si>
  <si>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</si>
  <si>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</si>
  <si>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</si>
  <si>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</si>
  <si>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</si>
  <si>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</si>
  <si>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</si>
  <si>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</si>
  <si>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</si>
  <si>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</si>
  <si>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</si>
  <si>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</si>
  <si>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</si>
  <si>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</si>
  <si>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</si>
  <si>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</si>
  <si>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</si>
  <si>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</si>
  <si>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</si>
  <si>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</si>
  <si>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</si>
  <si>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</si>
  <si>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</si>
  <si>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</si>
  <si>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</si>
  <si>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</si>
  <si>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</si>
  <si>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</si>
  <si>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</si>
  <si>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</si>
  <si>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</si>
  <si>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</si>
  <si>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</si>
  <si>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</si>
  <si>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</si>
  <si>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</si>
  <si>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</si>
  <si>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</si>
  <si>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</si>
  <si>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</si>
  <si>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</si>
  <si>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</si>
  <si>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</si>
  <si>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</si>
  <si>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</si>
  <si>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</si>
  <si>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</si>
  <si>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</si>
  <si>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</si>
  <si>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</si>
  <si>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</si>
  <si>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</si>
  <si>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</si>
  <si>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</si>
  <si>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</si>
  <si>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</si>
  <si>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</si>
  <si>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</si>
  <si>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</si>
  <si>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</si>
  <si>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</si>
  <si>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</si>
  <si>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</si>
  <si>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</si>
  <si>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</si>
  <si>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</si>
  <si>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</si>
  <si>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</si>
  <si>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</si>
  <si>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</si>
  <si>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</si>
  <si>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</si>
  <si>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</si>
  <si>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</si>
  <si>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</si>
  <si>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</si>
  <si>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</si>
  <si>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</si>
  <si>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</si>
  <si>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</si>
  <si>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</si>
  <si>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</si>
  <si>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</si>
  <si>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</si>
  <si>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</si>
  <si>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</si>
  <si>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</si>
  <si>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</si>
  <si>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</si>
  <si>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</si>
  <si>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</si>
  <si>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</si>
  <si>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</si>
  <si>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</si>
  <si>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</si>
  <si>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</si>
  <si>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</si>
  <si>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</si>
  <si>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</si>
  <si>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</si>
  <si>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</si>
  <si>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</si>
  <si>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</si>
  <si>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</si>
  <si>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</si>
  <si>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</si>
  <si>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</si>
  <si>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</si>
  <si>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</si>
  <si>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</si>
  <si>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</si>
  <si>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</si>
  <si>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</si>
  <si>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</si>
  <si>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</si>
  <si>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</si>
  <si>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</si>
  <si>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</si>
  <si>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</si>
  <si>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</si>
  <si>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</si>
  <si>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</si>
  <si>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</si>
  <si>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</si>
  <si>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</si>
  <si>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</si>
  <si>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</si>
  <si>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</si>
  <si>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</si>
  <si>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</si>
  <si>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</si>
  <si>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</si>
  <si>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</si>
  <si>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</si>
  <si>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</si>
  <si>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</si>
  <si>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</si>
  <si>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</si>
  <si>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</si>
  <si>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</si>
  <si>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</si>
  <si>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</si>
  <si>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</si>
  <si>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</si>
  <si>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</si>
  <si>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</si>
  <si>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</si>
  <si>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</si>
  <si>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</si>
  <si>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</si>
  <si>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</si>
  <si>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</si>
  <si>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</si>
  <si>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</si>
  <si>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</si>
  <si>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</si>
  <si>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</si>
  <si>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</si>
  <si>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</si>
  <si>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</si>
  <si>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</si>
  <si>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</si>
  <si>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</si>
  <si>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</si>
  <si>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</si>
  <si>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</si>
  <si>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</si>
  <si>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</si>
  <si>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</si>
  <si>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</si>
  <si>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</si>
  <si>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</si>
  <si>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</si>
  <si>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</si>
  <si>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</si>
  <si>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</si>
  <si>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</si>
  <si>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</si>
  <si>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</si>
  <si>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</si>
  <si>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</si>
  <si>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</si>
  <si>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</si>
  <si>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</si>
  <si>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</si>
  <si>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</si>
  <si>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</si>
  <si>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</si>
  <si>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</si>
  <si>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</si>
  <si>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</si>
  <si>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</si>
  <si>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</si>
  <si>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</si>
  <si>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</si>
  <si>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</si>
  <si>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</si>
  <si>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</si>
  <si>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</si>
  <si>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</si>
  <si>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</si>
  <si>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</si>
  <si>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</si>
  <si>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</si>
  <si>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</si>
  <si>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</si>
  <si>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</si>
  <si>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</si>
  <si>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</si>
  <si>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</si>
  <si>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</si>
  <si>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</si>
  <si>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</si>
  <si>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</si>
  <si>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</si>
  <si>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</si>
  <si>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</si>
  <si>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</si>
  <si>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</si>
  <si>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</si>
  <si>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</si>
  <si>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</si>
  <si>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</si>
  <si>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</si>
  <si>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</si>
  <si>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</si>
  <si>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</si>
  <si>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</si>
  <si>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</si>
  <si>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</si>
  <si>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</si>
  <si>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</si>
  <si>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</si>
  <si>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</si>
  <si>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</si>
  <si>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</si>
  <si>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</si>
  <si>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</si>
  <si>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</si>
  <si>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</si>
  <si>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</si>
  <si>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</si>
  <si>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</si>
  <si>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</si>
  <si>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</si>
  <si>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</si>
  <si>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</si>
  <si>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</si>
  <si>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</si>
  <si>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</si>
  <si>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</si>
  <si>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</si>
  <si>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</si>
  <si>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</si>
  <si>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</si>
  <si>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</si>
  <si>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</si>
  <si>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</si>
  <si>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</si>
  <si>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</si>
  <si>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</si>
  <si>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</si>
  <si>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</si>
  <si>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</si>
  <si>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</si>
  <si>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</si>
  <si>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</si>
  <si>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</si>
  <si>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</si>
  <si>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</si>
  <si>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</si>
  <si>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</si>
  <si>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</si>
  <si>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</si>
  <si>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</si>
  <si>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</si>
  <si>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</si>
  <si>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</si>
  <si>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</si>
  <si>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</si>
  <si>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</si>
  <si>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</si>
  <si>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</si>
  <si>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</si>
  <si>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</si>
  <si>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</si>
  <si>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</si>
  <si>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</si>
  <si>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</si>
  <si>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</si>
  <si>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</si>
  <si>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</si>
  <si>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</si>
  <si>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</si>
  <si>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</si>
  <si>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</si>
  <si>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</si>
  <si>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</si>
  <si>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</si>
  <si>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</si>
  <si>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</si>
  <si>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</si>
  <si>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</si>
  <si>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</si>
  <si>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</si>
  <si>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</si>
  <si>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</si>
  <si>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</si>
  <si>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</si>
  <si>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</si>
  <si>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</si>
  <si>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</si>
  <si>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</si>
  <si>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</si>
  <si>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</si>
  <si>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</si>
  <si>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</si>
  <si>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</si>
  <si>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</si>
  <si>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</si>
  <si>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</si>
  <si>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</si>
  <si>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</si>
  <si>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</si>
  <si>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</si>
  <si>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</si>
  <si>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</si>
  <si>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</si>
  <si>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</si>
  <si>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</si>
  <si>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</si>
  <si>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</si>
  <si>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</si>
  <si>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</si>
  <si>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</si>
  <si>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</si>
  <si>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</si>
  <si>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</si>
  <si>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</si>
  <si>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</si>
  <si>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</si>
  <si>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</si>
  <si>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</si>
  <si>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</si>
  <si>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</si>
  <si>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</si>
  <si>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</si>
  <si>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</si>
  <si>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</si>
  <si>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</si>
  <si>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</si>
  <si>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</si>
  <si>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</si>
  <si>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</si>
  <si>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</si>
  <si>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</si>
  <si>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</si>
  <si>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</si>
  <si>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</si>
  <si>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</si>
  <si>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</si>
  <si>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</si>
  <si>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</si>
  <si>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</si>
  <si>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</si>
  <si>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</si>
  <si>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</si>
  <si>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</si>
  <si>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</si>
  <si>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</si>
  <si>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</si>
  <si>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</si>
  <si>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</si>
  <si>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</si>
  <si>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</si>
  <si>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</si>
  <si>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</si>
  <si>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</si>
  <si>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</si>
  <si>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</si>
  <si>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</si>
  <si>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</si>
  <si>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</si>
  <si>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</si>
  <si>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</si>
  <si>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</si>
  <si>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</si>
  <si>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</si>
  <si>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</si>
  <si>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</si>
  <si>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</si>
  <si>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</si>
  <si>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</si>
  <si>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</si>
  <si>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</si>
  <si>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</si>
  <si>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</si>
  <si>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</si>
  <si>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</si>
  <si>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</si>
  <si>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</si>
  <si>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</si>
  <si>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</si>
  <si>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</si>
  <si>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</si>
  <si>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</si>
  <si>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</si>
  <si>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</si>
  <si>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</si>
  <si>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</si>
  <si>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</si>
  <si>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</si>
  <si>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</si>
  <si>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</si>
  <si>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</si>
  <si>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</si>
  <si>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</si>
  <si>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</si>
  <si>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</si>
  <si>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</si>
  <si>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</si>
  <si>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</si>
  <si>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</si>
  <si>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</si>
  <si>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</si>
  <si>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</si>
  <si>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</si>
  <si>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</si>
  <si>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</si>
  <si>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</si>
  <si>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</si>
  <si>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</si>
  <si>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</si>
  <si>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</si>
  <si>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</si>
  <si>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</si>
  <si>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</si>
  <si>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</si>
  <si>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</si>
  <si>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</si>
  <si>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</si>
  <si>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</si>
  <si>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</si>
  <si>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</si>
  <si>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</si>
  <si>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</si>
  <si>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</si>
  <si>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</si>
  <si>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</si>
  <si>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</si>
  <si>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</si>
  <si>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</si>
  <si>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</si>
  <si>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</si>
  <si>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</si>
  <si>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</si>
  <si>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</si>
  <si>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</si>
  <si>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</si>
  <si>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</si>
  <si>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</si>
  <si>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</si>
  <si>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</si>
  <si>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</si>
  <si>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</si>
  <si>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</si>
  <si>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</si>
  <si>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</si>
  <si>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</si>
  <si>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</si>
  <si>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</si>
  <si>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</si>
  <si>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</si>
  <si>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</si>
  <si>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</si>
  <si>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</si>
  <si>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</si>
  <si>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</si>
  <si>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</si>
  <si>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</si>
  <si>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</si>
  <si>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</si>
  <si>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</si>
  <si>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</si>
  <si>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</si>
  <si>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</si>
  <si>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</si>
  <si>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</si>
  <si>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</si>
  <si>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</si>
  <si>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</si>
  <si>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</si>
  <si>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</si>
  <si>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</si>
  <si>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</si>
  <si>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</si>
  <si>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</si>
  <si>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</si>
  <si>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</si>
  <si>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</si>
  <si>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</si>
  <si>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</si>
  <si>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</si>
  <si>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</si>
  <si>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</si>
  <si>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</si>
  <si>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</si>
  <si>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</si>
  <si>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</si>
  <si>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</si>
  <si>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</si>
  <si>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</si>
  <si>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</si>
  <si>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</si>
  <si>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</si>
  <si>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</si>
  <si>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</si>
  <si>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</si>
  <si>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</si>
  <si>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</si>
  <si>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</si>
  <si>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</si>
  <si>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</si>
  <si>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</si>
  <si>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</si>
  <si>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</si>
  <si>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</si>
  <si>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</si>
  <si>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</si>
  <si>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</si>
  <si>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</si>
  <si>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</si>
  <si>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</si>
  <si>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</si>
  <si>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</si>
  <si>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</si>
  <si>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</si>
  <si>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</si>
  <si>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</si>
  <si>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</si>
  <si>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</si>
  <si>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</si>
  <si>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</si>
  <si>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</si>
  <si>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</si>
  <si>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</si>
  <si>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</si>
  <si>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</si>
  <si>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</si>
  <si>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</si>
  <si>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</si>
  <si>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</si>
  <si>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</si>
  <si>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</si>
  <si>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</si>
  <si>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</si>
  <si>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</si>
  <si>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</si>
  <si>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</si>
  <si>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</si>
  <si>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</si>
  <si>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</si>
  <si>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</si>
  <si>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</si>
  <si>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</si>
  <si>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</si>
  <si>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</si>
  <si>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</si>
  <si>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</si>
  <si>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</si>
  <si>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</si>
  <si>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</si>
  <si>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</si>
  <si>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</si>
  <si>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</si>
  <si>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</si>
  <si>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</si>
  <si>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</si>
  <si>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</si>
  <si>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</si>
  <si>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</si>
  <si>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</si>
  <si>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</si>
  <si>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</si>
  <si>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</si>
  <si>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</si>
  <si>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</si>
  <si>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</si>
  <si>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</si>
  <si>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</si>
  <si>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</si>
  <si>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</si>
  <si>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</si>
  <si>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</si>
  <si>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</si>
  <si>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</si>
  <si>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</si>
  <si>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</si>
  <si>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</si>
  <si>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</si>
  <si>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</si>
  <si>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</si>
  <si>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</si>
  <si>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</si>
  <si>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</si>
  <si>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</si>
  <si>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</si>
  <si>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</si>
  <si>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</si>
  <si>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</si>
  <si>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</si>
  <si>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</si>
  <si>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</si>
  <si>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</si>
  <si>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</si>
  <si>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</si>
  <si>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</si>
  <si>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</si>
  <si>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</si>
  <si>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</si>
  <si>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</si>
  <si>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</si>
  <si>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</si>
  <si>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</si>
  <si>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</si>
  <si>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</si>
  <si>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</si>
  <si>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</si>
  <si>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</si>
  <si>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</si>
  <si>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</si>
  <si>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</si>
  <si>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</si>
  <si>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</si>
  <si>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</si>
  <si>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</si>
  <si>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</si>
  <si>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</si>
  <si>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</si>
  <si>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</si>
  <si>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</si>
  <si>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</si>
  <si>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</si>
  <si>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</si>
  <si>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</si>
  <si>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</si>
  <si>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</si>
  <si>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</si>
  <si>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</si>
  <si>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</si>
  <si>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</si>
  <si>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</si>
  <si>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</si>
  <si>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</si>
  <si>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</si>
  <si>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</si>
  <si>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</si>
  <si>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</si>
  <si>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</si>
  <si>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</si>
  <si>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</si>
  <si>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</si>
  <si>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</si>
  <si>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</si>
  <si>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</si>
  <si>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</si>
  <si>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</si>
  <si>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</si>
  <si>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</si>
  <si>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</si>
  <si>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</si>
  <si>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</si>
  <si>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</si>
  <si>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</si>
  <si>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</si>
  <si>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</si>
  <si>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</si>
  <si>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</si>
  <si>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</si>
  <si>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</si>
  <si>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</si>
  <si>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</si>
  <si>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</si>
  <si>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</si>
  <si>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</si>
  <si>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</si>
  <si>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</si>
  <si>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</si>
  <si>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</si>
  <si>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</si>
  <si>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</si>
  <si>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</si>
  <si>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</si>
  <si>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</si>
  <si>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</si>
  <si>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</si>
  <si>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</si>
  <si>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</si>
  <si>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</si>
  <si>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</si>
  <si>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</si>
  <si>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</si>
  <si>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</si>
  <si>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</si>
  <si>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</si>
  <si>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</si>
  <si>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</si>
  <si>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</si>
  <si>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</si>
  <si>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</si>
  <si>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</si>
  <si>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</si>
  <si>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</si>
  <si>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</si>
  <si>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</si>
  <si>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</si>
  <si>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</si>
  <si>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</si>
  <si>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</si>
  <si>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</si>
  <si>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</si>
  <si>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</si>
  <si>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</si>
  <si>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</si>
  <si>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</si>
  <si>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</si>
  <si>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</si>
  <si>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</si>
  <si>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</si>
  <si>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</si>
  <si>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</si>
  <si>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</si>
  <si>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</si>
  <si>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</si>
  <si>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</si>
  <si>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</si>
  <si>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</si>
  <si>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</si>
  <si>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</si>
  <si>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</si>
  <si>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</si>
  <si>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</si>
  <si>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</si>
  <si>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</si>
  <si>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</si>
  <si>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</si>
  <si>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</si>
  <si>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</si>
  <si>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</si>
  <si>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</si>
  <si>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</si>
  <si>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</si>
  <si>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</si>
  <si>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</si>
  <si>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</si>
  <si>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</si>
  <si>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</si>
  <si>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</si>
  <si>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</si>
  <si>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</si>
  <si>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</si>
  <si>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</si>
  <si>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</si>
  <si>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</si>
  <si>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</si>
  <si>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</si>
  <si>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</si>
  <si>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</si>
  <si>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</si>
  <si>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</si>
  <si>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</si>
  <si>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</si>
  <si>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</si>
  <si>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</si>
  <si>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</si>
  <si>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</si>
  <si>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</si>
  <si>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</si>
  <si>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</si>
  <si>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</si>
  <si>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</si>
  <si>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</si>
  <si>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</si>
  <si>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</si>
  <si>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</si>
  <si>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</si>
  <si>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</si>
  <si>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</si>
  <si>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</si>
  <si>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</si>
  <si>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</si>
  <si>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</si>
  <si>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</si>
  <si>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</si>
  <si>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</si>
  <si>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</si>
  <si>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</si>
  <si>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</si>
  <si>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</si>
  <si>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</si>
  <si>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</si>
  <si>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</si>
  <si>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</si>
  <si>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</si>
  <si>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</si>
  <si>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</si>
  <si>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</si>
  <si>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</si>
  <si>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</si>
  <si>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</si>
  <si>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</si>
  <si>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</si>
  <si>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</si>
  <si>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</si>
  <si>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</si>
  <si>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</si>
  <si>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</si>
  <si>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</si>
  <si>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</si>
  <si>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</si>
  <si>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</si>
  <si>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</si>
  <si>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</si>
  <si>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</si>
  <si>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</si>
  <si>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</si>
  <si>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</si>
  <si>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</si>
  <si>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</si>
  <si>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</si>
  <si>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</si>
  <si>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</si>
  <si>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</si>
  <si>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</si>
  <si>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</si>
  <si>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</si>
  <si>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</si>
  <si>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</si>
  <si>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</si>
  <si>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</si>
  <si>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</si>
  <si>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</si>
  <si>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</si>
  <si>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</si>
  <si>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</si>
  <si>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</si>
  <si>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</si>
  <si>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</si>
  <si>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</si>
  <si>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</si>
  <si>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</si>
  <si>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</si>
  <si>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</si>
  <si>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</si>
  <si>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</si>
  <si>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</si>
  <si>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</si>
  <si>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</si>
  <si>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</si>
  <si>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</si>
  <si>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</si>
  <si>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</si>
  <si>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</si>
  <si>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</si>
  <si>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</si>
  <si>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</si>
  <si>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</si>
  <si>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</si>
  <si>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</si>
  <si>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</si>
  <si>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</si>
  <si>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</si>
  <si>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</si>
  <si>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</si>
  <si>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</si>
  <si>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</si>
  <si>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</si>
  <si>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</si>
  <si>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</si>
  <si>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</si>
  <si>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</si>
  <si>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</si>
  <si>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</si>
  <si>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</si>
  <si>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</si>
  <si>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</si>
  <si>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</si>
  <si>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</si>
  <si>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</si>
  <si>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</si>
  <si>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</si>
  <si>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</si>
  <si>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</si>
  <si>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</si>
  <si>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</si>
  <si>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</si>
  <si>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</si>
  <si>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</si>
  <si>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</si>
  <si>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</si>
  <si>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</si>
  <si>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</si>
  <si>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</si>
  <si>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</si>
  <si>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</si>
  <si>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</si>
  <si>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</si>
  <si>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</si>
  <si>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</si>
  <si>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</si>
  <si>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</si>
  <si>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</si>
  <si>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</si>
  <si>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</si>
  <si>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</si>
  <si>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</si>
  <si>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</si>
  <si>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</si>
  <si>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</si>
  <si>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</si>
  <si>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</si>
  <si>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</si>
  <si>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</si>
  <si>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</si>
  <si>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</si>
  <si>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</si>
  <si>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</si>
  <si>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</si>
  <si>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</si>
  <si>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</si>
  <si>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</si>
  <si>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</si>
  <si>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</si>
  <si>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</si>
  <si>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</si>
  <si>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</si>
  <si>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</si>
  <si>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</si>
  <si>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</si>
  <si>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</si>
  <si>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</si>
  <si>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</si>
  <si>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</si>
  <si>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</si>
  <si>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</si>
  <si>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</si>
  <si>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</si>
  <si>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</si>
  <si>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</si>
  <si>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</si>
  <si>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</si>
  <si>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</si>
  <si>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</si>
  <si>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</si>
  <si>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</si>
  <si>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</si>
  <si>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</si>
  <si>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</si>
  <si>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</si>
  <si>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</si>
  <si>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</si>
  <si>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</si>
  <si>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</si>
  <si>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</si>
  <si>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</si>
  <si>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</si>
  <si>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</si>
  <si>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</si>
  <si>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</si>
  <si>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</si>
  <si>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</si>
  <si>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</si>
  <si>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</si>
  <si>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</si>
  <si>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</si>
  <si>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</si>
  <si>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</si>
  <si>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</si>
  <si>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</si>
  <si>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</si>
  <si>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</si>
  <si>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</si>
  <si>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</si>
  <si>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</si>
  <si>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</si>
  <si>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</si>
  <si>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</si>
  <si>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</si>
  <si>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</si>
  <si>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</si>
  <si>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</si>
  <si>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</si>
  <si>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</si>
  <si>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</si>
  <si>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</si>
  <si>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</si>
  <si>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</si>
  <si>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</si>
  <si>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</si>
  <si>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</si>
  <si>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</si>
  <si>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</si>
  <si>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</si>
  <si>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</si>
  <si>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</si>
  <si>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</si>
  <si>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</si>
  <si>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</si>
  <si>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</si>
  <si>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</si>
  <si>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</si>
  <si>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</si>
  <si>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</si>
  <si>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</si>
  <si>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</si>
  <si>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</si>
  <si>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</si>
  <si>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</si>
  <si>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</si>
  <si>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</si>
  <si>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</si>
  <si>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</si>
  <si>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</si>
  <si>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</si>
  <si>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</si>
  <si>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</si>
  <si>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</si>
  <si>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</si>
  <si>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</si>
  <si>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</si>
  <si>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</si>
  <si>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</si>
  <si>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</si>
  <si>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</si>
  <si>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</si>
  <si>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</si>
  <si>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</si>
  <si>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</si>
  <si>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</si>
  <si>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</si>
  <si>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</si>
  <si>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</si>
  <si>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</si>
  <si>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</si>
  <si>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</si>
  <si>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</si>
  <si>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</si>
  <si>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</si>
  <si>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</si>
  <si>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</si>
  <si>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</si>
  <si>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</si>
  <si>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</si>
  <si>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</si>
  <si>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</si>
  <si>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</si>
  <si>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</si>
  <si>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</si>
  <si>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</si>
  <si>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</si>
  <si>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</si>
  <si>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</si>
  <si>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</si>
  <si>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</si>
  <si>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</si>
  <si>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</si>
  <si>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</si>
  <si>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</si>
  <si>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</si>
  <si>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</si>
  <si>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</si>
  <si>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</si>
  <si>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</si>
  <si>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</si>
  <si>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</si>
  <si>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</si>
  <si>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</si>
  <si>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</si>
  <si>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</si>
  <si>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</si>
  <si>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</si>
  <si>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</si>
  <si>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</si>
  <si>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</si>
  <si>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</si>
  <si>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</si>
  <si>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</si>
  <si>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</si>
  <si>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</si>
  <si>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</si>
  <si>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</si>
  <si>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</si>
  <si>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</si>
  <si>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</si>
  <si>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</si>
  <si>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</si>
  <si>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</si>
  <si>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</si>
  <si>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</si>
  <si>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</si>
  <si>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</si>
  <si>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</si>
  <si>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</si>
  <si>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</si>
  <si>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</si>
  <si>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</si>
  <si>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</si>
  <si>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</si>
  <si>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</si>
  <si>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</si>
  <si>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</si>
  <si>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</si>
  <si>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</si>
  <si>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</si>
  <si>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</si>
  <si>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</si>
  <si>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</si>
  <si>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</si>
  <si>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</si>
  <si>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</si>
  <si>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</si>
  <si>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</si>
  <si>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</si>
  <si>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</si>
  <si>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</si>
  <si>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</si>
  <si>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</si>
  <si>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</si>
  <si>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</si>
  <si>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</si>
  <si>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</si>
  <si>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</si>
  <si>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</si>
  <si>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</si>
  <si>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</si>
  <si>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</si>
  <si>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</si>
  <si>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</si>
  <si>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</si>
  <si>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</si>
  <si>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</si>
  <si>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</si>
  <si>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</si>
  <si>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</si>
  <si>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</si>
  <si>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</si>
  <si>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</si>
  <si>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</si>
  <si>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</si>
  <si>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</si>
  <si>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</si>
  <si>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</si>
  <si>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</si>
  <si>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</si>
  <si>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</si>
  <si>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</si>
  <si>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</si>
  <si>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</si>
  <si>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</si>
  <si>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</si>
  <si>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</si>
  <si>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</si>
  <si>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</si>
  <si>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</si>
  <si>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</si>
  <si>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</si>
  <si>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</si>
  <si>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</si>
  <si>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</si>
  <si>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</si>
  <si>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</si>
  <si>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</si>
  <si>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</si>
  <si>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</si>
  <si>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</si>
  <si>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</si>
  <si>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</si>
  <si>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</si>
  <si>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</si>
  <si>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</si>
  <si>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</si>
  <si>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</si>
  <si>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</si>
  <si>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</si>
  <si>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</si>
  <si>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</si>
  <si>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</si>
  <si>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</si>
  <si>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</si>
  <si>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</si>
  <si>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</si>
  <si>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</si>
  <si>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</si>
  <si>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</si>
  <si>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</si>
  <si>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</si>
  <si>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</si>
  <si>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</si>
  <si>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</si>
  <si>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</si>
  <si>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</si>
  <si>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</si>
  <si>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</si>
  <si>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</si>
  <si>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</si>
  <si>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</si>
  <si>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</si>
  <si>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</si>
  <si>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</si>
  <si>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</si>
  <si>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</si>
  <si>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</si>
  <si>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</si>
  <si>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</si>
  <si>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</si>
  <si>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</si>
  <si>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</si>
  <si>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</si>
  <si>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</si>
  <si>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</si>
  <si>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</si>
  <si>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</si>
  <si>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</si>
  <si>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</si>
  <si>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</si>
  <si>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</si>
  <si>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</si>
  <si>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</si>
  <si>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</si>
  <si>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</si>
  <si>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</si>
  <si>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</si>
  <si>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</si>
  <si>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</si>
  <si>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</si>
  <si>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</si>
  <si>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</si>
  <si>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</si>
  <si>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</si>
  <si>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</si>
  <si>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</si>
  <si>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</si>
  <si>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</si>
  <si>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</si>
  <si>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</si>
  <si>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</si>
  <si>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</si>
  <si>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</si>
  <si>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</si>
  <si>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</si>
  <si>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</si>
  <si>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</si>
  <si>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</si>
  <si>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</si>
  <si>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</si>
  <si>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</si>
  <si>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</si>
  <si>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</si>
  <si>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</si>
  <si>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</si>
  <si>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</si>
  <si>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</si>
  <si>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</si>
  <si>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</si>
  <si>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</si>
  <si>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</si>
  <si>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</si>
  <si>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</si>
  <si>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</si>
  <si>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</si>
  <si>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</si>
  <si>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</si>
  <si>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</si>
  <si>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</si>
  <si>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</si>
  <si>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</si>
  <si>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</si>
  <si>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</si>
  <si>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</si>
  <si>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</si>
  <si>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</si>
  <si>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</si>
  <si>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</si>
  <si>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</si>
  <si>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</si>
  <si>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</si>
  <si>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</si>
  <si>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</si>
  <si>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</si>
  <si>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</si>
  <si>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</si>
  <si>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</si>
  <si>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</si>
  <si>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</si>
  <si>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</si>
  <si>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</si>
  <si>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</si>
  <si>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</si>
  <si>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</si>
  <si>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</si>
  <si>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</si>
  <si>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</si>
  <si>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</si>
  <si>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</si>
  <si>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</si>
  <si>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</si>
  <si>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</si>
  <si>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</si>
  <si>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</si>
  <si>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</si>
  <si>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</si>
  <si>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</si>
  <si>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</si>
  <si>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</si>
  <si>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</si>
  <si>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</si>
  <si>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</si>
  <si>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</si>
  <si>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</si>
  <si>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</si>
  <si>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</si>
  <si>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</si>
  <si>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</si>
  <si>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</si>
  <si>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</si>
  <si>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</si>
  <si>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</si>
  <si>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</si>
  <si>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</si>
  <si>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</si>
  <si>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Relatório de Trajetória — Ações de Capacitação em Saúde Pública (2015–2026)</t>
  </si>
  <si>
    <t>Tribunal de Contas do Distrito Federal · Escola de Contas — base interna “Ações InCompany”</t>
  </si>
  <si>
    <t>Documento elaborado para subsídio de inscrição em premiação · 58 ações identificadas entre 738 registros da base</t>
  </si>
  <si>
    <t>1. RESUMO EXECUTIVO</t>
  </si>
  <si>
    <t>O Tribunal de Contas do Distrito Federal desenvolveu, ao longo de 12 anos, um dos mais longevos programas de capacitação em saúde pública conduzidos por um tribunal de contas no Brasil. A iniciativa nasceu em 2015 como uma palestra pontual dirigida aos conselhos regionais de saúde e evoluiu até se tornar, em 2026, um programa institucional formalmente constituído — “Treinamento em Saúde Pública” —, com currículo estruturado em níveis de proficiência, interiorização nas sete regiões de saúde do Distrito Federal, produtos editoriais próprios e atuação simultânea em três frentes: o controle social, os gestores da rede pública de saúde e os auditores do próprio Tribunal.</t>
  </si>
  <si>
    <t>Indicadores consolidados (2015–2026)</t>
  </si>
  <si>
    <t>Indicador</t>
  </si>
  <si>
    <t>Resultado</t>
  </si>
  <si>
    <t>Ações de capacitação identificadas</t>
  </si>
  <si>
    <t>Ações efetivamente realizadas</t>
  </si>
  <si>
    <t>Participantes capacitados</t>
  </si>
  <si>
    <t xml:space="preserve">   dos quais: sociedade civil (controle social)</t>
  </si>
  <si>
    <t xml:space="preserve">   dos quais: jurisdicionados (gestores da rede de saúde)</t>
  </si>
  <si>
    <t xml:space="preserve">   dos quais: servidores do TCDF (capacidade de auditoria)</t>
  </si>
  <si>
    <t>Carga horária total ofertada (horas)</t>
  </si>
  <si>
    <t>Nota média de avaliação de reação (escala 0–5)</t>
  </si>
  <si>
    <t>Turmas com avaliação de reação apurada</t>
  </si>
  <si>
    <t>Investimento executado em instrutoria (R$)</t>
  </si>
  <si>
    <t>Custo médio por participante (R$)</t>
  </si>
  <si>
    <t>Ações executadas com instrutoria interna (% do total)</t>
  </si>
  <si>
    <t>2. EVOLUÇÃO HISTÓRICA — SÉRIE ANUAL</t>
  </si>
  <si>
    <t>Ações</t>
  </si>
  <si>
    <t>Particip.</t>
  </si>
  <si>
    <t>Sociedade civil</t>
  </si>
  <si>
    <t>Jurisdicion.</t>
  </si>
  <si>
    <t>Servidores</t>
  </si>
  <si>
    <t>Investim. (R$)</t>
  </si>
  <si>
    <t>Nota</t>
  </si>
  <si>
    <t>Total</t>
  </si>
  <si>
    <t>* O investimento total de R$ 451.992 inclui R$ 105.000 de ação de mentoria cancelada (ID 2026-030); o investimento efetivo do escopo é de R$ 346.992.</t>
  </si>
  <si>
    <t>Salto de escala: de 8 ações e 393 participantes no primeiro ciclo (2015–2018) para 47 ações e 2.148 participantes no ciclo 2023–2026 — crescimento de 5,9 vezes no volume de ações e 5,5 vezes no público alcançado.</t>
  </si>
  <si>
    <t>3. FASES DA TRAJETÓRIA</t>
  </si>
  <si>
    <t>Fase 1 — Origem e controle social (2015–2018) · 8 ações · 393 participantes</t>
  </si>
  <si>
    <t>Início em abril de 2015 com a Palestra Conselhos Regionais de Saúde, seguida da primeira Capacitação para Conselheiros de Saúde em duas turmas (92 participantes). A ação passa a se repetir anualmente e, em paralelo, surge a frente voltada a jurisdicionados, com foco em contratação pública na área de saúde (Termos de Referência, 2016) e em equipamentos médico-hospitalares (2017) — tema que voltaria a ser central em 2026.</t>
  </si>
  <si>
    <t>Fase 2 — Hiato e reconstrução (2019–2022) · 3 ações · 129 participantes</t>
  </si>
  <si>
    <t>Interrupção em 2019 e 2020, período coincidente com a pandemia de COVID-19. A retomada, em 2021, se dá com um produto duradouro: o Lançamento do Guia Orientador para Conselheiros de Saúde do DF. Em 2022, dois marcos: o retorno do curso para conselheiros e a primeira capacitação de auditores em auditoria de saúde, internalizando a competência técnica no Tribunal.</t>
  </si>
  <si>
    <t>Fase 3 — Escala e interiorização (2023) · 12 ações · 622 participantes</t>
  </si>
  <si>
    <t>Ano de inflexão. O curso para conselheiros deixa de ser um evento centralizado e passa a ser levado “in loco” às sete regiões de saúde do Distrito Federal — Sudoeste, Sul, Centro Sul, Leste, Central, Norte e Oeste (sete turmas) —, encerrando com o Evento de Encerramento do 1º Ciclo (68 participantes). No mesmo ano, a Maratona Temática: Auditoria em Saúde (184 participantes) e a palestra sobre contratos em saúde consolidam a frente interna, e nasce a série TCDF na Sociedade: fiscalizações em saúde, de devolutiva pública dos resultados de auditoria.</t>
  </si>
  <si>
    <t>Fase 4 — Diversificação de públicos (2024) · 12 ações · 715 participantes</t>
  </si>
  <si>
    <t>Ano de maior alcance da série. Execução do 2º Ciclo para conselheiros (quatro turmas, 277 participantes) e abertura de duas linhas novas voltadas à rede: o Ciclo de Capacitação para gestores de Contrato – SES/IGESDF (duas turmas) e o curso “Atendimento humanizado ao público na área da saúde” (duas turmas), que desloca o foco da fiscalização para a qualidade do serviço prestado ao cidadão. A Maratona Temática – Governança em Saúde reúne 138 participantes.</t>
  </si>
  <si>
    <t>Fase 5 — Estruturação pedagógica (2025) · 12 ações · 400 participantes</t>
  </si>
  <si>
    <t>O curso para conselheiros é reformulado em trilha por níveis de proficiência — iniciante/básico e avançado, com três ciclos de cada —, sinal de maturidade metodológica e de fidelização do público. A série TCDF na Sociedade é institucionalizada em duas edições anuais de devolutiva de auditoria.</t>
  </si>
  <si>
    <t>Fase 6 — Institucionalização (2026) · 11 ações · 411 participantes</t>
  </si>
  <si>
    <t>Criação do programa formal “Treinamento em Saúde Pública” na estrutura de programas da Escola de Contas, com oito ações próprias no ano. Destaques: quatro turmas de Gestão e Fiscalização de Contratos de Equipamentos Médico-Hospitalares e Serviços de Manutenção; duas turmas sobre serviços assistenciais complementares – SES/DF; a 3ª Maratona Temática em Saúde Pública – Boas Práticas (196 participantes, o maior evento da série); a elaboração da Cartilha “Gestão e Fiscalização de Contratos em Saúde”; e o curso sobre o PDPAS (Programa de Descentralização Progressiva das Ações de Saúde). O investimento anual atinge R$ 162,6 mil, o maior da série histórica.</t>
  </si>
  <si>
    <t>4. CARACTERÍSTICAS PRINCIPAIS</t>
  </si>
  <si>
    <t>a) Arquitetura de três públicos</t>
  </si>
  <si>
    <t>O programa articula, de forma pouco usual em cortes de contas, três destinatários complementares: sociedade civil (1.619 participantes, 60,6%), essencialmente conselheiros de saúde, no fortalecimento do controle social sobre o SUS no DF; jurisdicionados (862 participantes, 32,3%), gestores e fiscais de contrato da SES/DF e do IGESDF, na prevenção da irregularidade na origem; e servidores do TCDF (189 participantes, 7,1%), na qualificação da capacidade institucional de auditoria em saúde.</t>
  </si>
  <si>
    <t>b) Capilaridade territorial</t>
  </si>
  <si>
    <t>Modelo “in loco” nas sete regiões de saúde do DF, levando a capacitação ao conselheiro em vez de exigir seu deslocamento até a sede do Tribunal — fator determinante para o alcance obtido em 2023 e 2024.</t>
  </si>
  <si>
    <t>c) Eficiência e sustentabilidade</t>
  </si>
  <si>
    <t>84% das ações foram executadas com instrutoria interna, o que resulta em custo médio de aproximadamente R$ 130 por participante — indicador de alta eficiência para capacitação presencial com carga horária média de 15 horas por ação.</t>
  </si>
  <si>
    <t>d) Ciclo virtuoso: fiscalização → capacitação → devolutiva</t>
  </si>
  <si>
    <t>As auditorias em saúde do Tribunal alimentam o conteúdo dos cursos; os resultados são devolvidos à sociedade pela série TCDF na Sociedade; e as fragilidades identificadas se convertem em capacitação dos gestores da rede. Trata-se de um circuito fechado entre controle externo e desenvolvimento de capacidade estatal.</t>
  </si>
  <si>
    <t>e) Produtos permanentes</t>
  </si>
  <si>
    <t>Guia Orientador para Conselheiros de Saúde do DF (2021) e Cartilha “Gestão e Fiscalização de Contratos em Saúde” (2026) — o programa gera material de referência que sobrevive ao evento e permanece disponível para consulta.</t>
  </si>
  <si>
    <t>f) Qualidade percebida sustentada</t>
  </si>
  <si>
    <t>Nota média de 4,85 em 5,00 em 45 turmas avaliadas, sem nenhuma avaliação inferior a 4,6 — consistência mantida justamente durante a fase de maior expansão.</t>
  </si>
  <si>
    <t>g) Escalonamento pedagógico</t>
  </si>
  <si>
    <t>Evolução de evento único (2015) para turmas replicadas (2018–2022), interiorização regional (2023), ciclos anuais (2024), trilha por níveis de proficiência (2025) e programa institucionalizado (2026).</t>
  </si>
  <si>
    <t>5. RESULTADOS DE DESTAQUE PARA A SUBMISSÃO</t>
  </si>
  <si>
    <t>•  12 anos de continuidade de política de capacitação em saúde pública, atravessando sucessivas gestões e o período pandêmico.</t>
  </si>
  <si>
    <t>•  2.670 pessoas capacitadas, das quais 1.619 conselheiros e cidadãos exercendo controle social sobre o SUS no Distrito Federal.</t>
  </si>
  <si>
    <t>•  Cobertura das sete regiões de saúde do DF no modelo de formação in loco.</t>
  </si>
  <si>
    <t>•  883 horas de formação ofertadas ao longo do período.</t>
  </si>
  <si>
    <t>•  R$ 130 por participante — eficiência viabilizada por corpo docente interno (84% das ações).</t>
  </si>
  <si>
    <t>•  4,85 de 5,00 de satisfação média dos participantes, em 45 turmas avaliadas.</t>
  </si>
  <si>
    <t>•  Crescimento de 5,9 vezes no volume anual de ações entre o primeiro e o último quadriênio.</t>
  </si>
  <si>
    <t>•  Institucionalização em programa próprio (2026), garantindo continuidade orçamentária e programática.</t>
  </si>
  <si>
    <t>6. ANEXO — RELAÇÃO COMPLETA DAS AÇÕES (2015–2026)</t>
  </si>
  <si>
    <t>Ação</t>
  </si>
  <si>
    <t>Público-alvo</t>
  </si>
  <si>
    <t>Ano (aux.)</t>
  </si>
  <si>
    <t>P. Jurisdic.</t>
  </si>
  <si>
    <t>Status</t>
  </si>
  <si>
    <t>7. NOTAS METODOLÓGICAS E RESSALVAS</t>
  </si>
  <si>
    <t>1.  Escopo definido por identificação temática na base de ações da Escola de Contas. Foram excluídas ações de saúde do servidor e qualidade de vida (Semana da Saúde, palestras de bem-estar) e capacitações de conselheiros de outras áreas (Cultura, Tutelares, Fundo dos Direitos da Criança e do Adolescente), por não integrarem a política de saúde pública.</t>
  </si>
  <si>
    <t>2.  Não há registro de ações em 2019 e 2020 na base consultada. Recomenda-se confirmar, antes da submissão, se houve descontinuidade efetiva ou apenas lacuna de registro.</t>
  </si>
  <si>
    <t>3.  Quatro ações apresentam participação registrada como zero: 2015-006 (palestra sem controle de presença) e três ações de 2026 ainda não executadas.</t>
  </si>
  <si>
    <t>4.  A ação 2026-030 (Mentoria em auditoria de saúde, R$ 105.000) foi cancelada e está excluída do investimento executado de R$ 346.992.</t>
  </si>
  <si>
    <t>5.  Notas de avaliação de reação estão disponíveis a partir de 2021, cobrindo 45 das 58 ações.</t>
  </si>
  <si>
    <t>6.  Os valores de investimento referem-se exclusivamente a instrutoria, sem custos indiretos.</t>
  </si>
  <si>
    <t>7.  Todos os indicadores e a série anual desta aba são calculados por fórmulas que consultam a tabela “Tabela2” da aba Ações InCompany (colunas auxiliares J a O, agrupadas). Alterações na base se refletem automaticamente neste relatório.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</si>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</sst>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  <numFmt numFmtId="171" formatCode="#,##0;\(#,##0\);&quot;–&quot;"/>
    <numFmt numFmtId="172" formatCode="0.00;;&quot;–&quot;"/>
  </numFmts>
  <fonts count="7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b/>
      <sz val="15"/>
      <color rgb="FF1F3864"/>
      <name val="Calibri"/>
      <scheme val="minor"/>
    </font>
    <font>
      <sz val="9.5"/>
      <color theme="1"/>
      <name val="Calibri"/>
      <scheme val="minor"/>
    </font>
    <font>
      <sz val="9.5"/>
      <color rgb="FF555555"/>
      <name val="Calibri"/>
      <scheme val="minor"/>
    </font>
    <font>
      <b/>
      <sz val="9"/>
      <color rgb="FFFFFFFF"/>
      <name val="Calibri"/>
      <scheme val="minor"/>
    </font>
    <font>
      <sz val="8.5"/>
      <color theme="1"/>
      <name val="Calibri"/>
      <scheme val="minor"/>
    </font>
    <font>
      <b/>
      <sz val="11.5"/>
      <color rgb="FF1F3864"/>
      <name val="Calibri"/>
      <scheme val="minor"/>
    </font>
    <font>
      <b/>
      <sz val="10"/>
      <color rgb="FF2E5C9A"/>
      <name val="Calibri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b/>
      <sz val="8.5"/>
      <color rgb="FFFFFFFF"/>
      <name val="Calibri"/>
      <scheme val="minor"/>
    </font>
    <font>
      <sz val="8"/>
      <color theme="1"/>
      <name val="Calibri"/>
      <scheme val="minor"/>
    </font>
    <font>
      <i/>
      <sz val="8"/>
      <color rgb="FF555555"/>
      <name val="Calibri"/>
      <scheme val="minor"/>
    </font>
    <font>
      <b/>
      <sz val="9.5"/>
      <color rgb="FF2E5C9A"/>
      <name val="Calibri"/>
      <scheme val="minor"/>
    </font>
    <font>
      <sz val="8.5"/>
      <color rgb="FF555555"/>
      <name val="Calibri"/>
      <scheme val="minor"/>
    </font>
    <font>
      <b/>
      <sz val="8"/>
      <color theme="1"/>
      <name val="Calibri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E8ECF3"/>
        <bgColor indexed="64"/>
      </patternFill>
    </fill>
  </fills>
  <borders count="25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  <border>
      <left/>
      <right/>
      <top style="thin">
        <color auto="1"/>
      </top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7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62" fillId="19" borderId="0" xfId="0" applyFont="1" applyFill="1" applyAlignment="1">
      <alignment horizontal="center" vertical="center"/>
    </xf>
    <xf numFmtId="0" fontId="63" fillId="0" borderId="4" xfId="0" applyFont="1" applyBorder="1" applyAlignment="1">
      <alignment horizontal="center" vertical="center"/>
    </xf>
    <xf numFmtId="14" fontId="63" fillId="0" borderId="4" xfId="0" applyNumberFormat="1" applyFont="1" applyBorder="1" applyAlignment="1">
      <alignment horizontal="center" vertical="center"/>
    </xf>
    <xf numFmtId="171" fontId="63" fillId="0" borderId="4" xfId="0" applyNumberFormat="1" applyFont="1" applyBorder="1" applyAlignment="1">
      <alignment horizontal="center" vertical="center"/>
    </xf>
    <xf numFmtId="172" fontId="63" fillId="0" borderId="4" xfId="0" applyNumberFormat="1" applyFont="1" applyBorder="1" applyAlignment="1">
      <alignment horizontal="center" vertical="center"/>
    </xf>
    <xf numFmtId="0" fontId="68" fillId="19" borderId="4" xfId="0" applyFont="1" applyFill="1" applyBorder="1" applyAlignment="1">
      <alignment horizontal="center" wrapText="1"/>
    </xf>
    <xf numFmtId="1" fontId="66" fillId="0" borderId="4" xfId="0" applyNumberFormat="1" applyFont="1" applyBorder="1" applyAlignment="1">
      <alignment horizontal="center"/>
    </xf>
    <xf numFmtId="171" fontId="66" fillId="0" borderId="4" xfId="0" applyNumberFormat="1" applyFont="1" applyBorder="1" applyAlignment="1">
      <alignment horizontal="center"/>
    </xf>
    <xf numFmtId="172" fontId="66" fillId="0" borderId="4" xfId="0" applyNumberFormat="1" applyFont="1" applyBorder="1" applyAlignment="1">
      <alignment horizontal="center"/>
    </xf>
    <xf numFmtId="0" fontId="67" fillId="20" borderId="4" xfId="0" applyFont="1" applyFill="1" applyBorder="1" applyAlignment="1">
      <alignment horizontal="center"/>
    </xf>
    <xf numFmtId="171" fontId="67" fillId="20" borderId="4" xfId="0" applyNumberFormat="1" applyFont="1" applyFill="1" applyBorder="1" applyAlignment="1">
      <alignment horizontal="center"/>
    </xf>
    <xf numFmtId="172" fontId="67" fillId="20" borderId="4" xfId="0" applyNumberFormat="1" applyFont="1" applyFill="1" applyBorder="1" applyAlignment="1">
      <alignment horizontal="center"/>
    </xf>
    <xf numFmtId="0" fontId="73" fillId="0" borderId="0" xfId="0" applyFont="1"/>
    <xf numFmtId="0" fontId="69" fillId="0" borderId="0" xfId="0" applyFont="1"/>
    <xf numFmtId="0" fontId="72" fillId="0" borderId="0" xfId="0" applyFont="1" applyAlignment="1">
      <alignment vertical="top" wrapText="1"/>
    </xf>
    <xf numFmtId="0" fontId="0" fillId="0" borderId="0" xfId="0"/>
    <xf numFmtId="0" fontId="63" fillId="0" borderId="0" xfId="0" applyFont="1" applyAlignment="1">
      <alignment vertical="top" wrapText="1"/>
    </xf>
    <xf numFmtId="0" fontId="66" fillId="0" borderId="0" xfId="0" applyFont="1" applyAlignment="1">
      <alignment vertical="top" wrapText="1"/>
    </xf>
    <xf numFmtId="0" fontId="64" fillId="0" borderId="0" xfId="0" applyFont="1"/>
    <xf numFmtId="0" fontId="63" fillId="0" borderId="4" xfId="0" applyFont="1" applyBorder="1" applyAlignment="1">
      <alignment vertical="center" wrapText="1"/>
    </xf>
    <xf numFmtId="0" fontId="71" fillId="0" borderId="0" xfId="0" applyFont="1"/>
    <xf numFmtId="0" fontId="70" fillId="0" borderId="24" xfId="0" applyFont="1" applyBorder="1" applyAlignment="1">
      <alignment vertical="top" wrapText="1"/>
    </xf>
    <xf numFmtId="0" fontId="0" fillId="0" borderId="24" xfId="0" applyBorder="1"/>
    <xf numFmtId="0" fontId="66" fillId="0" borderId="4" xfId="0" applyFont="1" applyBorder="1"/>
    <xf numFmtId="3" fontId="67" fillId="0" borderId="4" xfId="0" applyNumberFormat="1" applyFont="1" applyBorder="1" applyAlignment="1">
      <alignment horizontal="center"/>
    </xf>
    <xf numFmtId="0" fontId="67" fillId="0" borderId="4" xfId="0" applyFont="1" applyBorder="1" applyAlignment="1">
      <alignment horizontal="center"/>
    </xf>
    <xf numFmtId="9" fontId="67" fillId="0" borderId="4" xfId="0" applyNumberFormat="1" applyFont="1" applyBorder="1" applyAlignment="1">
      <alignment horizontal="center"/>
    </xf>
    <xf numFmtId="0" fontId="5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1" fillId="0" borderId="0" xfId="0" applyFont="1" applyAlignment="1">
      <alignment horizontal="center"/>
    </xf>
    <xf numFmtId="0" fontId="62" fillId="19" borderId="0" xfId="0" applyFont="1" applyFill="1" applyAlignment="1">
      <alignment horizontal="center" vertical="center"/>
    </xf>
    <xf numFmtId="1" fontId="67" fillId="0" borderId="4" xfId="0" applyNumberFormat="1" applyFont="1" applyBorder="1" applyAlignment="1">
      <alignment horizontal="center"/>
    </xf>
    <xf numFmtId="0" fontId="60" fillId="0" borderId="0" xfId="0" applyFont="1" applyAlignment="1">
      <alignment vertical="top" wrapText="1"/>
    </xf>
    <xf numFmtId="0" fontId="65" fillId="0" borderId="0" xfId="0" applyFont="1"/>
    <xf numFmtId="0" fontId="62" fillId="19" borderId="4" xfId="0" applyFont="1" applyFill="1" applyBorder="1" applyAlignment="1">
      <alignment horizontal="center"/>
    </xf>
    <xf numFmtId="2" fontId="67" fillId="0" borderId="4" xfId="0" applyNumberFormat="1" applyFont="1" applyBorder="1" applyAlignment="1">
      <alignment horizont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Coordenação de ações educacionais - ementas"/>
        <filter val="Curso &quot;Teoria e prática de elaboração de ementas jurisprudenciais&quot; - T2"/>
        <filter val="Curso para gestores e fiscais de contratos de serviços assistenciais complementares – SES/DF"/>
        <filter val="Curso para gestores e fiscais de contratos de serviços assistenciais complementares – SES/DF - T2"/>
        <filter val="Elaboração de Ementas"/>
        <filter val="Encontro com boas práticas: Gestão estratégica, gestão de processos, gestão de riscos e os desafios enfrentados na implementação dessas práticas no STF"/>
        <filter val="Mentoria em elaboração de ementas jurisprudenciais"/>
        <filter val="Mentoria em Redação de Ementas Jurisprudenciais"/>
        <filter val="Palestra “A Implementação da Nova Lei de Licitações no TCDF”"/>
        <filter val="Palestras complementares (24 de outubro): “Fazendo a inovação acontecer nas organizações” &amp; “Gestor criativo e o uso das novas tecnologias”"/>
        <filter val="Palestras complementares (27 de novembro): “Gente de resultado – como construir equipes de alto desempenho” &amp; “O que os palcos não contam: sonhos, foco, resiliência, suor e gratidão”"/>
        <filter val="Previdência Complementar: migrar ou não migrar?"/>
        <filter val="Teoria e prática de elaboração de ementas jurisprudenciais"/>
        <filter val="Teoria e prática na elaboração de ementas jurisprudenciais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2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112" activePane="bottomLeft" state="frozen"/>
      <selection pane="bottomLeft" activeCell="D520" sqref="D52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2994</v>
      </c>
      <c r="B738" s="183">
        <v>2026</v>
      </c>
      <c r="C738" s="183" t="s">
        <v>2697</v>
      </c>
      <c r="D738" s="183" t="s">
        <v>2995</v>
      </c>
      <c r="E738" s="180" t="s">
        <v>2996</v>
      </c>
      <c r="F738" s="185" t="s">
        <v>69</v>
      </c>
      <c r="G738" s="186" t="s">
        <v>2694</v>
      </c>
      <c r="H738" s="191" t="s">
        <v>2997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2998</v>
      </c>
    </row>
    <row r="739" spans="1:20" ht="15" hidden="1" x14ac:dyDescent="0.25">
      <c r="A739" s="191" t="s">
        <v>2999</v>
      </c>
      <c r="B739" s="183">
        <v>2026</v>
      </c>
      <c r="C739" s="183" t="s">
        <v>2697</v>
      </c>
      <c r="D739" s="183" t="s">
        <v>3000</v>
      </c>
      <c r="E739" s="180" t="s">
        <v>3001</v>
      </c>
      <c r="F739" s="185" t="s">
        <v>24</v>
      </c>
      <c r="G739" s="186" t="s">
        <v>2700</v>
      </c>
      <c r="H739" s="175" t="s">
        <v>3002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D5CD-7A5A-4CFB-85D5-1A55629E6A65}">
  <sheetPr>
    <pageSetUpPr fitToPage="1"/>
  </sheetPr>
  <dimension ref="A1:O151"/>
  <sheetViews>
    <sheetView topLeftCell="A6" workbookViewId="0">
      <selection activeCell="C7" sqref="C7"/>
    </sheetView>
  </sheetViews>
  <sheetFormatPr defaultRowHeight="15" outlineLevelCol="1" x14ac:dyDescent="0.25"/>
  <cols>
    <col min="1" max="1" width="11.42578125" customWidth="1"/>
    <col min="2" max="2" width="22.85546875" customWidth="1"/>
    <col min="3" max="3" width="20" customWidth="1"/>
    <col min="4" max="4" width="18.140625" customWidth="1"/>
    <col min="5" max="5" width="15.28515625" customWidth="1"/>
    <col min="6" max="6" width="10.42578125" customWidth="1"/>
    <col min="7" max="7" width="9.5703125" customWidth="1"/>
    <col min="8" max="8" width="16.140625" customWidth="1"/>
    <col min="9" max="9" width="9.5703125" customWidth="1"/>
    <col min="10" max="14" width="13.28515625" customWidth="1" outlineLevel="1"/>
    <col min="15" max="15" width="9.140625" outlineLevel="1"/>
  </cols>
  <sheetData>
    <row r="1" spans="1:9" ht="24" customHeight="1" x14ac:dyDescent="0.3">
      <c r="A1" s="255" t="s">
        <v>3003</v>
      </c>
      <c r="B1" s="256"/>
      <c r="C1" s="256"/>
      <c r="D1" s="256"/>
      <c r="E1" s="256"/>
      <c r="F1" s="256"/>
      <c r="G1" s="256"/>
      <c r="H1" s="256"/>
      <c r="I1" s="256"/>
    </row>
    <row r="2" spans="1:9" x14ac:dyDescent="0.25">
      <c r="A2" s="257" t="s">
        <v>3004</v>
      </c>
      <c r="B2" s="256"/>
      <c r="C2" s="256"/>
      <c r="D2" s="256"/>
      <c r="E2" s="256"/>
      <c r="F2" s="256"/>
      <c r="G2" s="256"/>
      <c r="H2" s="256"/>
      <c r="I2" s="256"/>
    </row>
    <row r="3" spans="1:9" x14ac:dyDescent="0.25">
      <c r="A3" s="257" t="s">
        <v>3005</v>
      </c>
      <c r="B3" s="256"/>
      <c r="C3" s="256"/>
      <c r="D3" s="256"/>
      <c r="E3" s="256"/>
      <c r="F3" s="256"/>
      <c r="G3" s="256"/>
      <c r="H3" s="256"/>
      <c r="I3" s="256"/>
    </row>
    <row r="5" spans="1:9" x14ac:dyDescent="0.25">
      <c r="A5" s="246" t="s">
        <v>3006</v>
      </c>
      <c r="B5" s="243"/>
      <c r="C5" s="243"/>
      <c r="D5" s="243"/>
      <c r="E5" s="243"/>
      <c r="F5" s="243"/>
      <c r="G5" s="243"/>
      <c r="H5" s="243"/>
      <c r="I5" s="243"/>
    </row>
    <row r="6" spans="1:9" ht="72" customHeight="1" x14ac:dyDescent="0.25">
      <c r="A6" s="260" t="s">
        <v>3007</v>
      </c>
      <c r="B6" s="243"/>
      <c r="C6" s="243"/>
      <c r="D6" s="243"/>
      <c r="E6" s="243"/>
      <c r="F6" s="243"/>
      <c r="G6" s="243"/>
      <c r="H6" s="243"/>
      <c r="I6" s="243"/>
    </row>
    <row r="8" spans="1:9" x14ac:dyDescent="0.25">
      <c r="A8" s="261" t="s">
        <v>3008</v>
      </c>
      <c r="B8" s="243"/>
      <c r="C8" s="243"/>
      <c r="D8" s="243"/>
      <c r="E8" s="243"/>
      <c r="F8" s="243"/>
      <c r="G8" s="243"/>
      <c r="H8" s="243"/>
      <c r="I8" s="243"/>
    </row>
    <row r="9" spans="1:9" x14ac:dyDescent="0.25">
      <c r="A9" s="262" t="s">
        <v>3009</v>
      </c>
      <c r="B9" s="262"/>
      <c r="C9" s="262"/>
      <c r="D9" s="262"/>
      <c r="E9" s="262"/>
      <c r="F9" s="262" t="s">
        <v>3010</v>
      </c>
      <c r="G9" s="262"/>
      <c r="H9" s="262"/>
      <c r="I9" s="262"/>
    </row>
    <row r="10" spans="1:9" x14ac:dyDescent="0.25">
      <c r="A10" s="251" t="s">
        <v>3011</v>
      </c>
      <c r="B10" s="251"/>
      <c r="C10" s="251"/>
      <c r="D10" s="251"/>
      <c r="E10" s="251"/>
      <c r="F10" s="259">
        <f>COUNTA($A$85:$A$142)</f>
        <v>58</v>
      </c>
      <c r="G10" s="253"/>
      <c r="H10" s="253"/>
      <c r="I10" s="253"/>
    </row>
    <row r="11" spans="1:9" x14ac:dyDescent="0.25">
      <c r="A11" s="251" t="s">
        <v>3012</v>
      </c>
      <c r="B11" s="251"/>
      <c r="C11" s="251"/>
      <c r="D11" s="251"/>
      <c r="E11" s="251"/>
      <c r="F11" s="259">
        <f ca="1">COUNTIF($N$85:$N$142,"Realizado")</f>
        <v>54</v>
      </c>
      <c r="G11" s="253"/>
      <c r="H11" s="253"/>
      <c r="I11" s="253"/>
    </row>
    <row r="12" spans="1:9" x14ac:dyDescent="0.25">
      <c r="A12" s="251" t="s">
        <v>3013</v>
      </c>
      <c r="B12" s="251"/>
      <c r="C12" s="251"/>
      <c r="D12" s="251"/>
      <c r="E12" s="251"/>
      <c r="F12" s="252">
        <f ca="1">SUM($F$85:$F$142)</f>
        <v>2670</v>
      </c>
      <c r="G12" s="253"/>
      <c r="H12" s="253"/>
      <c r="I12" s="253"/>
    </row>
    <row r="13" spans="1:9" x14ac:dyDescent="0.25">
      <c r="A13" s="251" t="s">
        <v>3014</v>
      </c>
      <c r="B13" s="251"/>
      <c r="C13" s="251"/>
      <c r="D13" s="251"/>
      <c r="E13" s="251"/>
      <c r="F13" s="252">
        <f ca="1">SUM($K$85:$K$142)</f>
        <v>1619</v>
      </c>
      <c r="G13" s="253"/>
      <c r="H13" s="253"/>
      <c r="I13" s="253"/>
    </row>
    <row r="14" spans="1:9" x14ac:dyDescent="0.25">
      <c r="A14" s="251" t="s">
        <v>3015</v>
      </c>
      <c r="B14" s="251"/>
      <c r="C14" s="251"/>
      <c r="D14" s="251"/>
      <c r="E14" s="251"/>
      <c r="F14" s="252">
        <f ca="1">SUM($L$85:$L$142)</f>
        <v>862</v>
      </c>
      <c r="G14" s="253"/>
      <c r="H14" s="253"/>
      <c r="I14" s="253"/>
    </row>
    <row r="15" spans="1:9" x14ac:dyDescent="0.25">
      <c r="A15" s="251" t="s">
        <v>3016</v>
      </c>
      <c r="B15" s="251"/>
      <c r="C15" s="251"/>
      <c r="D15" s="251"/>
      <c r="E15" s="251"/>
      <c r="F15" s="252">
        <f ca="1">SUM($M$85:$M$142)</f>
        <v>189</v>
      </c>
      <c r="G15" s="253"/>
      <c r="H15" s="253"/>
      <c r="I15" s="253"/>
    </row>
    <row r="16" spans="1:9" x14ac:dyDescent="0.25">
      <c r="A16" s="251" t="s">
        <v>3017</v>
      </c>
      <c r="B16" s="251"/>
      <c r="C16" s="251"/>
      <c r="D16" s="251"/>
      <c r="E16" s="251"/>
      <c r="F16" s="252">
        <f ca="1">SUM($G$85:$G$142)</f>
        <v>883</v>
      </c>
      <c r="G16" s="253"/>
      <c r="H16" s="253"/>
      <c r="I16" s="253"/>
    </row>
    <row r="17" spans="1:9" x14ac:dyDescent="0.25">
      <c r="A17" s="251" t="s">
        <v>3018</v>
      </c>
      <c r="B17" s="251"/>
      <c r="C17" s="251"/>
      <c r="D17" s="251"/>
      <c r="E17" s="251"/>
      <c r="F17" s="263">
        <f ca="1">ROUND(AVERAGEIF($I$85:$I$142,"&gt;0"),2)</f>
        <v>4.8499999999999996</v>
      </c>
      <c r="G17" s="253"/>
      <c r="H17" s="253"/>
      <c r="I17" s="253"/>
    </row>
    <row r="18" spans="1:9" x14ac:dyDescent="0.25">
      <c r="A18" s="251" t="s">
        <v>3019</v>
      </c>
      <c r="B18" s="251"/>
      <c r="C18" s="251"/>
      <c r="D18" s="251"/>
      <c r="E18" s="251"/>
      <c r="F18" s="259">
        <f ca="1">COUNTIF($I$85:$I$142,"&gt;0")</f>
        <v>45</v>
      </c>
      <c r="G18" s="253"/>
      <c r="H18" s="253"/>
      <c r="I18" s="253"/>
    </row>
    <row r="19" spans="1:9" x14ac:dyDescent="0.25">
      <c r="A19" s="251" t="s">
        <v>3020</v>
      </c>
      <c r="B19" s="251"/>
      <c r="C19" s="251"/>
      <c r="D19" s="251"/>
      <c r="E19" s="251"/>
      <c r="F19" s="252">
        <f ca="1">SUMIF($N$85:$N$142,"&lt;&gt;Cancelado*",$H$85:$H$142)</f>
        <v>346991.52999999997</v>
      </c>
      <c r="G19" s="253"/>
      <c r="H19" s="253"/>
      <c r="I19" s="253"/>
    </row>
    <row r="20" spans="1:9" x14ac:dyDescent="0.25">
      <c r="A20" s="251" t="s">
        <v>3021</v>
      </c>
      <c r="B20" s="251"/>
      <c r="C20" s="251"/>
      <c r="D20" s="251"/>
      <c r="E20" s="251"/>
      <c r="F20" s="252">
        <f ca="1">$F$19/$F$12</f>
        <v>129.95937453183518</v>
      </c>
      <c r="G20" s="253"/>
      <c r="H20" s="253"/>
      <c r="I20" s="253"/>
    </row>
    <row r="21" spans="1:9" x14ac:dyDescent="0.25">
      <c r="A21" s="251" t="s">
        <v>3022</v>
      </c>
      <c r="B21" s="251"/>
      <c r="C21" s="251"/>
      <c r="D21" s="251"/>
      <c r="E21" s="251"/>
      <c r="F21" s="254">
        <f ca="1">COUNTIF($O$85:$O$142,"Instrutoria Interna")/$F$10</f>
        <v>0.84482758620689657</v>
      </c>
      <c r="G21" s="253"/>
      <c r="H21" s="253"/>
      <c r="I21" s="253"/>
    </row>
    <row r="23" spans="1:9" x14ac:dyDescent="0.25">
      <c r="A23" s="246" t="s">
        <v>3023</v>
      </c>
      <c r="B23" s="243"/>
      <c r="C23" s="243"/>
      <c r="D23" s="243"/>
      <c r="E23" s="243"/>
      <c r="F23" s="243"/>
      <c r="G23" s="243"/>
      <c r="H23" s="243"/>
      <c r="I23" s="243"/>
    </row>
    <row r="24" spans="1:9" x14ac:dyDescent="0.25">
      <c r="A24" s="233" t="s">
        <v>1</v>
      </c>
      <c r="B24" s="233" t="s">
        <v>3024</v>
      </c>
      <c r="C24" s="233" t="s">
        <v>3025</v>
      </c>
      <c r="D24" s="233" t="s">
        <v>3026</v>
      </c>
      <c r="E24" s="233" t="s">
        <v>3027</v>
      </c>
      <c r="F24" s="233" t="s">
        <v>3028</v>
      </c>
      <c r="G24" s="233" t="s">
        <v>18</v>
      </c>
      <c r="H24" s="233" t="s">
        <v>3029</v>
      </c>
      <c r="I24" s="233" t="s">
        <v>3030</v>
      </c>
    </row>
    <row r="25" spans="1:9" x14ac:dyDescent="0.25">
      <c r="A25" s="234">
        <v>2015</v>
      </c>
      <c r="B25" s="235">
        <f t="shared" ref="B25:B36" si="0">COUNTIFS($J$85:$J$142,$A25)</f>
        <v>3</v>
      </c>
      <c r="C25" s="235">
        <f t="shared" ref="C25:C36" si="1">SUMIFS($F$85:$F$142,$J$85:$J$142,$A25)</f>
        <v>92</v>
      </c>
      <c r="D25" s="235">
        <f t="shared" ref="D25:D36" si="2">SUMIFS($K$85:$K$142,$J$85:$J$142,$A25)</f>
        <v>92</v>
      </c>
      <c r="E25" s="235">
        <f t="shared" ref="E25:E36" si="3">SUMIFS($L$85:$L$142,$J$85:$J$142,$A25)</f>
        <v>0</v>
      </c>
      <c r="F25" s="235">
        <f t="shared" ref="F25:F36" si="4">SUMIFS($M$85:$M$142,$J$85:$J$142,$A25)</f>
        <v>0</v>
      </c>
      <c r="G25" s="235">
        <f t="shared" ref="G25:G36" si="5">SUMIFS($G$85:$G$142,$J$85:$J$142,$A25)</f>
        <v>45</v>
      </c>
      <c r="H25" s="235">
        <f t="shared" ref="H25:H36" si="6">SUMIFS($H$85:$H$142,$J$85:$J$142,$A25)</f>
        <v>8153.04</v>
      </c>
      <c r="I25" s="236" t="str">
        <f t="shared" ref="I25:I36" si="7">IFERROR(AVERAGEIFS($I$85:$I$142,$J$85:$J$142,$A25,$I$85:$I$142,"&gt;0"),"")</f>
        <v/>
      </c>
    </row>
    <row r="26" spans="1:9" x14ac:dyDescent="0.25">
      <c r="A26" s="234">
        <v>2016</v>
      </c>
      <c r="B26" s="235">
        <f t="shared" si="0"/>
        <v>2</v>
      </c>
      <c r="C26" s="235">
        <f t="shared" si="1"/>
        <v>116</v>
      </c>
      <c r="D26" s="235">
        <f t="shared" si="2"/>
        <v>45</v>
      </c>
      <c r="E26" s="235">
        <f t="shared" si="3"/>
        <v>63</v>
      </c>
      <c r="F26" s="235">
        <f t="shared" si="4"/>
        <v>8</v>
      </c>
      <c r="G26" s="235">
        <f t="shared" si="5"/>
        <v>40</v>
      </c>
      <c r="H26" s="235">
        <f t="shared" si="6"/>
        <v>16636.93</v>
      </c>
      <c r="I26" s="236" t="str">
        <f t="shared" si="7"/>
        <v/>
      </c>
    </row>
    <row r="27" spans="1:9" x14ac:dyDescent="0.25">
      <c r="A27" s="234">
        <v>2017</v>
      </c>
      <c r="B27" s="235">
        <f t="shared" si="0"/>
        <v>2</v>
      </c>
      <c r="C27" s="235">
        <f t="shared" si="1"/>
        <v>89</v>
      </c>
      <c r="D27" s="235">
        <f t="shared" si="2"/>
        <v>49</v>
      </c>
      <c r="E27" s="235">
        <f t="shared" si="3"/>
        <v>40</v>
      </c>
      <c r="F27" s="235">
        <f t="shared" si="4"/>
        <v>0</v>
      </c>
      <c r="G27" s="235">
        <f t="shared" si="5"/>
        <v>40</v>
      </c>
      <c r="H27" s="235">
        <f t="shared" si="6"/>
        <v>17503.66</v>
      </c>
      <c r="I27" s="236" t="str">
        <f t="shared" si="7"/>
        <v/>
      </c>
    </row>
    <row r="28" spans="1:9" x14ac:dyDescent="0.25">
      <c r="A28" s="234">
        <v>2018</v>
      </c>
      <c r="B28" s="235">
        <f t="shared" si="0"/>
        <v>1</v>
      </c>
      <c r="C28" s="235">
        <f t="shared" si="1"/>
        <v>96</v>
      </c>
      <c r="D28" s="235">
        <f t="shared" si="2"/>
        <v>96</v>
      </c>
      <c r="E28" s="235">
        <f t="shared" si="3"/>
        <v>0</v>
      </c>
      <c r="F28" s="235">
        <f t="shared" si="4"/>
        <v>0</v>
      </c>
      <c r="G28" s="235">
        <f t="shared" si="5"/>
        <v>20</v>
      </c>
      <c r="H28" s="235">
        <f t="shared" si="6"/>
        <v>5647.92</v>
      </c>
      <c r="I28" s="236" t="str">
        <f t="shared" si="7"/>
        <v/>
      </c>
    </row>
    <row r="29" spans="1:9" x14ac:dyDescent="0.25">
      <c r="A29" s="234">
        <v>2019</v>
      </c>
      <c r="B29" s="235">
        <f t="shared" si="0"/>
        <v>0</v>
      </c>
      <c r="C29" s="235">
        <f t="shared" si="1"/>
        <v>0</v>
      </c>
      <c r="D29" s="235">
        <f t="shared" si="2"/>
        <v>0</v>
      </c>
      <c r="E29" s="235">
        <f t="shared" si="3"/>
        <v>0</v>
      </c>
      <c r="F29" s="235">
        <f t="shared" si="4"/>
        <v>0</v>
      </c>
      <c r="G29" s="235">
        <f t="shared" si="5"/>
        <v>0</v>
      </c>
      <c r="H29" s="235">
        <f t="shared" si="6"/>
        <v>0</v>
      </c>
      <c r="I29" s="236" t="str">
        <f t="shared" si="7"/>
        <v/>
      </c>
    </row>
    <row r="30" spans="1:9" x14ac:dyDescent="0.25">
      <c r="A30" s="234">
        <v>2020</v>
      </c>
      <c r="B30" s="235">
        <f t="shared" si="0"/>
        <v>0</v>
      </c>
      <c r="C30" s="235">
        <f t="shared" si="1"/>
        <v>0</v>
      </c>
      <c r="D30" s="235">
        <f t="shared" si="2"/>
        <v>0</v>
      </c>
      <c r="E30" s="235">
        <f t="shared" si="3"/>
        <v>0</v>
      </c>
      <c r="F30" s="235">
        <f t="shared" si="4"/>
        <v>0</v>
      </c>
      <c r="G30" s="235">
        <f t="shared" si="5"/>
        <v>0</v>
      </c>
      <c r="H30" s="235">
        <f t="shared" si="6"/>
        <v>0</v>
      </c>
      <c r="I30" s="236" t="str">
        <f t="shared" si="7"/>
        <v/>
      </c>
    </row>
    <row r="31" spans="1:9" x14ac:dyDescent="0.25">
      <c r="A31" s="234">
        <v>2021</v>
      </c>
      <c r="B31" s="235">
        <f t="shared" si="0"/>
        <v>1</v>
      </c>
      <c r="C31" s="235">
        <f t="shared" si="1"/>
        <v>36</v>
      </c>
      <c r="D31" s="235">
        <f t="shared" si="2"/>
        <v>36</v>
      </c>
      <c r="E31" s="235">
        <f t="shared" si="3"/>
        <v>0</v>
      </c>
      <c r="F31" s="235">
        <f t="shared" si="4"/>
        <v>0</v>
      </c>
      <c r="G31" s="235">
        <f t="shared" si="5"/>
        <v>2</v>
      </c>
      <c r="H31" s="235">
        <f t="shared" si="6"/>
        <v>11040</v>
      </c>
      <c r="I31" s="236">
        <f t="shared" si="7"/>
        <v>5</v>
      </c>
    </row>
    <row r="32" spans="1:9" x14ac:dyDescent="0.25">
      <c r="A32" s="234">
        <v>2022</v>
      </c>
      <c r="B32" s="235">
        <f t="shared" si="0"/>
        <v>2</v>
      </c>
      <c r="C32" s="235">
        <f t="shared" si="1"/>
        <v>93</v>
      </c>
      <c r="D32" s="235">
        <f t="shared" si="2"/>
        <v>64</v>
      </c>
      <c r="E32" s="235">
        <f t="shared" si="3"/>
        <v>10</v>
      </c>
      <c r="F32" s="235">
        <f t="shared" si="4"/>
        <v>19</v>
      </c>
      <c r="G32" s="235">
        <f t="shared" si="5"/>
        <v>36</v>
      </c>
      <c r="H32" s="235">
        <f t="shared" si="6"/>
        <v>18000</v>
      </c>
      <c r="I32" s="236">
        <f t="shared" si="7"/>
        <v>4.75</v>
      </c>
    </row>
    <row r="33" spans="1:9" x14ac:dyDescent="0.25">
      <c r="A33" s="234">
        <v>2023</v>
      </c>
      <c r="B33" s="235">
        <f t="shared" si="0"/>
        <v>12</v>
      </c>
      <c r="C33" s="235">
        <f t="shared" si="1"/>
        <v>622</v>
      </c>
      <c r="D33" s="235">
        <f t="shared" si="2"/>
        <v>391</v>
      </c>
      <c r="E33" s="235">
        <f t="shared" si="3"/>
        <v>146</v>
      </c>
      <c r="F33" s="235">
        <f t="shared" si="4"/>
        <v>85</v>
      </c>
      <c r="G33" s="235">
        <f t="shared" si="5"/>
        <v>149</v>
      </c>
      <c r="H33" s="235">
        <f t="shared" si="6"/>
        <v>58849.599999999984</v>
      </c>
      <c r="I33" s="236">
        <f t="shared" si="7"/>
        <v>4.875</v>
      </c>
    </row>
    <row r="34" spans="1:9" x14ac:dyDescent="0.25">
      <c r="A34" s="234">
        <v>2024</v>
      </c>
      <c r="B34" s="235">
        <f t="shared" si="0"/>
        <v>12</v>
      </c>
      <c r="C34" s="235">
        <f t="shared" si="1"/>
        <v>715</v>
      </c>
      <c r="D34" s="235">
        <f t="shared" si="2"/>
        <v>451</v>
      </c>
      <c r="E34" s="235">
        <f t="shared" si="3"/>
        <v>228</v>
      </c>
      <c r="F34" s="235">
        <f t="shared" si="4"/>
        <v>36</v>
      </c>
      <c r="G34" s="235">
        <f t="shared" si="5"/>
        <v>185</v>
      </c>
      <c r="H34" s="235">
        <f t="shared" si="6"/>
        <v>98536.419999999984</v>
      </c>
      <c r="I34" s="236">
        <f t="shared" si="7"/>
        <v>4.8249999999999993</v>
      </c>
    </row>
    <row r="35" spans="1:9" x14ac:dyDescent="0.25">
      <c r="A35" s="234">
        <v>2025</v>
      </c>
      <c r="B35" s="235">
        <f t="shared" si="0"/>
        <v>12</v>
      </c>
      <c r="C35" s="235">
        <f t="shared" ca="1" si="1"/>
        <v>400</v>
      </c>
      <c r="D35" s="235">
        <f t="shared" si="2"/>
        <v>306</v>
      </c>
      <c r="E35" s="235">
        <f t="shared" si="3"/>
        <v>94</v>
      </c>
      <c r="F35" s="235">
        <f t="shared" si="4"/>
        <v>0</v>
      </c>
      <c r="G35" s="235">
        <f t="shared" si="5"/>
        <v>150</v>
      </c>
      <c r="H35" s="235">
        <f t="shared" si="6"/>
        <v>55026.759999999995</v>
      </c>
      <c r="I35" s="236">
        <f t="shared" si="7"/>
        <v>4.830909090909091</v>
      </c>
    </row>
    <row r="36" spans="1:9" x14ac:dyDescent="0.25">
      <c r="A36" s="234">
        <v>2026</v>
      </c>
      <c r="B36" s="235">
        <f t="shared" si="0"/>
        <v>11</v>
      </c>
      <c r="C36" s="235">
        <f t="shared" ca="1" si="1"/>
        <v>411</v>
      </c>
      <c r="D36" s="235">
        <f t="shared" ca="1" si="2"/>
        <v>89</v>
      </c>
      <c r="E36" s="235">
        <f t="shared" ca="1" si="3"/>
        <v>281</v>
      </c>
      <c r="F36" s="235">
        <f t="shared" ca="1" si="4"/>
        <v>41</v>
      </c>
      <c r="G36" s="235">
        <f t="shared" ca="1" si="5"/>
        <v>216</v>
      </c>
      <c r="H36" s="235">
        <f t="shared" ca="1" si="6"/>
        <v>162597.20000000001</v>
      </c>
      <c r="I36" s="236">
        <f t="shared" ca="1" si="7"/>
        <v>4.862857142857143</v>
      </c>
    </row>
    <row r="37" spans="1:9" x14ac:dyDescent="0.25">
      <c r="A37" s="237" t="s">
        <v>3031</v>
      </c>
      <c r="B37" s="238">
        <f t="shared" ref="B37:H37" si="8">SUM(B25:B36)</f>
        <v>58</v>
      </c>
      <c r="C37" s="238">
        <f t="shared" ca="1" si="8"/>
        <v>2670</v>
      </c>
      <c r="D37" s="238">
        <f t="shared" ca="1" si="8"/>
        <v>1619</v>
      </c>
      <c r="E37" s="238">
        <f t="shared" ca="1" si="8"/>
        <v>862</v>
      </c>
      <c r="F37" s="238">
        <f t="shared" ca="1" si="8"/>
        <v>189</v>
      </c>
      <c r="G37" s="238">
        <f t="shared" ca="1" si="8"/>
        <v>883</v>
      </c>
      <c r="H37" s="238">
        <f t="shared" ca="1" si="8"/>
        <v>451991.52999999997</v>
      </c>
      <c r="I37" s="239">
        <f ca="1">ROUND(AVERAGEIF($I$85:$I$142,"&gt;0"),2)</f>
        <v>4.8499999999999996</v>
      </c>
    </row>
    <row r="38" spans="1:9" ht="14.1" customHeight="1" x14ac:dyDescent="0.25">
      <c r="A38" s="249" t="s">
        <v>3032</v>
      </c>
      <c r="B38" s="250"/>
      <c r="C38" s="250"/>
      <c r="D38" s="250"/>
      <c r="E38" s="250"/>
      <c r="F38" s="250"/>
      <c r="G38" s="250"/>
      <c r="H38" s="250"/>
      <c r="I38" s="250"/>
    </row>
    <row r="39" spans="1:9" ht="26.1" customHeight="1" x14ac:dyDescent="0.25">
      <c r="A39" s="245" t="s">
        <v>3033</v>
      </c>
      <c r="B39" s="243"/>
      <c r="C39" s="243"/>
      <c r="D39" s="243"/>
      <c r="E39" s="243"/>
      <c r="F39" s="243"/>
      <c r="G39" s="243"/>
      <c r="H39" s="243"/>
      <c r="I39" s="243"/>
    </row>
    <row r="41" spans="1:9" x14ac:dyDescent="0.25">
      <c r="A41" s="246" t="s">
        <v>3034</v>
      </c>
      <c r="B41" s="243"/>
      <c r="C41" s="243"/>
      <c r="D41" s="243"/>
      <c r="E41" s="243"/>
      <c r="F41" s="243"/>
      <c r="G41" s="243"/>
      <c r="H41" s="243"/>
      <c r="I41" s="243"/>
    </row>
    <row r="42" spans="1:9" x14ac:dyDescent="0.25">
      <c r="A42" s="248" t="s">
        <v>3035</v>
      </c>
      <c r="B42" s="243"/>
      <c r="C42" s="243"/>
      <c r="D42" s="243"/>
      <c r="E42" s="243"/>
      <c r="F42" s="243"/>
      <c r="G42" s="243"/>
      <c r="H42" s="243"/>
      <c r="I42" s="243"/>
    </row>
    <row r="43" spans="1:9" ht="39.950000000000003" customHeight="1" x14ac:dyDescent="0.25">
      <c r="A43" s="245" t="s">
        <v>3036</v>
      </c>
      <c r="B43" s="243"/>
      <c r="C43" s="243"/>
      <c r="D43" s="243"/>
      <c r="E43" s="243"/>
      <c r="F43" s="243"/>
      <c r="G43" s="243"/>
      <c r="H43" s="243"/>
      <c r="I43" s="243"/>
    </row>
    <row r="44" spans="1:9" x14ac:dyDescent="0.25">
      <c r="A44" s="248" t="s">
        <v>3037</v>
      </c>
      <c r="B44" s="243"/>
      <c r="C44" s="243"/>
      <c r="D44" s="243"/>
      <c r="E44" s="243"/>
      <c r="F44" s="243"/>
      <c r="G44" s="243"/>
      <c r="H44" s="243"/>
      <c r="I44" s="243"/>
    </row>
    <row r="45" spans="1:9" ht="39.950000000000003" customHeight="1" x14ac:dyDescent="0.25">
      <c r="A45" s="245" t="s">
        <v>3038</v>
      </c>
      <c r="B45" s="243"/>
      <c r="C45" s="243"/>
      <c r="D45" s="243"/>
      <c r="E45" s="243"/>
      <c r="F45" s="243"/>
      <c r="G45" s="243"/>
      <c r="H45" s="243"/>
      <c r="I45" s="243"/>
    </row>
    <row r="46" spans="1:9" x14ac:dyDescent="0.25">
      <c r="A46" s="248" t="s">
        <v>3039</v>
      </c>
      <c r="B46" s="243"/>
      <c r="C46" s="243"/>
      <c r="D46" s="243"/>
      <c r="E46" s="243"/>
      <c r="F46" s="243"/>
      <c r="G46" s="243"/>
      <c r="H46" s="243"/>
      <c r="I46" s="243"/>
    </row>
    <row r="47" spans="1:9" ht="51.95" customHeight="1" x14ac:dyDescent="0.25">
      <c r="A47" s="245" t="s">
        <v>3040</v>
      </c>
      <c r="B47" s="245"/>
      <c r="C47" s="245"/>
      <c r="D47" s="245"/>
      <c r="E47" s="245"/>
      <c r="F47" s="245"/>
      <c r="G47" s="245"/>
      <c r="H47" s="245"/>
      <c r="I47" s="245"/>
    </row>
    <row r="48" spans="1:9" x14ac:dyDescent="0.25">
      <c r="A48" s="248" t="s">
        <v>3041</v>
      </c>
      <c r="B48" s="248"/>
      <c r="C48" s="248"/>
      <c r="D48" s="248"/>
      <c r="E48" s="248"/>
      <c r="F48" s="248"/>
      <c r="G48" s="248"/>
      <c r="H48" s="248"/>
      <c r="I48" s="248"/>
    </row>
    <row r="49" spans="1:9" ht="39.950000000000003" customHeight="1" x14ac:dyDescent="0.25">
      <c r="A49" s="245" t="s">
        <v>3042</v>
      </c>
      <c r="B49" s="245"/>
      <c r="C49" s="245"/>
      <c r="D49" s="245"/>
      <c r="E49" s="245"/>
      <c r="F49" s="245"/>
      <c r="G49" s="245"/>
      <c r="H49" s="245"/>
      <c r="I49" s="245"/>
    </row>
    <row r="50" spans="1:9" x14ac:dyDescent="0.25">
      <c r="A50" s="248" t="s">
        <v>3043</v>
      </c>
      <c r="B50" s="248"/>
      <c r="C50" s="248"/>
      <c r="D50" s="248"/>
      <c r="E50" s="248"/>
      <c r="F50" s="248"/>
      <c r="G50" s="248"/>
      <c r="H50" s="248"/>
      <c r="I50" s="248"/>
    </row>
    <row r="51" spans="1:9" ht="27.95" customHeight="1" x14ac:dyDescent="0.25">
      <c r="A51" s="245" t="s">
        <v>3044</v>
      </c>
      <c r="B51" s="245"/>
      <c r="C51" s="245"/>
      <c r="D51" s="245"/>
      <c r="E51" s="245"/>
      <c r="F51" s="245"/>
      <c r="G51" s="245"/>
      <c r="H51" s="245"/>
      <c r="I51" s="245"/>
    </row>
    <row r="52" spans="1:9" x14ac:dyDescent="0.25">
      <c r="A52" s="248" t="s">
        <v>3045</v>
      </c>
      <c r="B52" s="248"/>
      <c r="C52" s="248"/>
      <c r="D52" s="248"/>
      <c r="E52" s="248"/>
      <c r="F52" s="248"/>
      <c r="G52" s="248"/>
      <c r="H52" s="248"/>
      <c r="I52" s="248"/>
    </row>
    <row r="53" spans="1:9" ht="51.95" customHeight="1" x14ac:dyDescent="0.25">
      <c r="A53" s="245" t="s">
        <v>3046</v>
      </c>
      <c r="B53" s="245"/>
      <c r="C53" s="245"/>
      <c r="D53" s="245"/>
      <c r="E53" s="245"/>
      <c r="F53" s="245"/>
      <c r="G53" s="245"/>
      <c r="H53" s="245"/>
      <c r="I53" s="245"/>
    </row>
    <row r="55" spans="1:9" x14ac:dyDescent="0.25">
      <c r="A55" s="246" t="s">
        <v>3047</v>
      </c>
      <c r="B55" s="243"/>
      <c r="C55" s="243"/>
      <c r="D55" s="243"/>
      <c r="E55" s="243"/>
      <c r="F55" s="243"/>
      <c r="G55" s="243"/>
      <c r="H55" s="243"/>
      <c r="I55" s="243"/>
    </row>
    <row r="56" spans="1:9" x14ac:dyDescent="0.25">
      <c r="A56" s="248" t="s">
        <v>3048</v>
      </c>
      <c r="B56" s="243"/>
      <c r="C56" s="243"/>
      <c r="D56" s="243"/>
      <c r="E56" s="243"/>
      <c r="F56" s="243"/>
      <c r="G56" s="243"/>
      <c r="H56" s="243"/>
      <c r="I56" s="243"/>
    </row>
    <row r="57" spans="1:9" ht="44.1" customHeight="1" x14ac:dyDescent="0.25">
      <c r="A57" s="245" t="s">
        <v>3049</v>
      </c>
      <c r="B57" s="243"/>
      <c r="C57" s="243"/>
      <c r="D57" s="243"/>
      <c r="E57" s="243"/>
      <c r="F57" s="243"/>
      <c r="G57" s="243"/>
      <c r="H57" s="243"/>
      <c r="I57" s="243"/>
    </row>
    <row r="58" spans="1:9" x14ac:dyDescent="0.25">
      <c r="A58" s="248" t="s">
        <v>3050</v>
      </c>
      <c r="B58" s="243"/>
      <c r="C58" s="243"/>
      <c r="D58" s="243"/>
      <c r="E58" s="243"/>
      <c r="F58" s="243"/>
      <c r="G58" s="243"/>
      <c r="H58" s="243"/>
      <c r="I58" s="243"/>
    </row>
    <row r="59" spans="1:9" ht="26.1" customHeight="1" x14ac:dyDescent="0.25">
      <c r="A59" s="245" t="s">
        <v>3051</v>
      </c>
      <c r="B59" s="243"/>
      <c r="C59" s="243"/>
      <c r="D59" s="243"/>
      <c r="E59" s="243"/>
      <c r="F59" s="243"/>
      <c r="G59" s="243"/>
      <c r="H59" s="243"/>
      <c r="I59" s="243"/>
    </row>
    <row r="60" spans="1:9" x14ac:dyDescent="0.25">
      <c r="A60" s="248" t="s">
        <v>3052</v>
      </c>
      <c r="B60" s="243"/>
      <c r="C60" s="243"/>
      <c r="D60" s="243"/>
      <c r="E60" s="243"/>
      <c r="F60" s="243"/>
      <c r="G60" s="243"/>
      <c r="H60" s="243"/>
      <c r="I60" s="243"/>
    </row>
    <row r="61" spans="1:9" ht="26.1" customHeight="1" x14ac:dyDescent="0.25">
      <c r="A61" s="245" t="s">
        <v>3053</v>
      </c>
      <c r="B61" s="245"/>
      <c r="C61" s="245"/>
      <c r="D61" s="245"/>
      <c r="E61" s="245"/>
      <c r="F61" s="245"/>
      <c r="G61" s="245"/>
      <c r="H61" s="245"/>
      <c r="I61" s="245"/>
    </row>
    <row r="62" spans="1:9" x14ac:dyDescent="0.25">
      <c r="A62" s="248" t="s">
        <v>3054</v>
      </c>
      <c r="B62" s="248"/>
      <c r="C62" s="248"/>
      <c r="D62" s="248"/>
      <c r="E62" s="248"/>
      <c r="F62" s="248"/>
      <c r="G62" s="248"/>
      <c r="H62" s="248"/>
      <c r="I62" s="248"/>
    </row>
    <row r="63" spans="1:9" ht="33" customHeight="1" x14ac:dyDescent="0.25">
      <c r="A63" s="245" t="s">
        <v>3055</v>
      </c>
      <c r="B63" s="245"/>
      <c r="C63" s="245"/>
      <c r="D63" s="245"/>
      <c r="E63" s="245"/>
      <c r="F63" s="245"/>
      <c r="G63" s="245"/>
      <c r="H63" s="245"/>
      <c r="I63" s="245"/>
    </row>
    <row r="64" spans="1:9" x14ac:dyDescent="0.25">
      <c r="A64" s="248" t="s">
        <v>3056</v>
      </c>
      <c r="B64" s="248"/>
      <c r="C64" s="248"/>
      <c r="D64" s="248"/>
      <c r="E64" s="248"/>
      <c r="F64" s="248"/>
      <c r="G64" s="248"/>
      <c r="H64" s="248"/>
      <c r="I64" s="248"/>
    </row>
    <row r="65" spans="1:9" ht="26.1" customHeight="1" x14ac:dyDescent="0.25">
      <c r="A65" s="245" t="s">
        <v>3057</v>
      </c>
      <c r="B65" s="245"/>
      <c r="C65" s="245"/>
      <c r="D65" s="245"/>
      <c r="E65" s="245"/>
      <c r="F65" s="245"/>
      <c r="G65" s="245"/>
      <c r="H65" s="245"/>
      <c r="I65" s="245"/>
    </row>
    <row r="66" spans="1:9" x14ac:dyDescent="0.25">
      <c r="A66" s="248" t="s">
        <v>3058</v>
      </c>
      <c r="B66" s="248"/>
      <c r="C66" s="248"/>
      <c r="D66" s="248"/>
      <c r="E66" s="248"/>
      <c r="F66" s="248"/>
      <c r="G66" s="248"/>
      <c r="H66" s="248"/>
      <c r="I66" s="248"/>
    </row>
    <row r="67" spans="1:9" ht="26.1" customHeight="1" x14ac:dyDescent="0.25">
      <c r="A67" s="245" t="s">
        <v>3059</v>
      </c>
      <c r="B67" s="245"/>
      <c r="C67" s="245"/>
      <c r="D67" s="245"/>
      <c r="E67" s="245"/>
      <c r="F67" s="245"/>
      <c r="G67" s="245"/>
      <c r="H67" s="245"/>
      <c r="I67" s="245"/>
    </row>
    <row r="68" spans="1:9" x14ac:dyDescent="0.25">
      <c r="A68" s="248" t="s">
        <v>3060</v>
      </c>
      <c r="B68" s="248"/>
      <c r="C68" s="248"/>
      <c r="D68" s="248"/>
      <c r="E68" s="248"/>
      <c r="F68" s="248"/>
      <c r="G68" s="248"/>
      <c r="H68" s="248"/>
      <c r="I68" s="248"/>
    </row>
    <row r="69" spans="1:9" ht="26.1" customHeight="1" x14ac:dyDescent="0.25">
      <c r="A69" s="245" t="s">
        <v>3061</v>
      </c>
      <c r="B69" s="245"/>
      <c r="C69" s="245"/>
      <c r="D69" s="245"/>
      <c r="E69" s="245"/>
      <c r="F69" s="245"/>
      <c r="G69" s="245"/>
      <c r="H69" s="245"/>
      <c r="I69" s="245"/>
    </row>
    <row r="71" spans="1:9" x14ac:dyDescent="0.25">
      <c r="A71" s="246" t="s">
        <v>3062</v>
      </c>
      <c r="B71" s="243"/>
      <c r="C71" s="243"/>
      <c r="D71" s="243"/>
      <c r="E71" s="243"/>
      <c r="F71" s="243"/>
      <c r="G71" s="243"/>
      <c r="H71" s="243"/>
      <c r="I71" s="243"/>
    </row>
    <row r="72" spans="1:9" ht="14.1" customHeight="1" x14ac:dyDescent="0.25">
      <c r="A72" s="245" t="s">
        <v>3063</v>
      </c>
      <c r="B72" s="243"/>
      <c r="C72" s="243"/>
      <c r="D72" s="243"/>
      <c r="E72" s="243"/>
      <c r="F72" s="243"/>
      <c r="G72" s="243"/>
      <c r="H72" s="243"/>
      <c r="I72" s="243"/>
    </row>
    <row r="73" spans="1:9" ht="14.1" customHeight="1" x14ac:dyDescent="0.25">
      <c r="A73" s="245" t="s">
        <v>3064</v>
      </c>
      <c r="B73" s="243"/>
      <c r="C73" s="243"/>
      <c r="D73" s="243"/>
      <c r="E73" s="243"/>
      <c r="F73" s="243"/>
      <c r="G73" s="243"/>
      <c r="H73" s="243"/>
      <c r="I73" s="243"/>
    </row>
    <row r="74" spans="1:9" ht="14.1" customHeight="1" x14ac:dyDescent="0.25">
      <c r="A74" s="245" t="s">
        <v>3065</v>
      </c>
      <c r="B74" s="245"/>
      <c r="C74" s="245"/>
      <c r="D74" s="245"/>
      <c r="E74" s="245"/>
      <c r="F74" s="245"/>
      <c r="G74" s="245"/>
      <c r="H74" s="245"/>
      <c r="I74" s="245"/>
    </row>
    <row r="75" spans="1:9" ht="14.1" customHeight="1" x14ac:dyDescent="0.25">
      <c r="A75" s="245" t="s">
        <v>3066</v>
      </c>
      <c r="B75" s="245"/>
      <c r="C75" s="245"/>
      <c r="D75" s="245"/>
      <c r="E75" s="245"/>
      <c r="F75" s="245"/>
      <c r="G75" s="245"/>
      <c r="H75" s="245"/>
      <c r="I75" s="245"/>
    </row>
    <row r="76" spans="1:9" ht="14.1" customHeight="1" x14ac:dyDescent="0.25">
      <c r="A76" s="245" t="s">
        <v>3067</v>
      </c>
      <c r="B76" s="245"/>
      <c r="C76" s="245"/>
      <c r="D76" s="245"/>
      <c r="E76" s="245"/>
      <c r="F76" s="245"/>
      <c r="G76" s="245"/>
      <c r="H76" s="245"/>
      <c r="I76" s="245"/>
    </row>
    <row r="77" spans="1:9" ht="14.1" customHeight="1" x14ac:dyDescent="0.25">
      <c r="A77" s="245" t="s">
        <v>3068</v>
      </c>
      <c r="B77" s="245"/>
      <c r="C77" s="245"/>
      <c r="D77" s="245"/>
      <c r="E77" s="245"/>
      <c r="F77" s="245"/>
      <c r="G77" s="245"/>
      <c r="H77" s="245"/>
      <c r="I77" s="245"/>
    </row>
    <row r="78" spans="1:9" ht="14.1" customHeight="1" x14ac:dyDescent="0.25">
      <c r="A78" s="245" t="s">
        <v>3069</v>
      </c>
      <c r="B78" s="245"/>
      <c r="C78" s="245"/>
      <c r="D78" s="245"/>
      <c r="E78" s="245"/>
      <c r="F78" s="245"/>
      <c r="G78" s="245"/>
      <c r="H78" s="245"/>
      <c r="I78" s="245"/>
    </row>
    <row r="79" spans="1:9" ht="14.1" customHeight="1" x14ac:dyDescent="0.25">
      <c r="A79" s="245" t="s">
        <v>3070</v>
      </c>
      <c r="B79" s="245"/>
      <c r="C79" s="245"/>
      <c r="D79" s="245"/>
      <c r="E79" s="245"/>
      <c r="F79" s="245"/>
      <c r="G79" s="245"/>
      <c r="H79" s="245"/>
      <c r="I79" s="245"/>
    </row>
    <row r="83" spans="1:15" x14ac:dyDescent="0.25">
      <c r="A83" s="246" t="s">
        <v>3071</v>
      </c>
      <c r="B83" s="243"/>
      <c r="C83" s="243"/>
      <c r="D83" s="243"/>
      <c r="E83" s="243"/>
      <c r="F83" s="243"/>
      <c r="G83" s="243"/>
      <c r="H83" s="243"/>
      <c r="I83" s="243"/>
    </row>
    <row r="84" spans="1:15" x14ac:dyDescent="0.25">
      <c r="A84" s="228" t="s">
        <v>0</v>
      </c>
      <c r="B84" s="258" t="s">
        <v>3072</v>
      </c>
      <c r="C84" s="258"/>
      <c r="D84" s="228" t="s">
        <v>3073</v>
      </c>
      <c r="E84" s="228" t="s">
        <v>8</v>
      </c>
      <c r="F84" s="228" t="s">
        <v>3025</v>
      </c>
      <c r="G84" s="228" t="s">
        <v>18</v>
      </c>
      <c r="H84" s="228" t="s">
        <v>3029</v>
      </c>
      <c r="I84" s="228" t="s">
        <v>3030</v>
      </c>
      <c r="J84" s="240" t="s">
        <v>3074</v>
      </c>
      <c r="K84" s="240" t="s">
        <v>16</v>
      </c>
      <c r="L84" s="240" t="s">
        <v>3075</v>
      </c>
      <c r="M84" s="240" t="s">
        <v>14</v>
      </c>
      <c r="N84" s="240" t="s">
        <v>3076</v>
      </c>
      <c r="O84" s="240" t="s">
        <v>10</v>
      </c>
    </row>
    <row r="85" spans="1:15" x14ac:dyDescent="0.25">
      <c r="A85" s="229" t="s">
        <v>86</v>
      </c>
      <c r="B85" s="247" t="str">
        <f>IFERROR(INDEX(Tabela2[Curso],MATCH($A85,Tabela2[ID],0)),"")</f>
        <v>PALESTRA CONSELHOS REGIONAIS DE SAÚDE</v>
      </c>
      <c r="C85" s="247"/>
      <c r="D85" s="229" t="str">
        <f>IFERROR(INDEX(Tabela2[Público-Alvo],MATCH($A85,Tabela2[ID],0)),"")</f>
        <v>Sociedade</v>
      </c>
      <c r="E85" s="230">
        <f>IFERROR(INDEX(Tabela2[Início],MATCH($A85,Tabela2[ID],0)),"")</f>
        <v>42122</v>
      </c>
      <c r="F85" s="231">
        <f>IFERROR(INDEX(Tabela2[Total Part.],MATCH($A85,Tabela2[ID],0)),"")</f>
        <v>0</v>
      </c>
      <c r="G85" s="231">
        <f>IFERROR(INDEX(Tabela2[C.H.],MATCH($A85,Tabela2[ID],0)),"")</f>
        <v>5</v>
      </c>
      <c r="H85" s="231">
        <f>IFERROR(INDEX(Tabela2[Valor instrutoria],MATCH($A85,Tabela2[ID],0)),"")</f>
        <v>0</v>
      </c>
      <c r="I85" s="232">
        <f>IFERROR(INDEX(Tabela2[Nota Av. Reação],MATCH($A85,Tabela2[ID],0)),"")</f>
        <v>0</v>
      </c>
      <c r="J85" s="241">
        <f t="shared" ref="J85:J116" si="9">VALUE(LEFT($A85,4))</f>
        <v>2015</v>
      </c>
      <c r="K85" s="241">
        <f>IFERROR(INDEX(Tabela2[P. Sociedade],MATCH($A85,Tabela2[ID],0)),"")</f>
        <v>0</v>
      </c>
      <c r="L85" s="241">
        <f>IFERROR(INDEX(Tabela2[P. Jurisdicionados],MATCH($A85,Tabela2[ID],0)),"")</f>
        <v>0</v>
      </c>
      <c r="M85" s="241">
        <f>IFERROR(INDEX(Tabela2[P. Servidores],MATCH($A85,Tabela2[ID],0)),"")</f>
        <v>0</v>
      </c>
      <c r="N85" s="241" t="str">
        <f>IFERROR(INDEX(Tabela2[Status Evento],MATCH($A85,Tabela2[ID],0)),"")</f>
        <v>Realizado</v>
      </c>
      <c r="O85" s="241" t="str">
        <f>IFERROR(INDEX(Tabela2[Modalidade],MATCH($A85,Tabela2[ID],0)),"")</f>
        <v>Instrutoria Interna</v>
      </c>
    </row>
    <row r="86" spans="1:15" x14ac:dyDescent="0.25">
      <c r="A86" s="229" t="s">
        <v>143</v>
      </c>
      <c r="B86" s="247" t="str">
        <f>IFERROR(INDEX(Tabela2[Curso],MATCH($A86,Tabela2[ID],0)),"")</f>
        <v>CAPACITAÇÃO PARA CONSELHEIROS DE SAÚDE - Turma I</v>
      </c>
      <c r="C86" s="247"/>
      <c r="D86" s="229" t="str">
        <f>IFERROR(INDEX(Tabela2[Público-Alvo],MATCH($A86,Tabela2[ID],0)),"")</f>
        <v>Sociedade</v>
      </c>
      <c r="E86" s="230">
        <f>IFERROR(INDEX(Tabela2[Início],MATCH($A86,Tabela2[ID],0)),"")</f>
        <v>42276</v>
      </c>
      <c r="F86" s="231">
        <f>IFERROR(INDEX(Tabela2[Total Part.],MATCH($A86,Tabela2[ID],0)),"")</f>
        <v>46</v>
      </c>
      <c r="G86" s="231">
        <f>IFERROR(INDEX(Tabela2[C.H.],MATCH($A86,Tabela2[ID],0)),"")</f>
        <v>20</v>
      </c>
      <c r="H86" s="231">
        <f>IFERROR(INDEX(Tabela2[Valor instrutoria],MATCH($A86,Tabela2[ID],0)),"")</f>
        <v>4076.52</v>
      </c>
      <c r="I86" s="232">
        <f>IFERROR(INDEX(Tabela2[Nota Av. Reação],MATCH($A86,Tabela2[ID],0)),"")</f>
        <v>0</v>
      </c>
      <c r="J86" s="241">
        <f t="shared" si="9"/>
        <v>2015</v>
      </c>
      <c r="K86" s="241">
        <f>IFERROR(INDEX(Tabela2[P. Sociedade],MATCH($A86,Tabela2[ID],0)),"")</f>
        <v>46</v>
      </c>
      <c r="L86" s="241">
        <f>IFERROR(INDEX(Tabela2[P. Jurisdicionados],MATCH($A86,Tabela2[ID],0)),"")</f>
        <v>0</v>
      </c>
      <c r="M86" s="241">
        <f>IFERROR(INDEX(Tabela2[P. Servidores],MATCH($A86,Tabela2[ID],0)),"")</f>
        <v>0</v>
      </c>
      <c r="N86" s="241" t="str">
        <f>IFERROR(INDEX(Tabela2[Status Evento],MATCH($A86,Tabela2[ID],0)),"")</f>
        <v>Realizado</v>
      </c>
      <c r="O86" s="241" t="str">
        <f>IFERROR(INDEX(Tabela2[Modalidade],MATCH($A86,Tabela2[ID],0)),"")</f>
        <v>Instrutoria Interna</v>
      </c>
    </row>
    <row r="87" spans="1:15" x14ac:dyDescent="0.25">
      <c r="A87" s="229" t="s">
        <v>158</v>
      </c>
      <c r="B87" s="247" t="str">
        <f>IFERROR(INDEX(Tabela2[Curso],MATCH($A87,Tabela2[ID],0)),"")</f>
        <v>CAPACITAÇÃO PARA CONSELHEIROS DE SAÚDE - Turma II</v>
      </c>
      <c r="C87" s="247"/>
      <c r="D87" s="229" t="str">
        <f>IFERROR(INDEX(Tabela2[Público-Alvo],MATCH($A87,Tabela2[ID],0)),"")</f>
        <v>Sociedade</v>
      </c>
      <c r="E87" s="230">
        <f>IFERROR(INDEX(Tabela2[Início],MATCH($A87,Tabela2[ID],0)),"")</f>
        <v>42325</v>
      </c>
      <c r="F87" s="231">
        <f>IFERROR(INDEX(Tabela2[Total Part.],MATCH($A87,Tabela2[ID],0)),"")</f>
        <v>46</v>
      </c>
      <c r="G87" s="231">
        <f>IFERROR(INDEX(Tabela2[C.H.],MATCH($A87,Tabela2[ID],0)),"")</f>
        <v>20</v>
      </c>
      <c r="H87" s="231">
        <f>IFERROR(INDEX(Tabela2[Valor instrutoria],MATCH($A87,Tabela2[ID],0)),"")</f>
        <v>4076.52</v>
      </c>
      <c r="I87" s="232">
        <f>IFERROR(INDEX(Tabela2[Nota Av. Reação],MATCH($A87,Tabela2[ID],0)),"")</f>
        <v>0</v>
      </c>
      <c r="J87" s="241">
        <f t="shared" si="9"/>
        <v>2015</v>
      </c>
      <c r="K87" s="241">
        <f>IFERROR(INDEX(Tabela2[P. Sociedade],MATCH($A87,Tabela2[ID],0)),"")</f>
        <v>46</v>
      </c>
      <c r="L87" s="241">
        <f>IFERROR(INDEX(Tabela2[P. Jurisdicionados],MATCH($A87,Tabela2[ID],0)),"")</f>
        <v>0</v>
      </c>
      <c r="M87" s="241">
        <f>IFERROR(INDEX(Tabela2[P. Servidores],MATCH($A87,Tabela2[ID],0)),"")</f>
        <v>0</v>
      </c>
      <c r="N87" s="241" t="str">
        <f>IFERROR(INDEX(Tabela2[Status Evento],MATCH($A87,Tabela2[ID],0)),"")</f>
        <v>Realizado</v>
      </c>
      <c r="O87" s="241" t="str">
        <f>IFERROR(INDEX(Tabela2[Modalidade],MATCH($A87,Tabela2[ID],0)),"")</f>
        <v>Instrutoria Interna</v>
      </c>
    </row>
    <row r="88" spans="1:15" x14ac:dyDescent="0.25">
      <c r="A88" s="229" t="s">
        <v>189</v>
      </c>
      <c r="B88" s="247" t="str">
        <f>IFERROR(INDEX(Tabela2[Curso],MATCH($A88,Tabela2[ID],0)),"")</f>
        <v>Capacitação para Conselheiros de Saúde</v>
      </c>
      <c r="C88" s="247"/>
      <c r="D88" s="229" t="str">
        <f>IFERROR(INDEX(Tabela2[Público-Alvo],MATCH($A88,Tabela2[ID],0)),"")</f>
        <v>Sociedade</v>
      </c>
      <c r="E88" s="230">
        <f>IFERROR(INDEX(Tabela2[Início],MATCH($A88,Tabela2[ID],0)),"")</f>
        <v>42548</v>
      </c>
      <c r="F88" s="231">
        <f>IFERROR(INDEX(Tabela2[Total Part.],MATCH($A88,Tabela2[ID],0)),"")</f>
        <v>45</v>
      </c>
      <c r="G88" s="231">
        <f>IFERROR(INDEX(Tabela2[C.H.],MATCH($A88,Tabela2[ID],0)),"")</f>
        <v>20</v>
      </c>
      <c r="H88" s="231">
        <f>IFERROR(INDEX(Tabela2[Valor instrutoria],MATCH($A88,Tabela2[ID],0)),"")</f>
        <v>7080.23</v>
      </c>
      <c r="I88" s="232">
        <f>IFERROR(INDEX(Tabela2[Nota Av. Reação],MATCH($A88,Tabela2[ID],0)),"")</f>
        <v>0</v>
      </c>
      <c r="J88" s="241">
        <f t="shared" si="9"/>
        <v>2016</v>
      </c>
      <c r="K88" s="241">
        <f>IFERROR(INDEX(Tabela2[P. Sociedade],MATCH($A88,Tabela2[ID],0)),"")</f>
        <v>45</v>
      </c>
      <c r="L88" s="241">
        <f>IFERROR(INDEX(Tabela2[P. Jurisdicionados],MATCH($A88,Tabela2[ID],0)),"")</f>
        <v>0</v>
      </c>
      <c r="M88" s="241">
        <f>IFERROR(INDEX(Tabela2[P. Servidores],MATCH($A88,Tabela2[ID],0)),"")</f>
        <v>0</v>
      </c>
      <c r="N88" s="241" t="str">
        <f>IFERROR(INDEX(Tabela2[Status Evento],MATCH($A88,Tabela2[ID],0)),"")</f>
        <v>Realizado</v>
      </c>
      <c r="O88" s="241" t="str">
        <f>IFERROR(INDEX(Tabela2[Modalidade],MATCH($A88,Tabela2[ID],0)),"")</f>
        <v>Instrutoria Interna</v>
      </c>
    </row>
    <row r="89" spans="1:15" x14ac:dyDescent="0.25">
      <c r="A89" s="229" t="s">
        <v>224</v>
      </c>
      <c r="B89" s="247" t="str">
        <f>IFERROR(INDEX(Tabela2[Curso],MATCH($A89,Tabela2[ID],0)),"")</f>
        <v>Processo de Contratação Pública na área de Saúde – Termos de Referência</v>
      </c>
      <c r="C89" s="247"/>
      <c r="D89" s="229" t="str">
        <f>IFERROR(INDEX(Tabela2[Público-Alvo],MATCH($A89,Tabela2[ID],0)),"")</f>
        <v>Jurisdicionados</v>
      </c>
      <c r="E89" s="230">
        <f>IFERROR(INDEX(Tabela2[Início],MATCH($A89,Tabela2[ID],0)),"")</f>
        <v>42597</v>
      </c>
      <c r="F89" s="231">
        <f>IFERROR(INDEX(Tabela2[Total Part.],MATCH($A89,Tabela2[ID],0)),"")</f>
        <v>71</v>
      </c>
      <c r="G89" s="231">
        <f>IFERROR(INDEX(Tabela2[C.H.],MATCH($A89,Tabela2[ID],0)),"")</f>
        <v>20</v>
      </c>
      <c r="H89" s="231">
        <f>IFERROR(INDEX(Tabela2[Valor instrutoria],MATCH($A89,Tabela2[ID],0)),"")</f>
        <v>9556.7000000000007</v>
      </c>
      <c r="I89" s="232">
        <f>IFERROR(INDEX(Tabela2[Nota Av. Reação],MATCH($A89,Tabela2[ID],0)),"")</f>
        <v>0</v>
      </c>
      <c r="J89" s="241">
        <f t="shared" si="9"/>
        <v>2016</v>
      </c>
      <c r="K89" s="241">
        <f>IFERROR(INDEX(Tabela2[P. Sociedade],MATCH($A89,Tabela2[ID],0)),"")</f>
        <v>0</v>
      </c>
      <c r="L89" s="241">
        <f>IFERROR(INDEX(Tabela2[P. Jurisdicionados],MATCH($A89,Tabela2[ID],0)),"")</f>
        <v>63</v>
      </c>
      <c r="M89" s="241">
        <f>IFERROR(INDEX(Tabela2[P. Servidores],MATCH($A89,Tabela2[ID],0)),"")</f>
        <v>8</v>
      </c>
      <c r="N89" s="241" t="str">
        <f>IFERROR(INDEX(Tabela2[Status Evento],MATCH($A89,Tabela2[ID],0)),"")</f>
        <v>Realizado</v>
      </c>
      <c r="O89" s="241" t="str">
        <f>IFERROR(INDEX(Tabela2[Modalidade],MATCH($A89,Tabela2[ID],0)),"")</f>
        <v>Híbrida</v>
      </c>
    </row>
    <row r="90" spans="1:15" x14ac:dyDescent="0.25">
      <c r="A90" s="229" t="s">
        <v>380</v>
      </c>
      <c r="B90" s="247" t="str">
        <f>IFERROR(INDEX(Tabela2[Curso],MATCH($A90,Tabela2[ID],0)),"")</f>
        <v>Capacitação para Conselheiros de Saúde</v>
      </c>
      <c r="C90" s="247"/>
      <c r="D90" s="229" t="str">
        <f>IFERROR(INDEX(Tabela2[Público-Alvo],MATCH($A90,Tabela2[ID],0)),"")</f>
        <v>Sociedade</v>
      </c>
      <c r="E90" s="230">
        <f>IFERROR(INDEX(Tabela2[Início],MATCH($A90,Tabela2[ID],0)),"")</f>
        <v>42919</v>
      </c>
      <c r="F90" s="231">
        <f>IFERROR(INDEX(Tabela2[Total Part.],MATCH($A90,Tabela2[ID],0)),"")</f>
        <v>49</v>
      </c>
      <c r="G90" s="231">
        <f>IFERROR(INDEX(Tabela2[C.H.],MATCH($A90,Tabela2[ID],0)),"")</f>
        <v>20</v>
      </c>
      <c r="H90" s="231">
        <f>IFERROR(INDEX(Tabela2[Valor instrutoria],MATCH($A90,Tabela2[ID],0)),"")</f>
        <v>7231.26</v>
      </c>
      <c r="I90" s="232">
        <f>IFERROR(INDEX(Tabela2[Nota Av. Reação],MATCH($A90,Tabela2[ID],0)),"")</f>
        <v>0</v>
      </c>
      <c r="J90" s="241">
        <f t="shared" si="9"/>
        <v>2017</v>
      </c>
      <c r="K90" s="241">
        <f>IFERROR(INDEX(Tabela2[P. Sociedade],MATCH($A90,Tabela2[ID],0)),"")</f>
        <v>49</v>
      </c>
      <c r="L90" s="241">
        <f>IFERROR(INDEX(Tabela2[P. Jurisdicionados],MATCH($A90,Tabela2[ID],0)),"")</f>
        <v>0</v>
      </c>
      <c r="M90" s="241">
        <f>IFERROR(INDEX(Tabela2[P. Servidores],MATCH($A90,Tabela2[ID],0)),"")</f>
        <v>0</v>
      </c>
      <c r="N90" s="241" t="str">
        <f>IFERROR(INDEX(Tabela2[Status Evento],MATCH($A90,Tabela2[ID],0)),"")</f>
        <v>Realizado</v>
      </c>
      <c r="O90" s="241" t="str">
        <f>IFERROR(INDEX(Tabela2[Modalidade],MATCH($A90,Tabela2[ID],0)),"")</f>
        <v>Instrutoria Interna</v>
      </c>
    </row>
    <row r="91" spans="1:15" x14ac:dyDescent="0.25">
      <c r="A91" s="229" t="s">
        <v>413</v>
      </c>
      <c r="B91" s="247" t="str">
        <f>IFERROR(INDEX(Tabela2[Curso],MATCH($A91,Tabela2[ID],0)),"")</f>
        <v>Regularidade nos Processo de Aquisição / Manutenção de Equipamentos médico-hospitalares – Termos de Referência</v>
      </c>
      <c r="C91" s="247"/>
      <c r="D91" s="229" t="str">
        <f>IFERROR(INDEX(Tabela2[Público-Alvo],MATCH($A91,Tabela2[ID],0)),"")</f>
        <v>Jurisdicionados</v>
      </c>
      <c r="E91" s="230">
        <f>IFERROR(INDEX(Tabela2[Início],MATCH($A91,Tabela2[ID],0)),"")</f>
        <v>43031</v>
      </c>
      <c r="F91" s="231">
        <f>IFERROR(INDEX(Tabela2[Total Part.],MATCH($A91,Tabela2[ID],0)),"")</f>
        <v>40</v>
      </c>
      <c r="G91" s="231">
        <f>IFERROR(INDEX(Tabela2[C.H.],MATCH($A91,Tabela2[ID],0)),"")</f>
        <v>20</v>
      </c>
      <c r="H91" s="231">
        <f>IFERROR(INDEX(Tabela2[Valor instrutoria],MATCH($A91,Tabela2[ID],0)),"")</f>
        <v>10272.4</v>
      </c>
      <c r="I91" s="232">
        <f>IFERROR(INDEX(Tabela2[Nota Av. Reação],MATCH($A91,Tabela2[ID],0)),"")</f>
        <v>0</v>
      </c>
      <c r="J91" s="241">
        <f t="shared" si="9"/>
        <v>2017</v>
      </c>
      <c r="K91" s="241">
        <f>IFERROR(INDEX(Tabela2[P. Sociedade],MATCH($A91,Tabela2[ID],0)),"")</f>
        <v>0</v>
      </c>
      <c r="L91" s="241">
        <f>IFERROR(INDEX(Tabela2[P. Jurisdicionados],MATCH($A91,Tabela2[ID],0)),"")</f>
        <v>40</v>
      </c>
      <c r="M91" s="241">
        <f>IFERROR(INDEX(Tabela2[P. Servidores],MATCH($A91,Tabela2[ID],0)),"")</f>
        <v>0</v>
      </c>
      <c r="N91" s="241" t="str">
        <f>IFERROR(INDEX(Tabela2[Status Evento],MATCH($A91,Tabela2[ID],0)),"")</f>
        <v>Realizado</v>
      </c>
      <c r="O91" s="241" t="str">
        <f>IFERROR(INDEX(Tabela2[Modalidade],MATCH($A91,Tabela2[ID],0)),"")</f>
        <v>Híbrida</v>
      </c>
    </row>
    <row r="92" spans="1:15" x14ac:dyDescent="0.25">
      <c r="A92" s="229" t="s">
        <v>422</v>
      </c>
      <c r="B92" s="247" t="str">
        <f>IFERROR(INDEX(Tabela2[Curso],MATCH($A92,Tabela2[ID],0)),"")</f>
        <v>Capacitação para Conselheiros de Saúde</v>
      </c>
      <c r="C92" s="247"/>
      <c r="D92" s="229" t="str">
        <f>IFERROR(INDEX(Tabela2[Público-Alvo],MATCH($A92,Tabela2[ID],0)),"")</f>
        <v>Sociedade</v>
      </c>
      <c r="E92" s="230">
        <f>IFERROR(INDEX(Tabela2[Início],MATCH($A92,Tabela2[ID],0)),"")</f>
        <v>43179</v>
      </c>
      <c r="F92" s="231">
        <f>IFERROR(INDEX(Tabela2[Total Part.],MATCH($A92,Tabela2[ID],0)),"")</f>
        <v>96</v>
      </c>
      <c r="G92" s="231">
        <f>IFERROR(INDEX(Tabela2[C.H.],MATCH($A92,Tabela2[ID],0)),"")</f>
        <v>20</v>
      </c>
      <c r="H92" s="231">
        <f>IFERROR(INDEX(Tabela2[Valor instrutoria],MATCH($A92,Tabela2[ID],0)),"")</f>
        <v>5647.92</v>
      </c>
      <c r="I92" s="232">
        <f>IFERROR(INDEX(Tabela2[Nota Av. Reação],MATCH($A92,Tabela2[ID],0)),"")</f>
        <v>0</v>
      </c>
      <c r="J92" s="241">
        <f t="shared" si="9"/>
        <v>2018</v>
      </c>
      <c r="K92" s="241">
        <f>IFERROR(INDEX(Tabela2[P. Sociedade],MATCH($A92,Tabela2[ID],0)),"")</f>
        <v>96</v>
      </c>
      <c r="L92" s="241">
        <f>IFERROR(INDEX(Tabela2[P. Jurisdicionados],MATCH($A92,Tabela2[ID],0)),"")</f>
        <v>0</v>
      </c>
      <c r="M92" s="241">
        <f>IFERROR(INDEX(Tabela2[P. Servidores],MATCH($A92,Tabela2[ID],0)),"")</f>
        <v>0</v>
      </c>
      <c r="N92" s="241" t="str">
        <f>IFERROR(INDEX(Tabela2[Status Evento],MATCH($A92,Tabela2[ID],0)),"")</f>
        <v>Realizado</v>
      </c>
      <c r="O92" s="241" t="str">
        <f>IFERROR(INDEX(Tabela2[Modalidade],MATCH($A92,Tabela2[ID],0)),"")</f>
        <v>Instrutoria Interna</v>
      </c>
    </row>
    <row r="93" spans="1:15" x14ac:dyDescent="0.25">
      <c r="A93" s="229" t="s">
        <v>821</v>
      </c>
      <c r="B93" s="247" t="str">
        <f>IFERROR(INDEX(Tabela2[Curso],MATCH($A93,Tabela2[ID],0)),"")</f>
        <v>Lançamento do Guia Orietador para Conselheiros de Saúde do DF</v>
      </c>
      <c r="C93" s="247"/>
      <c r="D93" s="229" t="str">
        <f>IFERROR(INDEX(Tabela2[Público-Alvo],MATCH($A93,Tabela2[ID],0)),"")</f>
        <v>Sociedade</v>
      </c>
      <c r="E93" s="230">
        <f>IFERROR(INDEX(Tabela2[Início],MATCH($A93,Tabela2[ID],0)),"")</f>
        <v>44325</v>
      </c>
      <c r="F93" s="231">
        <f>IFERROR(INDEX(Tabela2[Total Part.],MATCH($A93,Tabela2[ID],0)),"")</f>
        <v>36</v>
      </c>
      <c r="G93" s="231">
        <f>IFERROR(INDEX(Tabela2[C.H.],MATCH($A93,Tabela2[ID],0)),"")</f>
        <v>2</v>
      </c>
      <c r="H93" s="231">
        <f>IFERROR(INDEX(Tabela2[Valor instrutoria],MATCH($A93,Tabela2[ID],0)),"")</f>
        <v>11040</v>
      </c>
      <c r="I93" s="232">
        <f>IFERROR(INDEX(Tabela2[Nota Av. Reação],MATCH($A93,Tabela2[ID],0)),"")</f>
        <v>5</v>
      </c>
      <c r="J93" s="241">
        <f t="shared" si="9"/>
        <v>2021</v>
      </c>
      <c r="K93" s="241">
        <f>IFERROR(INDEX(Tabela2[P. Sociedade],MATCH($A93,Tabela2[ID],0)),"")</f>
        <v>36</v>
      </c>
      <c r="L93" s="241">
        <f>IFERROR(INDEX(Tabela2[P. Jurisdicionados],MATCH($A93,Tabela2[ID],0)),"")</f>
        <v>0</v>
      </c>
      <c r="M93" s="241">
        <f>IFERROR(INDEX(Tabela2[P. Servidores],MATCH($A93,Tabela2[ID],0)),"")</f>
        <v>0</v>
      </c>
      <c r="N93" s="241" t="str">
        <f>IFERROR(INDEX(Tabela2[Status Evento],MATCH($A93,Tabela2[ID],0)),"")</f>
        <v>Realizado</v>
      </c>
      <c r="O93" s="241" t="str">
        <f>IFERROR(INDEX(Tabela2[Modalidade],MATCH($A93,Tabela2[ID],0)),"")</f>
        <v>Instrutoria Interna</v>
      </c>
    </row>
    <row r="94" spans="1:15" x14ac:dyDescent="0.25">
      <c r="A94" s="229" t="s">
        <v>1206</v>
      </c>
      <c r="B94" s="247" t="str">
        <f>IFERROR(INDEX(Tabela2[Curso],MATCH($A94,Tabela2[ID],0)),"")</f>
        <v>Curso de Capacitação para Conselheiros de Saúde</v>
      </c>
      <c r="C94" s="247"/>
      <c r="D94" s="229" t="str">
        <f>IFERROR(INDEX(Tabela2[Público-Alvo],MATCH($A94,Tabela2[ID],0)),"")</f>
        <v>Sociedade</v>
      </c>
      <c r="E94" s="230">
        <f>IFERROR(INDEX(Tabela2[Início],MATCH($A94,Tabela2[ID],0)),"")</f>
        <v>44852</v>
      </c>
      <c r="F94" s="231">
        <f>IFERROR(INDEX(Tabela2[Total Part.],MATCH($A94,Tabela2[ID],0)),"")</f>
        <v>65</v>
      </c>
      <c r="G94" s="231">
        <f>IFERROR(INDEX(Tabela2[C.H.],MATCH($A94,Tabela2[ID],0)),"")</f>
        <v>16</v>
      </c>
      <c r="H94" s="231">
        <f>IFERROR(INDEX(Tabela2[Valor instrutoria],MATCH($A94,Tabela2[ID],0)),"")</f>
        <v>8000</v>
      </c>
      <c r="I94" s="232">
        <f>IFERROR(INDEX(Tabela2[Nota Av. Reação],MATCH($A94,Tabela2[ID],0)),"")</f>
        <v>4.9000000000000004</v>
      </c>
      <c r="J94" s="241">
        <f t="shared" si="9"/>
        <v>2022</v>
      </c>
      <c r="K94" s="241">
        <f>IFERROR(INDEX(Tabela2[P. Sociedade],MATCH($A94,Tabela2[ID],0)),"")</f>
        <v>64</v>
      </c>
      <c r="L94" s="241">
        <f>IFERROR(INDEX(Tabela2[P. Jurisdicionados],MATCH($A94,Tabela2[ID],0)),"")</f>
        <v>0</v>
      </c>
      <c r="M94" s="241">
        <f>IFERROR(INDEX(Tabela2[P. Servidores],MATCH($A94,Tabela2[ID],0)),"")</f>
        <v>1</v>
      </c>
      <c r="N94" s="241" t="str">
        <f>IFERROR(INDEX(Tabela2[Status Evento],MATCH($A94,Tabela2[ID],0)),"")</f>
        <v>Realizado</v>
      </c>
      <c r="O94" s="241" t="str">
        <f>IFERROR(INDEX(Tabela2[Modalidade],MATCH($A94,Tabela2[ID],0)),"")</f>
        <v>Instrutoria Interna</v>
      </c>
    </row>
    <row r="95" spans="1:15" x14ac:dyDescent="0.25">
      <c r="A95" s="229" t="s">
        <v>1240</v>
      </c>
      <c r="B95" s="247" t="str">
        <f>IFERROR(INDEX(Tabela2[Curso],MATCH($A95,Tabela2[ID],0)),"")</f>
        <v>Curso de capacitação para auditores - auditoria em saúde</v>
      </c>
      <c r="C95" s="247"/>
      <c r="D95" s="229" t="str">
        <f>IFERROR(INDEX(Tabela2[Público-Alvo],MATCH($A95,Tabela2[ID],0)),"")</f>
        <v>Híbrido</v>
      </c>
      <c r="E95" s="230">
        <f>IFERROR(INDEX(Tabela2[Início],MATCH($A95,Tabela2[ID],0)),"")</f>
        <v>44873</v>
      </c>
      <c r="F95" s="231">
        <f>IFERROR(INDEX(Tabela2[Total Part.],MATCH($A95,Tabela2[ID],0)),"")</f>
        <v>28</v>
      </c>
      <c r="G95" s="231">
        <f>IFERROR(INDEX(Tabela2[C.H.],MATCH($A95,Tabela2[ID],0)),"")</f>
        <v>20</v>
      </c>
      <c r="H95" s="231">
        <f>IFERROR(INDEX(Tabela2[Valor instrutoria],MATCH($A95,Tabela2[ID],0)),"")</f>
        <v>10000</v>
      </c>
      <c r="I95" s="232">
        <f>IFERROR(INDEX(Tabela2[Nota Av. Reação],MATCH($A95,Tabela2[ID],0)),"")</f>
        <v>4.5999999999999996</v>
      </c>
      <c r="J95" s="241">
        <f t="shared" si="9"/>
        <v>2022</v>
      </c>
      <c r="K95" s="241">
        <f>IFERROR(INDEX(Tabela2[P. Sociedade],MATCH($A95,Tabela2[ID],0)),"")</f>
        <v>0</v>
      </c>
      <c r="L95" s="241">
        <f>IFERROR(INDEX(Tabela2[P. Jurisdicionados],MATCH($A95,Tabela2[ID],0)),"")</f>
        <v>10</v>
      </c>
      <c r="M95" s="241">
        <f>IFERROR(INDEX(Tabela2[P. Servidores],MATCH($A95,Tabela2[ID],0)),"")</f>
        <v>18</v>
      </c>
      <c r="N95" s="241" t="str">
        <f>IFERROR(INDEX(Tabela2[Status Evento],MATCH($A95,Tabela2[ID],0)),"")</f>
        <v>Realizado</v>
      </c>
      <c r="O95" s="241" t="str">
        <f>IFERROR(INDEX(Tabela2[Modalidade],MATCH($A95,Tabela2[ID],0)),"")</f>
        <v>Instrutoria Interna</v>
      </c>
    </row>
    <row r="96" spans="1:15" x14ac:dyDescent="0.25">
      <c r="A96" s="229" t="s">
        <v>1420</v>
      </c>
      <c r="B96" s="247" t="str">
        <f>IFERROR(INDEX(Tabela2[Curso],MATCH($A96,Tabela2[ID],0)),"")</f>
        <v>Maratona Temática: Auditoria em saúde</v>
      </c>
      <c r="C96" s="247"/>
      <c r="D96" s="229" t="str">
        <f>IFERROR(INDEX(Tabela2[Público-Alvo],MATCH($A96,Tabela2[ID],0)),"")</f>
        <v>Servidores do TCDF</v>
      </c>
      <c r="E96" s="230">
        <f>IFERROR(INDEX(Tabela2[Início],MATCH($A96,Tabela2[ID],0)),"")</f>
        <v>45092</v>
      </c>
      <c r="F96" s="231">
        <f>IFERROR(INDEX(Tabela2[Total Part.],MATCH($A96,Tabela2[ID],0)),"")</f>
        <v>184</v>
      </c>
      <c r="G96" s="231">
        <f>IFERROR(INDEX(Tabela2[C.H.],MATCH($A96,Tabela2[ID],0)),"")</f>
        <v>10</v>
      </c>
      <c r="H96" s="231">
        <f>IFERROR(INDEX(Tabela2[Valor instrutoria],MATCH($A96,Tabela2[ID],0)),"")</f>
        <v>0</v>
      </c>
      <c r="I96" s="232">
        <f>IFERROR(INDEX(Tabela2[Nota Av. Reação],MATCH($A96,Tabela2[ID],0)),"")</f>
        <v>4.8</v>
      </c>
      <c r="J96" s="241">
        <f t="shared" si="9"/>
        <v>2023</v>
      </c>
      <c r="K96" s="241">
        <f>IFERROR(INDEX(Tabela2[P. Sociedade],MATCH($A96,Tabela2[ID],0)),"")</f>
        <v>0</v>
      </c>
      <c r="L96" s="241">
        <f>IFERROR(INDEX(Tabela2[P. Jurisdicionados],MATCH($A96,Tabela2[ID],0)),"")</f>
        <v>146</v>
      </c>
      <c r="M96" s="241">
        <f>IFERROR(INDEX(Tabela2[P. Servidores],MATCH($A96,Tabela2[ID],0)),"")</f>
        <v>38</v>
      </c>
      <c r="N96" s="241" t="str">
        <f>IFERROR(INDEX(Tabela2[Status Evento],MATCH($A96,Tabela2[ID],0)),"")</f>
        <v>Realizado</v>
      </c>
      <c r="O96" s="241" t="str">
        <f>IFERROR(INDEX(Tabela2[Modalidade],MATCH($A96,Tabela2[ID],0)),"")</f>
        <v>Instrutoria Externa</v>
      </c>
    </row>
    <row r="97" spans="1:15" x14ac:dyDescent="0.25">
      <c r="A97" s="229" t="s">
        <v>1430</v>
      </c>
      <c r="B97" s="247" t="str">
        <f>IFERROR(INDEX(Tabela2[Curso],MATCH($A97,Tabela2[ID],0)),"")</f>
        <v xml:space="preserve">Palestra sobre contratos em Saúde </v>
      </c>
      <c r="C97" s="247"/>
      <c r="D97" s="229" t="str">
        <f>IFERROR(INDEX(Tabela2[Público-Alvo],MATCH($A97,Tabela2[ID],0)),"")</f>
        <v>Servidores do TCDF</v>
      </c>
      <c r="E97" s="230">
        <f>IFERROR(INDEX(Tabela2[Início],MATCH($A97,Tabela2[ID],0)),"")</f>
        <v>45097</v>
      </c>
      <c r="F97" s="231">
        <f>IFERROR(INDEX(Tabela2[Total Part.],MATCH($A97,Tabela2[ID],0)),"")</f>
        <v>60</v>
      </c>
      <c r="G97" s="231">
        <f>IFERROR(INDEX(Tabela2[C.H.],MATCH($A97,Tabela2[ID],0)),"")</f>
        <v>2</v>
      </c>
      <c r="H97" s="231">
        <f>IFERROR(INDEX(Tabela2[Valor instrutoria],MATCH($A97,Tabela2[ID],0)),"")</f>
        <v>0</v>
      </c>
      <c r="I97" s="232">
        <f>IFERROR(INDEX(Tabela2[Nota Av. Reação],MATCH($A97,Tabela2[ID],0)),"")</f>
        <v>4.9000000000000004</v>
      </c>
      <c r="J97" s="241">
        <f t="shared" si="9"/>
        <v>2023</v>
      </c>
      <c r="K97" s="241">
        <f>IFERROR(INDEX(Tabela2[P. Sociedade],MATCH($A97,Tabela2[ID],0)),"")</f>
        <v>16</v>
      </c>
      <c r="L97" s="241">
        <f>IFERROR(INDEX(Tabela2[P. Jurisdicionados],MATCH($A97,Tabela2[ID],0)),"")</f>
        <v>0</v>
      </c>
      <c r="M97" s="241">
        <f>IFERROR(INDEX(Tabela2[P. Servidores],MATCH($A97,Tabela2[ID],0)),"")</f>
        <v>44</v>
      </c>
      <c r="N97" s="241" t="str">
        <f>IFERROR(INDEX(Tabela2[Status Evento],MATCH($A97,Tabela2[ID],0)),"")</f>
        <v>Realizado</v>
      </c>
      <c r="O97" s="241" t="str">
        <f>IFERROR(INDEX(Tabela2[Modalidade],MATCH($A97,Tabela2[ID],0)),"")</f>
        <v>Instrutoria Externa</v>
      </c>
    </row>
    <row r="98" spans="1:15" x14ac:dyDescent="0.25">
      <c r="A98" s="229" t="s">
        <v>1434</v>
      </c>
      <c r="B98" s="247" t="str">
        <f>IFERROR(INDEX(Tabela2[Curso],MATCH($A98,Tabela2[ID],0)),"")</f>
        <v>Curso de Capacitação para Conselheiros de Saúde - T1</v>
      </c>
      <c r="C98" s="247"/>
      <c r="D98" s="229" t="str">
        <f>IFERROR(INDEX(Tabela2[Público-Alvo],MATCH($A98,Tabela2[ID],0)),"")</f>
        <v>Sociedade</v>
      </c>
      <c r="E98" s="230">
        <f>IFERROR(INDEX(Tabela2[Início],MATCH($A98,Tabela2[ID],0)),"")</f>
        <v>45103</v>
      </c>
      <c r="F98" s="231">
        <f>IFERROR(INDEX(Tabela2[Total Part.],MATCH($A98,Tabela2[ID],0)),"")</f>
        <v>48</v>
      </c>
      <c r="G98" s="231">
        <f>IFERROR(INDEX(Tabela2[C.H.],MATCH($A98,Tabela2[ID],0)),"")</f>
        <v>20</v>
      </c>
      <c r="H98" s="231">
        <f>IFERROR(INDEX(Tabela2[Valor instrutoria],MATCH($A98,Tabela2[ID],0)),"")</f>
        <v>9935.3799999999992</v>
      </c>
      <c r="I98" s="232">
        <f>IFERROR(INDEX(Tabela2[Nota Av. Reação],MATCH($A98,Tabela2[ID],0)),"")</f>
        <v>4.9000000000000004</v>
      </c>
      <c r="J98" s="241">
        <f t="shared" si="9"/>
        <v>2023</v>
      </c>
      <c r="K98" s="241">
        <f>IFERROR(INDEX(Tabela2[P. Sociedade],MATCH($A98,Tabela2[ID],0)),"")</f>
        <v>45</v>
      </c>
      <c r="L98" s="241">
        <f>IFERROR(INDEX(Tabela2[P. Jurisdicionados],MATCH($A98,Tabela2[ID],0)),"")</f>
        <v>0</v>
      </c>
      <c r="M98" s="241">
        <f>IFERROR(INDEX(Tabela2[P. Servidores],MATCH($A98,Tabela2[ID],0)),"")</f>
        <v>3</v>
      </c>
      <c r="N98" s="241" t="str">
        <f>IFERROR(INDEX(Tabela2[Status Evento],MATCH($A98,Tabela2[ID],0)),"")</f>
        <v>Realizado</v>
      </c>
      <c r="O98" s="241" t="str">
        <f>IFERROR(INDEX(Tabela2[Modalidade],MATCH($A98,Tabela2[ID],0)),"")</f>
        <v>Instrutoria Interna</v>
      </c>
    </row>
    <row r="99" spans="1:15" x14ac:dyDescent="0.25">
      <c r="A99" s="229" t="s">
        <v>1548</v>
      </c>
      <c r="B99" s="247" t="str">
        <f>IFERROR(INDEX(Tabela2[Curso],MATCH($A99,Tabela2[ID],0)),"")</f>
        <v>Curso de Capacitação para Conselheiros de Saúde - Região Sudoeste T1</v>
      </c>
      <c r="C99" s="247"/>
      <c r="D99" s="229" t="str">
        <f>IFERROR(INDEX(Tabela2[Público-Alvo],MATCH($A99,Tabela2[ID],0)),"")</f>
        <v>Sociedade</v>
      </c>
      <c r="E99" s="230">
        <f>IFERROR(INDEX(Tabela2[Início],MATCH($A99,Tabela2[ID],0)),"")</f>
        <v>45202</v>
      </c>
      <c r="F99" s="231">
        <f>IFERROR(INDEX(Tabela2[Total Part.],MATCH($A99,Tabela2[ID],0)),"")</f>
        <v>57</v>
      </c>
      <c r="G99" s="231">
        <f>IFERROR(INDEX(Tabela2[C.H.],MATCH($A99,Tabela2[ID],0)),"")</f>
        <v>16</v>
      </c>
      <c r="H99" s="231">
        <f>IFERROR(INDEX(Tabela2[Valor instrutoria],MATCH($A99,Tabela2[ID],0)),"")</f>
        <v>7053.7266666666665</v>
      </c>
      <c r="I99" s="232">
        <f>IFERROR(INDEX(Tabela2[Nota Av. Reação],MATCH($A99,Tabela2[ID],0)),"")</f>
        <v>4.9000000000000004</v>
      </c>
      <c r="J99" s="241">
        <f t="shared" si="9"/>
        <v>2023</v>
      </c>
      <c r="K99" s="241">
        <f>IFERROR(INDEX(Tabela2[P. Sociedade],MATCH($A99,Tabela2[ID],0)),"")</f>
        <v>57</v>
      </c>
      <c r="L99" s="241">
        <f>IFERROR(INDEX(Tabela2[P. Jurisdicionados],MATCH($A99,Tabela2[ID],0)),"")</f>
        <v>0</v>
      </c>
      <c r="M99" s="241">
        <f>IFERROR(INDEX(Tabela2[P. Servidores],MATCH($A99,Tabela2[ID],0)),"")</f>
        <v>0</v>
      </c>
      <c r="N99" s="241" t="str">
        <f>IFERROR(INDEX(Tabela2[Status Evento],MATCH($A99,Tabela2[ID],0)),"")</f>
        <v>Realizado</v>
      </c>
      <c r="O99" s="241" t="str">
        <f>IFERROR(INDEX(Tabela2[Modalidade],MATCH($A99,Tabela2[ID],0)),"")</f>
        <v>Instrutoria Interna</v>
      </c>
    </row>
    <row r="100" spans="1:15" x14ac:dyDescent="0.25">
      <c r="A100" s="229" t="s">
        <v>1569</v>
      </c>
      <c r="B100" s="247" t="str">
        <f>IFERROR(INDEX(Tabela2[Curso],MATCH($A100,Tabela2[ID],0)),"")</f>
        <v>TCDF na sociedade: fiscalizações em saúde.</v>
      </c>
      <c r="C100" s="247"/>
      <c r="D100" s="229" t="str">
        <f>IFERROR(INDEX(Tabela2[Público-Alvo],MATCH($A100,Tabela2[ID],0)),"")</f>
        <v>Sociedade</v>
      </c>
      <c r="E100" s="230">
        <f>IFERROR(INDEX(Tabela2[Início],MATCH($A100,Tabela2[ID],0)),"")</f>
        <v>45209</v>
      </c>
      <c r="F100" s="231">
        <f>IFERROR(INDEX(Tabela2[Total Part.],MATCH($A100,Tabela2[ID],0)),"")</f>
        <v>39</v>
      </c>
      <c r="G100" s="231">
        <f>IFERROR(INDEX(Tabela2[C.H.],MATCH($A100,Tabela2[ID],0)),"")</f>
        <v>1</v>
      </c>
      <c r="H100" s="231">
        <f>IFERROR(INDEX(Tabela2[Valor instrutoria],MATCH($A100,Tabela2[ID],0)),"")</f>
        <v>500</v>
      </c>
      <c r="I100" s="232">
        <f>IFERROR(INDEX(Tabela2[Nota Av. Reação],MATCH($A100,Tabela2[ID],0)),"")</f>
        <v>5</v>
      </c>
      <c r="J100" s="241">
        <f t="shared" si="9"/>
        <v>2023</v>
      </c>
      <c r="K100" s="241">
        <f>IFERROR(INDEX(Tabela2[P. Sociedade],MATCH($A100,Tabela2[ID],0)),"")</f>
        <v>39</v>
      </c>
      <c r="L100" s="241">
        <f>IFERROR(INDEX(Tabela2[P. Jurisdicionados],MATCH($A100,Tabela2[ID],0)),"")</f>
        <v>0</v>
      </c>
      <c r="M100" s="241">
        <f>IFERROR(INDEX(Tabela2[P. Servidores],MATCH($A100,Tabela2[ID],0)),"")</f>
        <v>0</v>
      </c>
      <c r="N100" s="241" t="str">
        <f>IFERROR(INDEX(Tabela2[Status Evento],MATCH($A100,Tabela2[ID],0)),"")</f>
        <v>Realizado</v>
      </c>
      <c r="O100" s="241" t="str">
        <f>IFERROR(INDEX(Tabela2[Modalidade],MATCH($A100,Tabela2[ID],0)),"")</f>
        <v>Instrutoria Interna</v>
      </c>
    </row>
    <row r="101" spans="1:15" x14ac:dyDescent="0.25">
      <c r="A101" s="229" t="s">
        <v>1576</v>
      </c>
      <c r="B101" s="247" t="str">
        <f>IFERROR(INDEX(Tabela2[Curso],MATCH($A101,Tabela2[ID],0)),"")</f>
        <v>Curso de Capacitação para Conselheiros de Saúde - Região Sul T2</v>
      </c>
      <c r="C101" s="247"/>
      <c r="D101" s="229" t="str">
        <f>IFERROR(INDEX(Tabela2[Público-Alvo],MATCH($A101,Tabela2[ID],0)),"")</f>
        <v>Sociedade</v>
      </c>
      <c r="E101" s="230">
        <f>IFERROR(INDEX(Tabela2[Início],MATCH($A101,Tabela2[ID],0)),"")</f>
        <v>45216</v>
      </c>
      <c r="F101" s="231">
        <f>IFERROR(INDEX(Tabela2[Total Part.],MATCH($A101,Tabela2[ID],0)),"")</f>
        <v>53</v>
      </c>
      <c r="G101" s="231">
        <f>IFERROR(INDEX(Tabela2[C.H.],MATCH($A101,Tabela2[ID],0)),"")</f>
        <v>16</v>
      </c>
      <c r="H101" s="231">
        <f>IFERROR(INDEX(Tabela2[Valor instrutoria],MATCH($A101,Tabela2[ID],0)),"")</f>
        <v>7053.7266666666665</v>
      </c>
      <c r="I101" s="232">
        <f>IFERROR(INDEX(Tabela2[Nota Av. Reação],MATCH($A101,Tabela2[ID],0)),"")</f>
        <v>4.9000000000000004</v>
      </c>
      <c r="J101" s="241">
        <f t="shared" si="9"/>
        <v>2023</v>
      </c>
      <c r="K101" s="241">
        <f>IFERROR(INDEX(Tabela2[P. Sociedade],MATCH($A101,Tabela2[ID],0)),"")</f>
        <v>53</v>
      </c>
      <c r="L101" s="241">
        <f>IFERROR(INDEX(Tabela2[P. Jurisdicionados],MATCH($A101,Tabela2[ID],0)),"")</f>
        <v>0</v>
      </c>
      <c r="M101" s="241">
        <f>IFERROR(INDEX(Tabela2[P. Servidores],MATCH($A101,Tabela2[ID],0)),"")</f>
        <v>0</v>
      </c>
      <c r="N101" s="241" t="str">
        <f>IFERROR(INDEX(Tabela2[Status Evento],MATCH($A101,Tabela2[ID],0)),"")</f>
        <v>Realizado</v>
      </c>
      <c r="O101" s="241" t="str">
        <f>IFERROR(INDEX(Tabela2[Modalidade],MATCH($A101,Tabela2[ID],0)),"")</f>
        <v>Instrutoria Interna</v>
      </c>
    </row>
    <row r="102" spans="1:15" x14ac:dyDescent="0.25">
      <c r="A102" s="229" t="s">
        <v>1585</v>
      </c>
      <c r="B102" s="247" t="str">
        <f>IFERROR(INDEX(Tabela2[Curso],MATCH($A102,Tabela2[ID],0)),"")</f>
        <v>Curso de Capacitação para Conselheiros de Saúde - Centro Sul T3</v>
      </c>
      <c r="C102" s="247"/>
      <c r="D102" s="229" t="str">
        <f>IFERROR(INDEX(Tabela2[Público-Alvo],MATCH($A102,Tabela2[ID],0)),"")</f>
        <v>Sociedade</v>
      </c>
      <c r="E102" s="230">
        <f>IFERROR(INDEX(Tabela2[Início],MATCH($A102,Tabela2[ID],0)),"")</f>
        <v>45218</v>
      </c>
      <c r="F102" s="231">
        <f>IFERROR(INDEX(Tabela2[Total Part.],MATCH($A102,Tabela2[ID],0)),"")</f>
        <v>53</v>
      </c>
      <c r="G102" s="231">
        <f>IFERROR(INDEX(Tabela2[C.H.],MATCH($A102,Tabela2[ID],0)),"")</f>
        <v>16</v>
      </c>
      <c r="H102" s="231">
        <f>IFERROR(INDEX(Tabela2[Valor instrutoria],MATCH($A102,Tabela2[ID],0)),"")</f>
        <v>7053.7266666666665</v>
      </c>
      <c r="I102" s="232">
        <f>IFERROR(INDEX(Tabela2[Nota Av. Reação],MATCH($A102,Tabela2[ID],0)),"")</f>
        <v>4.9000000000000004</v>
      </c>
      <c r="J102" s="241">
        <f t="shared" si="9"/>
        <v>2023</v>
      </c>
      <c r="K102" s="241">
        <f>IFERROR(INDEX(Tabela2[P. Sociedade],MATCH($A102,Tabela2[ID],0)),"")</f>
        <v>53</v>
      </c>
      <c r="L102" s="241">
        <f>IFERROR(INDEX(Tabela2[P. Jurisdicionados],MATCH($A102,Tabela2[ID],0)),"")</f>
        <v>0</v>
      </c>
      <c r="M102" s="241">
        <f>IFERROR(INDEX(Tabela2[P. Servidores],MATCH($A102,Tabela2[ID],0)),"")</f>
        <v>0</v>
      </c>
      <c r="N102" s="241" t="str">
        <f>IFERROR(INDEX(Tabela2[Status Evento],MATCH($A102,Tabela2[ID],0)),"")</f>
        <v>Realizado</v>
      </c>
      <c r="O102" s="241" t="str">
        <f>IFERROR(INDEX(Tabela2[Modalidade],MATCH($A102,Tabela2[ID],0)),"")</f>
        <v>Instrutoria Interna</v>
      </c>
    </row>
    <row r="103" spans="1:15" x14ac:dyDescent="0.25">
      <c r="A103" s="229" t="s">
        <v>1607</v>
      </c>
      <c r="B103" s="247" t="str">
        <f>IFERROR(INDEX(Tabela2[Curso],MATCH($A103,Tabela2[ID],0)),"")</f>
        <v>Curso de Capacitação para Conselheiros de Saúde - Leste T4</v>
      </c>
      <c r="C103" s="247"/>
      <c r="D103" s="229" t="str">
        <f>IFERROR(INDEX(Tabela2[Público-Alvo],MATCH($A103,Tabela2[ID],0)),"")</f>
        <v>Sociedade</v>
      </c>
      <c r="E103" s="230">
        <f>IFERROR(INDEX(Tabela2[Início],MATCH($A103,Tabela2[ID],0)),"")</f>
        <v>45225</v>
      </c>
      <c r="F103" s="231">
        <f>IFERROR(INDEX(Tabela2[Total Part.],MATCH($A103,Tabela2[ID],0)),"")</f>
        <v>17</v>
      </c>
      <c r="G103" s="231">
        <f>IFERROR(INDEX(Tabela2[C.H.],MATCH($A103,Tabela2[ID],0)),"")</f>
        <v>16</v>
      </c>
      <c r="H103" s="231">
        <f>IFERROR(INDEX(Tabela2[Valor instrutoria],MATCH($A103,Tabela2[ID],0)),"")</f>
        <v>6412.48</v>
      </c>
      <c r="I103" s="232">
        <f>IFERROR(INDEX(Tabela2[Nota Av. Reação],MATCH($A103,Tabela2[ID],0)),"")</f>
        <v>4.7</v>
      </c>
      <c r="J103" s="241">
        <f t="shared" si="9"/>
        <v>2023</v>
      </c>
      <c r="K103" s="241">
        <f>IFERROR(INDEX(Tabela2[P. Sociedade],MATCH($A103,Tabela2[ID],0)),"")</f>
        <v>17</v>
      </c>
      <c r="L103" s="241">
        <f>IFERROR(INDEX(Tabela2[P. Jurisdicionados],MATCH($A103,Tabela2[ID],0)),"")</f>
        <v>0</v>
      </c>
      <c r="M103" s="241">
        <f>IFERROR(INDEX(Tabela2[P. Servidores],MATCH($A103,Tabela2[ID],0)),"")</f>
        <v>0</v>
      </c>
      <c r="N103" s="241" t="str">
        <f>IFERROR(INDEX(Tabela2[Status Evento],MATCH($A103,Tabela2[ID],0)),"")</f>
        <v>Realizado</v>
      </c>
      <c r="O103" s="241" t="str">
        <f>IFERROR(INDEX(Tabela2[Modalidade],MATCH($A103,Tabela2[ID],0)),"")</f>
        <v>Instrutoria Interna</v>
      </c>
    </row>
    <row r="104" spans="1:15" x14ac:dyDescent="0.25">
      <c r="A104" s="229" t="s">
        <v>1630</v>
      </c>
      <c r="B104" s="247" t="str">
        <f>IFERROR(INDEX(Tabela2[Curso],MATCH($A104,Tabela2[ID],0)),"")</f>
        <v>Curso de Capacitação para Conselheiros de Saúde - Central T5</v>
      </c>
      <c r="C104" s="247"/>
      <c r="D104" s="229" t="str">
        <f>IFERROR(INDEX(Tabela2[Público-Alvo],MATCH($A104,Tabela2[ID],0)),"")</f>
        <v>Sociedade</v>
      </c>
      <c r="E104" s="230">
        <f>IFERROR(INDEX(Tabela2[Início],MATCH($A104,Tabela2[ID],0)),"")</f>
        <v>45243</v>
      </c>
      <c r="F104" s="231">
        <f>IFERROR(INDEX(Tabela2[Total Part.],MATCH($A104,Tabela2[ID],0)),"")</f>
        <v>5</v>
      </c>
      <c r="G104" s="231">
        <f>IFERROR(INDEX(Tabela2[C.H.],MATCH($A104,Tabela2[ID],0)),"")</f>
        <v>16</v>
      </c>
      <c r="H104" s="231">
        <f>IFERROR(INDEX(Tabela2[Valor instrutoria],MATCH($A104,Tabela2[ID],0)),"")</f>
        <v>6412.48</v>
      </c>
      <c r="I104" s="232">
        <f>IFERROR(INDEX(Tabela2[Nota Av. Reação],MATCH($A104,Tabela2[ID],0)),"")</f>
        <v>4.9000000000000004</v>
      </c>
      <c r="J104" s="241">
        <f t="shared" si="9"/>
        <v>2023</v>
      </c>
      <c r="K104" s="241">
        <f>IFERROR(INDEX(Tabela2[P. Sociedade],MATCH($A104,Tabela2[ID],0)),"")</f>
        <v>5</v>
      </c>
      <c r="L104" s="241">
        <f>IFERROR(INDEX(Tabela2[P. Jurisdicionados],MATCH($A104,Tabela2[ID],0)),"")</f>
        <v>0</v>
      </c>
      <c r="M104" s="241">
        <f>IFERROR(INDEX(Tabela2[P. Servidores],MATCH($A104,Tabela2[ID],0)),"")</f>
        <v>0</v>
      </c>
      <c r="N104" s="241" t="str">
        <f>IFERROR(INDEX(Tabela2[Status Evento],MATCH($A104,Tabela2[ID],0)),"")</f>
        <v>Realizado</v>
      </c>
      <c r="O104" s="241" t="str">
        <f>IFERROR(INDEX(Tabela2[Modalidade],MATCH($A104,Tabela2[ID],0)),"")</f>
        <v>Instrutoria Interna</v>
      </c>
    </row>
    <row r="105" spans="1:15" x14ac:dyDescent="0.25">
      <c r="A105" s="229" t="s">
        <v>1637</v>
      </c>
      <c r="B105" s="247" t="str">
        <f>IFERROR(INDEX(Tabela2[Curso],MATCH($A105,Tabela2[ID],0)),"")</f>
        <v>Curso de Capacitação para Conselheiros de Saúde - Norte T6</v>
      </c>
      <c r="C105" s="247"/>
      <c r="D105" s="229" t="str">
        <f>IFERROR(INDEX(Tabela2[Público-Alvo],MATCH($A105,Tabela2[ID],0)),"")</f>
        <v>Sociedade</v>
      </c>
      <c r="E105" s="230">
        <f>IFERROR(INDEX(Tabela2[Início],MATCH($A105,Tabela2[ID],0)),"")</f>
        <v>45246</v>
      </c>
      <c r="F105" s="231">
        <f>IFERROR(INDEX(Tabela2[Total Part.],MATCH($A105,Tabela2[ID],0)),"")</f>
        <v>7</v>
      </c>
      <c r="G105" s="231">
        <f>IFERROR(INDEX(Tabela2[C.H.],MATCH($A105,Tabela2[ID],0)),"")</f>
        <v>16</v>
      </c>
      <c r="H105" s="231">
        <f>IFERROR(INDEX(Tabela2[Valor instrutoria],MATCH($A105,Tabela2[ID],0)),"")</f>
        <v>6412.48</v>
      </c>
      <c r="I105" s="232">
        <f>IFERROR(INDEX(Tabela2[Nota Av. Reação],MATCH($A105,Tabela2[ID],0)),"")</f>
        <v>4.7</v>
      </c>
      <c r="J105" s="241">
        <f t="shared" si="9"/>
        <v>2023</v>
      </c>
      <c r="K105" s="241">
        <f>IFERROR(INDEX(Tabela2[P. Sociedade],MATCH($A105,Tabela2[ID],0)),"")</f>
        <v>7</v>
      </c>
      <c r="L105" s="241">
        <f>IFERROR(INDEX(Tabela2[P. Jurisdicionados],MATCH($A105,Tabela2[ID],0)),"")</f>
        <v>0</v>
      </c>
      <c r="M105" s="241">
        <f>IFERROR(INDEX(Tabela2[P. Servidores],MATCH($A105,Tabela2[ID],0)),"")</f>
        <v>0</v>
      </c>
      <c r="N105" s="241" t="str">
        <f>IFERROR(INDEX(Tabela2[Status Evento],MATCH($A105,Tabela2[ID],0)),"")</f>
        <v>Realizado</v>
      </c>
      <c r="O105" s="241" t="str">
        <f>IFERROR(INDEX(Tabela2[Modalidade],MATCH($A105,Tabela2[ID],0)),"")</f>
        <v>Instrutoria Interna</v>
      </c>
    </row>
    <row r="106" spans="1:15" x14ac:dyDescent="0.25">
      <c r="A106" s="229" t="s">
        <v>1647</v>
      </c>
      <c r="B106" s="247" t="str">
        <f>IFERROR(INDEX(Tabela2[Curso],MATCH($A106,Tabela2[ID],0)),"")</f>
        <v>Curso de Capacitação para Conselheiros de Saúde - Oeste T7</v>
      </c>
      <c r="C106" s="247"/>
      <c r="D106" s="229" t="str">
        <f>IFERROR(INDEX(Tabela2[Público-Alvo],MATCH($A106,Tabela2[ID],0)),"")</f>
        <v>Sociedade</v>
      </c>
      <c r="E106" s="230">
        <f>IFERROR(INDEX(Tabela2[Início],MATCH($A106,Tabela2[ID],0)),"")</f>
        <v>45251</v>
      </c>
      <c r="F106" s="231">
        <f>IFERROR(INDEX(Tabela2[Total Part.],MATCH($A106,Tabela2[ID],0)),"")</f>
        <v>31</v>
      </c>
      <c r="G106" s="231">
        <f>IFERROR(INDEX(Tabela2[C.H.],MATCH($A106,Tabela2[ID],0)),"")</f>
        <v>16</v>
      </c>
      <c r="H106" s="231">
        <f>IFERROR(INDEX(Tabela2[Valor instrutoria],MATCH($A106,Tabela2[ID],0)),"")</f>
        <v>6412.48</v>
      </c>
      <c r="I106" s="232">
        <f>IFERROR(INDEX(Tabela2[Nota Av. Reação],MATCH($A106,Tabela2[ID],0)),"")</f>
        <v>4.9000000000000004</v>
      </c>
      <c r="J106" s="241">
        <f t="shared" si="9"/>
        <v>2023</v>
      </c>
      <c r="K106" s="241">
        <f>IFERROR(INDEX(Tabela2[P. Sociedade],MATCH($A106,Tabela2[ID],0)),"")</f>
        <v>31</v>
      </c>
      <c r="L106" s="241">
        <f>IFERROR(INDEX(Tabela2[P. Jurisdicionados],MATCH($A106,Tabela2[ID],0)),"")</f>
        <v>0</v>
      </c>
      <c r="M106" s="241">
        <f>IFERROR(INDEX(Tabela2[P. Servidores],MATCH($A106,Tabela2[ID],0)),"")</f>
        <v>0</v>
      </c>
      <c r="N106" s="241" t="str">
        <f>IFERROR(INDEX(Tabela2[Status Evento],MATCH($A106,Tabela2[ID],0)),"")</f>
        <v>Realizado</v>
      </c>
      <c r="O106" s="241" t="str">
        <f>IFERROR(INDEX(Tabela2[Modalidade],MATCH($A106,Tabela2[ID],0)),"")</f>
        <v>Instrutoria Interna</v>
      </c>
    </row>
    <row r="107" spans="1:15" x14ac:dyDescent="0.25">
      <c r="A107" s="229" t="s">
        <v>1679</v>
      </c>
      <c r="B107" s="247" t="str">
        <f>IFERROR(INDEX(Tabela2[Curso],MATCH($A107,Tabela2[ID],0)),"")</f>
        <v>Evento de Encerramento do 1º Ciclo do Curso de capacitação “in loco” para Conselheiros de Saúde do Distrito Federal.</v>
      </c>
      <c r="C107" s="247"/>
      <c r="D107" s="229" t="str">
        <f>IFERROR(INDEX(Tabela2[Público-Alvo],MATCH($A107,Tabela2[ID],0)),"")</f>
        <v>Sociedade</v>
      </c>
      <c r="E107" s="230">
        <f>IFERROR(INDEX(Tabela2[Início],MATCH($A107,Tabela2[ID],0)),"")</f>
        <v>45268</v>
      </c>
      <c r="F107" s="231">
        <f>IFERROR(INDEX(Tabela2[Total Part.],MATCH($A107,Tabela2[ID],0)),"")</f>
        <v>68</v>
      </c>
      <c r="G107" s="231">
        <f>IFERROR(INDEX(Tabela2[C.H.],MATCH($A107,Tabela2[ID],0)),"")</f>
        <v>4</v>
      </c>
      <c r="H107" s="231">
        <f>IFERROR(INDEX(Tabela2[Valor instrutoria],MATCH($A107,Tabela2[ID],0)),"")</f>
        <v>1603.12</v>
      </c>
      <c r="I107" s="232">
        <f>IFERROR(INDEX(Tabela2[Nota Av. Reação],MATCH($A107,Tabela2[ID],0)),"")</f>
        <v>5</v>
      </c>
      <c r="J107" s="241">
        <f t="shared" si="9"/>
        <v>2023</v>
      </c>
      <c r="K107" s="241">
        <f>IFERROR(INDEX(Tabela2[P. Sociedade],MATCH($A107,Tabela2[ID],0)),"")</f>
        <v>68</v>
      </c>
      <c r="L107" s="241">
        <f>IFERROR(INDEX(Tabela2[P. Jurisdicionados],MATCH($A107,Tabela2[ID],0)),"")</f>
        <v>0</v>
      </c>
      <c r="M107" s="241">
        <f>IFERROR(INDEX(Tabela2[P. Servidores],MATCH($A107,Tabela2[ID],0)),"")</f>
        <v>0</v>
      </c>
      <c r="N107" s="241" t="str">
        <f>IFERROR(INDEX(Tabela2[Status Evento],MATCH($A107,Tabela2[ID],0)),"")</f>
        <v>Realizado</v>
      </c>
      <c r="O107" s="241" t="str">
        <f>IFERROR(INDEX(Tabela2[Modalidade],MATCH($A107,Tabela2[ID],0)),"")</f>
        <v>Instrutoria Interna</v>
      </c>
    </row>
    <row r="108" spans="1:15" x14ac:dyDescent="0.25">
      <c r="A108" s="229" t="s">
        <v>1724</v>
      </c>
      <c r="B108" s="247" t="str">
        <f>IFERROR(INDEX(Tabela2[Curso],MATCH($A108,Tabela2[ID],0)),"")</f>
        <v>Curso de Capacitação para Conselheiros de Saúde (Turma 1)</v>
      </c>
      <c r="C108" s="247"/>
      <c r="D108" s="229" t="str">
        <f>IFERROR(INDEX(Tabela2[Público-Alvo],MATCH($A108,Tabela2[ID],0)),"")</f>
        <v>Sociedade</v>
      </c>
      <c r="E108" s="230">
        <f>IFERROR(INDEX(Tabela2[Início],MATCH($A108,Tabela2[ID],0)),"")</f>
        <v>45369</v>
      </c>
      <c r="F108" s="231">
        <f>IFERROR(INDEX(Tabela2[Total Part.],MATCH($A108,Tabela2[ID],0)),"")</f>
        <v>44</v>
      </c>
      <c r="G108" s="231">
        <f>IFERROR(INDEX(Tabela2[C.H.],MATCH($A108,Tabela2[ID],0)),"")</f>
        <v>20</v>
      </c>
      <c r="H108" s="231">
        <f>IFERROR(INDEX(Tabela2[Valor instrutoria],MATCH($A108,Tabela2[ID],0)),"")</f>
        <v>10420.280000000001</v>
      </c>
      <c r="I108" s="232">
        <f>IFERROR(INDEX(Tabela2[Nota Av. Reação],MATCH($A108,Tabela2[ID],0)),"")</f>
        <v>4.8</v>
      </c>
      <c r="J108" s="241">
        <f t="shared" si="9"/>
        <v>2024</v>
      </c>
      <c r="K108" s="241">
        <f>IFERROR(INDEX(Tabela2[P. Sociedade],MATCH($A108,Tabela2[ID],0)),"")</f>
        <v>44</v>
      </c>
      <c r="L108" s="241">
        <f>IFERROR(INDEX(Tabela2[P. Jurisdicionados],MATCH($A108,Tabela2[ID],0)),"")</f>
        <v>0</v>
      </c>
      <c r="M108" s="241">
        <f>IFERROR(INDEX(Tabela2[P. Servidores],MATCH($A108,Tabela2[ID],0)),"")</f>
        <v>0</v>
      </c>
      <c r="N108" s="241" t="str">
        <f>IFERROR(INDEX(Tabela2[Status Evento],MATCH($A108,Tabela2[ID],0)),"")</f>
        <v>Realizado</v>
      </c>
      <c r="O108" s="241" t="str">
        <f>IFERROR(INDEX(Tabela2[Modalidade],MATCH($A108,Tabela2[ID],0)),"")</f>
        <v>Instrutoria Interna</v>
      </c>
    </row>
    <row r="109" spans="1:15" x14ac:dyDescent="0.25">
      <c r="A109" s="229" t="s">
        <v>1810</v>
      </c>
      <c r="B109" s="247" t="str">
        <f>IFERROR(INDEX(Tabela2[Curso],MATCH($A109,Tabela2[ID],0)),"")</f>
        <v>Curso de Capacitação para Conselheiros de Saúde (Turma 2)</v>
      </c>
      <c r="C109" s="247"/>
      <c r="D109" s="229" t="str">
        <f>IFERROR(INDEX(Tabela2[Público-Alvo],MATCH($A109,Tabela2[ID],0)),"")</f>
        <v>Sociedade</v>
      </c>
      <c r="E109" s="230">
        <f>IFERROR(INDEX(Tabela2[Início],MATCH($A109,Tabela2[ID],0)),"")</f>
        <v>45425</v>
      </c>
      <c r="F109" s="231">
        <f>IFERROR(INDEX(Tabela2[Total Part.],MATCH($A109,Tabela2[ID],0)),"")</f>
        <v>62</v>
      </c>
      <c r="G109" s="231">
        <f>IFERROR(INDEX(Tabela2[C.H.],MATCH($A109,Tabela2[ID],0)),"")</f>
        <v>20</v>
      </c>
      <c r="H109" s="231">
        <f>IFERROR(INDEX(Tabela2[Valor instrutoria],MATCH($A109,Tabela2[ID],0)),"")</f>
        <v>10420.280000000001</v>
      </c>
      <c r="I109" s="232">
        <f>IFERROR(INDEX(Tabela2[Nota Av. Reação],MATCH($A109,Tabela2[ID],0)),"")</f>
        <v>4.8</v>
      </c>
      <c r="J109" s="241">
        <f t="shared" si="9"/>
        <v>2024</v>
      </c>
      <c r="K109" s="241">
        <f>IFERROR(INDEX(Tabela2[P. Sociedade],MATCH($A109,Tabela2[ID],0)),"")</f>
        <v>62</v>
      </c>
      <c r="L109" s="241">
        <f>IFERROR(INDEX(Tabela2[P. Jurisdicionados],MATCH($A109,Tabela2[ID],0)),"")</f>
        <v>0</v>
      </c>
      <c r="M109" s="241">
        <f>IFERROR(INDEX(Tabela2[P. Servidores],MATCH($A109,Tabela2[ID],0)),"")</f>
        <v>0</v>
      </c>
      <c r="N109" s="241" t="str">
        <f>IFERROR(INDEX(Tabela2[Status Evento],MATCH($A109,Tabela2[ID],0)),"")</f>
        <v>Realizado</v>
      </c>
      <c r="O109" s="241" t="str">
        <f>IFERROR(INDEX(Tabela2[Modalidade],MATCH($A109,Tabela2[ID],0)),"")</f>
        <v>Instrutoria Interna</v>
      </c>
    </row>
    <row r="110" spans="1:15" x14ac:dyDescent="0.25">
      <c r="A110" s="229" t="s">
        <v>1893</v>
      </c>
      <c r="B110" s="247" t="str">
        <f>IFERROR(INDEX(Tabela2[Curso],MATCH($A110,Tabela2[ID],0)),"")</f>
        <v>Ciclo de Capacitação para gestores de Contrato – SES/IGESDF T1</v>
      </c>
      <c r="C110" s="247"/>
      <c r="D110" s="229" t="str">
        <f>IFERROR(INDEX(Tabela2[Público-Alvo],MATCH($A110,Tabela2[ID],0)),"")</f>
        <v>Jurisdicionados</v>
      </c>
      <c r="E110" s="230">
        <f>IFERROR(INDEX(Tabela2[Início],MATCH($A110,Tabela2[ID],0)),"")</f>
        <v>45475</v>
      </c>
      <c r="F110" s="231">
        <f>IFERROR(INDEX(Tabela2[Total Part.],MATCH($A110,Tabela2[ID],0)),"")</f>
        <v>89</v>
      </c>
      <c r="G110" s="231">
        <f>IFERROR(INDEX(Tabela2[C.H.],MATCH($A110,Tabela2[ID],0)),"")</f>
        <v>12</v>
      </c>
      <c r="H110" s="231">
        <f>IFERROR(INDEX(Tabela2[Valor instrutoria],MATCH($A110,Tabela2[ID],0)),"")</f>
        <v>9416.2800000000007</v>
      </c>
      <c r="I110" s="232">
        <f>IFERROR(INDEX(Tabela2[Nota Av. Reação],MATCH($A110,Tabela2[ID],0)),"")</f>
        <v>4.5999999999999996</v>
      </c>
      <c r="J110" s="241">
        <f t="shared" si="9"/>
        <v>2024</v>
      </c>
      <c r="K110" s="241">
        <f>IFERROR(INDEX(Tabela2[P. Sociedade],MATCH($A110,Tabela2[ID],0)),"")</f>
        <v>0</v>
      </c>
      <c r="L110" s="241">
        <f>IFERROR(INDEX(Tabela2[P. Jurisdicionados],MATCH($A110,Tabela2[ID],0)),"")</f>
        <v>89</v>
      </c>
      <c r="M110" s="241">
        <f>IFERROR(INDEX(Tabela2[P. Servidores],MATCH($A110,Tabela2[ID],0)),"")</f>
        <v>0</v>
      </c>
      <c r="N110" s="241" t="str">
        <f>IFERROR(INDEX(Tabela2[Status Evento],MATCH($A110,Tabela2[ID],0)),"")</f>
        <v>Realizado</v>
      </c>
      <c r="O110" s="241" t="str">
        <f>IFERROR(INDEX(Tabela2[Modalidade],MATCH($A110,Tabela2[ID],0)),"")</f>
        <v>Instrutoria Interna</v>
      </c>
    </row>
    <row r="111" spans="1:15" x14ac:dyDescent="0.25">
      <c r="A111" s="229" t="s">
        <v>1977</v>
      </c>
      <c r="B111" s="247" t="str">
        <f>IFERROR(INDEX(Tabela2[Curso],MATCH($A111,Tabela2[ID],0)),"")</f>
        <v>Segundo Ciclo - Conselheiros de Saude - T1</v>
      </c>
      <c r="C111" s="247"/>
      <c r="D111" s="229" t="str">
        <f>IFERROR(INDEX(Tabela2[Público-Alvo],MATCH($A111,Tabela2[ID],0)),"")</f>
        <v>Sociedade</v>
      </c>
      <c r="E111" s="230">
        <f>IFERROR(INDEX(Tabela2[Início],MATCH($A111,Tabela2[ID],0)),"")</f>
        <v>45530</v>
      </c>
      <c r="F111" s="231">
        <f>IFERROR(INDEX(Tabela2[Total Part.],MATCH($A111,Tabela2[ID],0)),"")</f>
        <v>56</v>
      </c>
      <c r="G111" s="231">
        <f>IFERROR(INDEX(Tabela2[C.H.],MATCH($A111,Tabela2[ID],0)),"")</f>
        <v>20</v>
      </c>
      <c r="H111" s="231">
        <f>IFERROR(INDEX(Tabela2[Valor instrutoria],MATCH($A111,Tabela2[ID],0)),"")</f>
        <v>10181.9</v>
      </c>
      <c r="I111" s="232">
        <f>IFERROR(INDEX(Tabela2[Nota Av. Reação],MATCH($A111,Tabela2[ID],0)),"")</f>
        <v>4.8</v>
      </c>
      <c r="J111" s="241">
        <f t="shared" si="9"/>
        <v>2024</v>
      </c>
      <c r="K111" s="241">
        <f>IFERROR(INDEX(Tabela2[P. Sociedade],MATCH($A111,Tabela2[ID],0)),"")</f>
        <v>56</v>
      </c>
      <c r="L111" s="241">
        <f>IFERROR(INDEX(Tabela2[P. Jurisdicionados],MATCH($A111,Tabela2[ID],0)),"")</f>
        <v>0</v>
      </c>
      <c r="M111" s="241">
        <f>IFERROR(INDEX(Tabela2[P. Servidores],MATCH($A111,Tabela2[ID],0)),"")</f>
        <v>0</v>
      </c>
      <c r="N111" s="241" t="str">
        <f>IFERROR(INDEX(Tabela2[Status Evento],MATCH($A111,Tabela2[ID],0)),"")</f>
        <v>Realizado</v>
      </c>
      <c r="O111" s="241" t="str">
        <f>IFERROR(INDEX(Tabela2[Modalidade],MATCH($A111,Tabela2[ID],0)),"")</f>
        <v>Instrutoria Interna</v>
      </c>
    </row>
    <row r="112" spans="1:15" x14ac:dyDescent="0.25">
      <c r="A112" s="229" t="s">
        <v>2015</v>
      </c>
      <c r="B112" s="247" t="str">
        <f>IFERROR(INDEX(Tabela2[Curso],MATCH($A112,Tabela2[ID],0)),"")</f>
        <v>Segundo Ciclo - Conselheiro de Saude - T2</v>
      </c>
      <c r="C112" s="247"/>
      <c r="D112" s="229" t="str">
        <f>IFERROR(INDEX(Tabela2[Público-Alvo],MATCH($A112,Tabela2[ID],0)),"")</f>
        <v>Sociedade</v>
      </c>
      <c r="E112" s="230">
        <f>IFERROR(INDEX(Tabela2[Início],MATCH($A112,Tabela2[ID],0)),"")</f>
        <v>45558</v>
      </c>
      <c r="F112" s="231">
        <f>IFERROR(INDEX(Tabela2[Total Part.],MATCH($A112,Tabela2[ID],0)),"")</f>
        <v>61</v>
      </c>
      <c r="G112" s="231">
        <f>IFERROR(INDEX(Tabela2[C.H.],MATCH($A112,Tabela2[ID],0)),"")</f>
        <v>20</v>
      </c>
      <c r="H112" s="231">
        <f>IFERROR(INDEX(Tabela2[Valor instrutoria],MATCH($A112,Tabela2[ID],0)),"")</f>
        <v>10181.9</v>
      </c>
      <c r="I112" s="232">
        <f>IFERROR(INDEX(Tabela2[Nota Av. Reação],MATCH($A112,Tabela2[ID],0)),"")</f>
        <v>4.7</v>
      </c>
      <c r="J112" s="241">
        <f t="shared" si="9"/>
        <v>2024</v>
      </c>
      <c r="K112" s="241">
        <f>IFERROR(INDEX(Tabela2[P. Sociedade],MATCH($A112,Tabela2[ID],0)),"")</f>
        <v>61</v>
      </c>
      <c r="L112" s="241">
        <f>IFERROR(INDEX(Tabela2[P. Jurisdicionados],MATCH($A112,Tabela2[ID],0)),"")</f>
        <v>0</v>
      </c>
      <c r="M112" s="241">
        <f>IFERROR(INDEX(Tabela2[P. Servidores],MATCH($A112,Tabela2[ID],0)),"")</f>
        <v>0</v>
      </c>
      <c r="N112" s="241" t="str">
        <f>IFERROR(INDEX(Tabela2[Status Evento],MATCH($A112,Tabela2[ID],0)),"")</f>
        <v>Realizado</v>
      </c>
      <c r="O112" s="241" t="str">
        <f>IFERROR(INDEX(Tabela2[Modalidade],MATCH($A112,Tabela2[ID],0)),"")</f>
        <v>Instrutoria Interna</v>
      </c>
    </row>
    <row r="113" spans="1:15" x14ac:dyDescent="0.25">
      <c r="A113" s="229" t="s">
        <v>2051</v>
      </c>
      <c r="B113" s="247" t="str">
        <f>IFERROR(INDEX(Tabela2[Curso],MATCH($A113,Tabela2[ID],0)),"")</f>
        <v>Palestra “TCDF na sociedade: apresentação de resultados da auditoria em saúde realizada pelo TCDF”</v>
      </c>
      <c r="C113" s="247"/>
      <c r="D113" s="229" t="str">
        <f>IFERROR(INDEX(Tabela2[Público-Alvo],MATCH($A113,Tabela2[ID],0)),"")</f>
        <v>Sociedade</v>
      </c>
      <c r="E113" s="230">
        <f>IFERROR(INDEX(Tabela2[Início],MATCH($A113,Tabela2[ID],0)),"")</f>
        <v>45573</v>
      </c>
      <c r="F113" s="231">
        <f>IFERROR(INDEX(Tabela2[Total Part.],MATCH($A113,Tabela2[ID],0)),"")</f>
        <v>45</v>
      </c>
      <c r="G113" s="231">
        <f>IFERROR(INDEX(Tabela2[C.H.],MATCH($A113,Tabela2[ID],0)),"")</f>
        <v>1</v>
      </c>
      <c r="H113" s="231">
        <f>IFERROR(INDEX(Tabela2[Valor instrutoria],MATCH($A113,Tabela2[ID],0)),"")</f>
        <v>0</v>
      </c>
      <c r="I113" s="232">
        <f>IFERROR(INDEX(Tabela2[Nota Av. Reação],MATCH($A113,Tabela2[ID],0)),"")</f>
        <v>5</v>
      </c>
      <c r="J113" s="241">
        <f t="shared" si="9"/>
        <v>2024</v>
      </c>
      <c r="K113" s="241">
        <f>IFERROR(INDEX(Tabela2[P. Sociedade],MATCH($A113,Tabela2[ID],0)),"")</f>
        <v>45</v>
      </c>
      <c r="L113" s="241">
        <f>IFERROR(INDEX(Tabela2[P. Jurisdicionados],MATCH($A113,Tabela2[ID],0)),"")</f>
        <v>0</v>
      </c>
      <c r="M113" s="241">
        <f>IFERROR(INDEX(Tabela2[P. Servidores],MATCH($A113,Tabela2[ID],0)),"")</f>
        <v>0</v>
      </c>
      <c r="N113" s="241" t="str">
        <f>IFERROR(INDEX(Tabela2[Status Evento],MATCH($A113,Tabela2[ID],0)),"")</f>
        <v>Realizado</v>
      </c>
      <c r="O113" s="241" t="str">
        <f>IFERROR(INDEX(Tabela2[Modalidade],MATCH($A113,Tabela2[ID],0)),"")</f>
        <v>Instrutoria Interna</v>
      </c>
    </row>
    <row r="114" spans="1:15" x14ac:dyDescent="0.25">
      <c r="A114" s="229" t="s">
        <v>2069</v>
      </c>
      <c r="B114" s="247" t="str">
        <f>IFERROR(INDEX(Tabela2[Curso],MATCH($A114,Tabela2[ID],0)),"")</f>
        <v>Curso “Atendimento humanizado ao público na área da saúde” - T1</v>
      </c>
      <c r="C114" s="247"/>
      <c r="D114" s="229" t="str">
        <f>IFERROR(INDEX(Tabela2[Público-Alvo],MATCH($A114,Tabela2[ID],0)),"")</f>
        <v>Jurisdicionados</v>
      </c>
      <c r="E114" s="230">
        <f>IFERROR(INDEX(Tabela2[Início],MATCH($A114,Tabela2[ID],0)),"")</f>
        <v>45579</v>
      </c>
      <c r="F114" s="231">
        <f>IFERROR(INDEX(Tabela2[Total Part.],MATCH($A114,Tabela2[ID],0)),"")</f>
        <v>21</v>
      </c>
      <c r="G114" s="231">
        <f>IFERROR(INDEX(Tabela2[C.H.],MATCH($A114,Tabela2[ID],0)),"")</f>
        <v>16</v>
      </c>
      <c r="H114" s="231">
        <f>IFERROR(INDEX(Tabela2[Valor instrutoria],MATCH($A114,Tabela2[ID],0)),"")</f>
        <v>9067.76</v>
      </c>
      <c r="I114" s="232">
        <f>IFERROR(INDEX(Tabela2[Nota Av. Reação],MATCH($A114,Tabela2[ID],0)),"")</f>
        <v>4.7</v>
      </c>
      <c r="J114" s="241">
        <f t="shared" si="9"/>
        <v>2024</v>
      </c>
      <c r="K114" s="241">
        <f>IFERROR(INDEX(Tabela2[P. Sociedade],MATCH($A114,Tabela2[ID],0)),"")</f>
        <v>0</v>
      </c>
      <c r="L114" s="241">
        <f>IFERROR(INDEX(Tabela2[P. Jurisdicionados],MATCH($A114,Tabela2[ID],0)),"")</f>
        <v>21</v>
      </c>
      <c r="M114" s="241">
        <f>IFERROR(INDEX(Tabela2[P. Servidores],MATCH($A114,Tabela2[ID],0)),"")</f>
        <v>0</v>
      </c>
      <c r="N114" s="241" t="str">
        <f>IFERROR(INDEX(Tabela2[Status Evento],MATCH($A114,Tabela2[ID],0)),"")</f>
        <v>Realizado</v>
      </c>
      <c r="O114" s="241" t="str">
        <f>IFERROR(INDEX(Tabela2[Modalidade],MATCH($A114,Tabela2[ID],0)),"")</f>
        <v>Instrutoria Interna</v>
      </c>
    </row>
    <row r="115" spans="1:15" x14ac:dyDescent="0.25">
      <c r="A115" s="229" t="s">
        <v>2097</v>
      </c>
      <c r="B115" s="247" t="str">
        <f>IFERROR(INDEX(Tabela2[Curso],MATCH($A115,Tabela2[ID],0)),"")</f>
        <v>Segundo Ciclo - Conselheiro de Saude - T3</v>
      </c>
      <c r="C115" s="247"/>
      <c r="D115" s="229" t="str">
        <f>IFERROR(INDEX(Tabela2[Público-Alvo],MATCH($A115,Tabela2[ID],0)),"")</f>
        <v>Sociedade</v>
      </c>
      <c r="E115" s="230">
        <f>IFERROR(INDEX(Tabela2[Início],MATCH($A115,Tabela2[ID],0)),"")</f>
        <v>45586</v>
      </c>
      <c r="F115" s="231">
        <f>IFERROR(INDEX(Tabela2[Total Part.],MATCH($A115,Tabela2[ID],0)),"")</f>
        <v>66</v>
      </c>
      <c r="G115" s="231">
        <f>IFERROR(INDEX(Tabela2[C.H.],MATCH($A115,Tabela2[ID],0)),"")</f>
        <v>20</v>
      </c>
      <c r="H115" s="231">
        <f>IFERROR(INDEX(Tabela2[Valor instrutoria],MATCH($A115,Tabela2[ID],0)),"")</f>
        <v>10181.9</v>
      </c>
      <c r="I115" s="232">
        <f>IFERROR(INDEX(Tabela2[Nota Av. Reação],MATCH($A115,Tabela2[ID],0)),"")</f>
        <v>4.9000000000000004</v>
      </c>
      <c r="J115" s="241">
        <f t="shared" si="9"/>
        <v>2024</v>
      </c>
      <c r="K115" s="241">
        <f>IFERROR(INDEX(Tabela2[P. Sociedade],MATCH($A115,Tabela2[ID],0)),"")</f>
        <v>66</v>
      </c>
      <c r="L115" s="241">
        <f>IFERROR(INDEX(Tabela2[P. Jurisdicionados],MATCH($A115,Tabela2[ID],0)),"")</f>
        <v>0</v>
      </c>
      <c r="M115" s="241">
        <f>IFERROR(INDEX(Tabela2[P. Servidores],MATCH($A115,Tabela2[ID],0)),"")</f>
        <v>0</v>
      </c>
      <c r="N115" s="241" t="str">
        <f>IFERROR(INDEX(Tabela2[Status Evento],MATCH($A115,Tabela2[ID],0)),"")</f>
        <v>Realizado</v>
      </c>
      <c r="O115" s="241" t="str">
        <f>IFERROR(INDEX(Tabela2[Modalidade],MATCH($A115,Tabela2[ID],0)),"")</f>
        <v>Instrutoria Interna</v>
      </c>
    </row>
    <row r="116" spans="1:15" x14ac:dyDescent="0.25">
      <c r="A116" s="229" t="s">
        <v>2162</v>
      </c>
      <c r="B116" s="247" t="str">
        <f>IFERROR(INDEX(Tabela2[Curso],MATCH($A116,Tabela2[ID],0)),"")</f>
        <v>Curso “Atendimento humanizado ao público na área da saúde” - T2</v>
      </c>
      <c r="C116" s="247"/>
      <c r="D116" s="229" t="str">
        <f>IFERROR(INDEX(Tabela2[Público-Alvo],MATCH($A116,Tabela2[ID],0)),"")</f>
        <v>Jurisdicionados</v>
      </c>
      <c r="E116" s="230">
        <f>IFERROR(INDEX(Tabela2[Início],MATCH($A116,Tabela2[ID],0)),"")</f>
        <v>45621</v>
      </c>
      <c r="F116" s="231">
        <f>IFERROR(INDEX(Tabela2[Total Part.],MATCH($A116,Tabela2[ID],0)),"")</f>
        <v>20</v>
      </c>
      <c r="G116" s="231">
        <f>IFERROR(INDEX(Tabela2[C.H.],MATCH($A116,Tabela2[ID],0)),"")</f>
        <v>16</v>
      </c>
      <c r="H116" s="231">
        <f>IFERROR(INDEX(Tabela2[Valor instrutoria],MATCH($A116,Tabela2[ID],0)),"")</f>
        <v>9067.76</v>
      </c>
      <c r="I116" s="232">
        <f>IFERROR(INDEX(Tabela2[Nota Av. Reação],MATCH($A116,Tabela2[ID],0)),"")</f>
        <v>4.9000000000000004</v>
      </c>
      <c r="J116" s="241">
        <f t="shared" si="9"/>
        <v>2024</v>
      </c>
      <c r="K116" s="241">
        <f>IFERROR(INDEX(Tabela2[P. Sociedade],MATCH($A116,Tabela2[ID],0)),"")</f>
        <v>0</v>
      </c>
      <c r="L116" s="241">
        <f>IFERROR(INDEX(Tabela2[P. Jurisdicionados],MATCH($A116,Tabela2[ID],0)),"")</f>
        <v>20</v>
      </c>
      <c r="M116" s="241">
        <f>IFERROR(INDEX(Tabela2[P. Servidores],MATCH($A116,Tabela2[ID],0)),"")</f>
        <v>0</v>
      </c>
      <c r="N116" s="241" t="str">
        <f>IFERROR(INDEX(Tabela2[Status Evento],MATCH($A116,Tabela2[ID],0)),"")</f>
        <v>Realizado</v>
      </c>
      <c r="O116" s="241" t="str">
        <f>IFERROR(INDEX(Tabela2[Modalidade],MATCH($A116,Tabela2[ID],0)),"")</f>
        <v>Instrutoria Interna</v>
      </c>
    </row>
    <row r="117" spans="1:15" x14ac:dyDescent="0.25">
      <c r="A117" s="229" t="s">
        <v>2176</v>
      </c>
      <c r="B117" s="247" t="str">
        <f>IFERROR(INDEX(Tabela2[Curso],MATCH($A117,Tabela2[ID],0)),"")</f>
        <v>Maratona temática - Governança em Saúde</v>
      </c>
      <c r="C117" s="247"/>
      <c r="D117" s="229" t="str">
        <f>IFERROR(INDEX(Tabela2[Público-Alvo],MATCH($A117,Tabela2[ID],0)),"")</f>
        <v>Jurisdicionados</v>
      </c>
      <c r="E117" s="230">
        <f>IFERROR(INDEX(Tabela2[Início],MATCH($A117,Tabela2[ID],0)),"")</f>
        <v>45624</v>
      </c>
      <c r="F117" s="231">
        <f>IFERROR(INDEX(Tabela2[Total Part.],MATCH($A117,Tabela2[ID],0)),"")</f>
        <v>138</v>
      </c>
      <c r="G117" s="231">
        <f>IFERROR(INDEX(Tabela2[C.H.],MATCH($A117,Tabela2[ID],0)),"")</f>
        <v>8</v>
      </c>
      <c r="H117" s="231">
        <f>IFERROR(INDEX(Tabela2[Valor instrutoria],MATCH($A117,Tabela2[ID],0)),"")</f>
        <v>0</v>
      </c>
      <c r="I117" s="232">
        <f>IFERROR(INDEX(Tabela2[Nota Av. Reação],MATCH($A117,Tabela2[ID],0)),"")</f>
        <v>4.9000000000000004</v>
      </c>
      <c r="J117" s="241">
        <f t="shared" ref="J117:J142" si="10">VALUE(LEFT($A117,4))</f>
        <v>2024</v>
      </c>
      <c r="K117" s="241">
        <f>IFERROR(INDEX(Tabela2[P. Sociedade],MATCH($A117,Tabela2[ID],0)),"")</f>
        <v>23</v>
      </c>
      <c r="L117" s="241">
        <f>IFERROR(INDEX(Tabela2[P. Jurisdicionados],MATCH($A117,Tabela2[ID],0)),"")</f>
        <v>79</v>
      </c>
      <c r="M117" s="241">
        <f>IFERROR(INDEX(Tabela2[P. Servidores],MATCH($A117,Tabela2[ID],0)),"")</f>
        <v>36</v>
      </c>
      <c r="N117" s="241" t="str">
        <f>IFERROR(INDEX(Tabela2[Status Evento],MATCH($A117,Tabela2[ID],0)),"")</f>
        <v>Realizado</v>
      </c>
      <c r="O117" s="241" t="str">
        <f>IFERROR(INDEX(Tabela2[Modalidade],MATCH($A117,Tabela2[ID],0)),"")</f>
        <v>Híbrida</v>
      </c>
    </row>
    <row r="118" spans="1:15" x14ac:dyDescent="0.25">
      <c r="A118" s="229" t="s">
        <v>2180</v>
      </c>
      <c r="B118" s="247" t="str">
        <f>IFERROR(INDEX(Tabela2[Curso],MATCH($A118,Tabela2[ID],0)),"")</f>
        <v>Ciclo de Capacitação para gestores de Contrato – SES/IGESDF T2</v>
      </c>
      <c r="C118" s="247"/>
      <c r="D118" s="229" t="str">
        <f>IFERROR(INDEX(Tabela2[Público-Alvo],MATCH($A118,Tabela2[ID],0)),"")</f>
        <v>Jurisdicionados</v>
      </c>
      <c r="E118" s="230">
        <f>IFERROR(INDEX(Tabela2[Início],MATCH($A118,Tabela2[ID],0)),"")</f>
        <v>45628</v>
      </c>
      <c r="F118" s="231">
        <f>IFERROR(INDEX(Tabela2[Total Part.],MATCH($A118,Tabela2[ID],0)),"")</f>
        <v>19</v>
      </c>
      <c r="G118" s="231">
        <f>IFERROR(INDEX(Tabela2[C.H.],MATCH($A118,Tabela2[ID],0)),"")</f>
        <v>12</v>
      </c>
      <c r="H118" s="231">
        <f>IFERROR(INDEX(Tabela2[Valor instrutoria],MATCH($A118,Tabela2[ID],0)),"")</f>
        <v>9416.4599999999991</v>
      </c>
      <c r="I118" s="232">
        <f>IFERROR(INDEX(Tabela2[Nota Av. Reação],MATCH($A118,Tabela2[ID],0)),"")</f>
        <v>4.9000000000000004</v>
      </c>
      <c r="J118" s="241">
        <f t="shared" si="10"/>
        <v>2024</v>
      </c>
      <c r="K118" s="241">
        <f>IFERROR(INDEX(Tabela2[P. Sociedade],MATCH($A118,Tabela2[ID],0)),"")</f>
        <v>0</v>
      </c>
      <c r="L118" s="241">
        <f>IFERROR(INDEX(Tabela2[P. Jurisdicionados],MATCH($A118,Tabela2[ID],0)),"")</f>
        <v>19</v>
      </c>
      <c r="M118" s="241">
        <f>IFERROR(INDEX(Tabela2[P. Servidores],MATCH($A118,Tabela2[ID],0)),"")</f>
        <v>0</v>
      </c>
      <c r="N118" s="241" t="str">
        <f>IFERROR(INDEX(Tabela2[Status Evento],MATCH($A118,Tabela2[ID],0)),"")</f>
        <v>Realizado</v>
      </c>
      <c r="O118" s="241" t="str">
        <f>IFERROR(INDEX(Tabela2[Modalidade],MATCH($A118,Tabela2[ID],0)),"")</f>
        <v>Instrutoria Interna</v>
      </c>
    </row>
    <row r="119" spans="1:15" x14ac:dyDescent="0.25">
      <c r="A119" s="229" t="s">
        <v>2195</v>
      </c>
      <c r="B119" s="247" t="str">
        <f>IFERROR(INDEX(Tabela2[Curso],MATCH($A119,Tabela2[ID],0)),"")</f>
        <v>Segundo Ciclo - Conselheiro de Saude - T4</v>
      </c>
      <c r="C119" s="247"/>
      <c r="D119" s="229" t="str">
        <f>IFERROR(INDEX(Tabela2[Público-Alvo],MATCH($A119,Tabela2[ID],0)),"")</f>
        <v>Sociedade</v>
      </c>
      <c r="E119" s="230">
        <f>IFERROR(INDEX(Tabela2[Início],MATCH($A119,Tabela2[ID],0)),"")</f>
        <v>45635</v>
      </c>
      <c r="F119" s="231">
        <f>IFERROR(INDEX(Tabela2[Total Part.],MATCH($A119,Tabela2[ID],0)),"")</f>
        <v>94</v>
      </c>
      <c r="G119" s="231">
        <f>IFERROR(INDEX(Tabela2[C.H.],MATCH($A119,Tabela2[ID],0)),"")</f>
        <v>20</v>
      </c>
      <c r="H119" s="231">
        <f>IFERROR(INDEX(Tabela2[Valor instrutoria],MATCH($A119,Tabela2[ID],0)),"")</f>
        <v>10181.9</v>
      </c>
      <c r="I119" s="232">
        <f>IFERROR(INDEX(Tabela2[Nota Av. Reação],MATCH($A119,Tabela2[ID],0)),"")</f>
        <v>4.9000000000000004</v>
      </c>
      <c r="J119" s="241">
        <f t="shared" si="10"/>
        <v>2024</v>
      </c>
      <c r="K119" s="241">
        <f>IFERROR(INDEX(Tabela2[P. Sociedade],MATCH($A119,Tabela2[ID],0)),"")</f>
        <v>94</v>
      </c>
      <c r="L119" s="241">
        <f>IFERROR(INDEX(Tabela2[P. Jurisdicionados],MATCH($A119,Tabela2[ID],0)),"")</f>
        <v>0</v>
      </c>
      <c r="M119" s="241">
        <f>IFERROR(INDEX(Tabela2[P. Servidores],MATCH($A119,Tabela2[ID],0)),"")</f>
        <v>0</v>
      </c>
      <c r="N119" s="241" t="str">
        <f>IFERROR(INDEX(Tabela2[Status Evento],MATCH($A119,Tabela2[ID],0)),"")</f>
        <v>Realizado</v>
      </c>
      <c r="O119" s="241" t="str">
        <f>IFERROR(INDEX(Tabela2[Modalidade],MATCH($A119,Tabela2[ID],0)),"")</f>
        <v>Instrutoria Interna</v>
      </c>
    </row>
    <row r="120" spans="1:15" x14ac:dyDescent="0.25">
      <c r="A120" s="229" t="s">
        <v>2209</v>
      </c>
      <c r="B120" s="247" t="str">
        <f>IFERROR(INDEX(Tabela2[Curso],MATCH($A120,Tabela2[ID],0)),"")</f>
        <v>Atendimento humanizado ao público na área da saúde - Turma 1</v>
      </c>
      <c r="C120" s="247"/>
      <c r="D120" s="229" t="str">
        <f>IFERROR(INDEX(Tabela2[Público-Alvo],MATCH($A120,Tabela2[ID],0)),"")</f>
        <v>Jurisdicionados</v>
      </c>
      <c r="E120" s="230">
        <f>IFERROR(INDEX(Tabela2[Início],MATCH($A120,Tabela2[ID],0)),"")</f>
        <v>45691</v>
      </c>
      <c r="F120" s="231">
        <f>IFERROR(INDEX(Tabela2[Total Part.],MATCH($A120,Tabela2[ID],0)),"")</f>
        <v>26</v>
      </c>
      <c r="G120" s="231">
        <f>IFERROR(INDEX(Tabela2[C.H.],MATCH($A120,Tabela2[ID],0)),"")</f>
        <v>16</v>
      </c>
      <c r="H120" s="231">
        <f>IFERROR(INDEX(Tabela2[Valor instrutoria],MATCH($A120,Tabela2[ID],0)),"")</f>
        <v>9067.76</v>
      </c>
      <c r="I120" s="232">
        <f>IFERROR(INDEX(Tabela2[Nota Av. Reação],MATCH($A120,Tabela2[ID],0)),"")</f>
        <v>4.7</v>
      </c>
      <c r="J120" s="241">
        <f t="shared" si="10"/>
        <v>2025</v>
      </c>
      <c r="K120" s="241">
        <f>IFERROR(INDEX(Tabela2[P. Sociedade],MATCH($A120,Tabela2[ID],0)),"")</f>
        <v>0</v>
      </c>
      <c r="L120" s="241">
        <f>IFERROR(INDEX(Tabela2[P. Jurisdicionados],MATCH($A120,Tabela2[ID],0)),"")</f>
        <v>26</v>
      </c>
      <c r="M120" s="241">
        <f>IFERROR(INDEX(Tabela2[P. Servidores],MATCH($A120,Tabela2[ID],0)),"")</f>
        <v>0</v>
      </c>
      <c r="N120" s="241" t="str">
        <f>IFERROR(INDEX(Tabela2[Status Evento],MATCH($A120,Tabela2[ID],0)),"")</f>
        <v>Realizado</v>
      </c>
      <c r="O120" s="241" t="str">
        <f>IFERROR(INDEX(Tabela2[Modalidade],MATCH($A120,Tabela2[ID],0)),"")</f>
        <v>Instrutoria Interna</v>
      </c>
    </row>
    <row r="121" spans="1:15" x14ac:dyDescent="0.25">
      <c r="A121" s="229" t="s">
        <v>2274</v>
      </c>
      <c r="B121" s="247" t="str">
        <f>IFERROR(INDEX(Tabela2[Curso],MATCH($A121,Tabela2[ID],0)),"")</f>
        <v>Curso de Formação para Conselheiros de Saúde do DF - nível iniciante</v>
      </c>
      <c r="C121" s="247"/>
      <c r="D121" s="229" t="str">
        <f>IFERROR(INDEX(Tabela2[Público-Alvo],MATCH($A121,Tabela2[ID],0)),"")</f>
        <v>Sociedade</v>
      </c>
      <c r="E121" s="230">
        <f>IFERROR(INDEX(Tabela2[Início],MATCH($A121,Tabela2[ID],0)),"")</f>
        <v>45733</v>
      </c>
      <c r="F121" s="231">
        <f>IFERROR(INDEX(Tabela2[Total Part.],MATCH($A121,Tabela2[ID],0)),"")</f>
        <v>38</v>
      </c>
      <c r="G121" s="231">
        <f>IFERROR(INDEX(Tabela2[C.H.],MATCH($A121,Tabela2[ID],0)),"")</f>
        <v>12</v>
      </c>
      <c r="H121" s="231">
        <f>IFERROR(INDEX(Tabela2[Valor instrutoria],MATCH($A121,Tabela2[ID],0)),"")</f>
        <v>5539.0999999999995</v>
      </c>
      <c r="I121" s="232">
        <f>IFERROR(INDEX(Tabela2[Nota Av. Reação],MATCH($A121,Tabela2[ID],0)),"")</f>
        <v>4.8</v>
      </c>
      <c r="J121" s="241">
        <f t="shared" si="10"/>
        <v>2025</v>
      </c>
      <c r="K121" s="241">
        <f>IFERROR(INDEX(Tabela2[P. Sociedade],MATCH($A121,Tabela2[ID],0)),"")</f>
        <v>38</v>
      </c>
      <c r="L121" s="241">
        <f>IFERROR(INDEX(Tabela2[P. Jurisdicionados],MATCH($A121,Tabela2[ID],0)),"")</f>
        <v>0</v>
      </c>
      <c r="M121" s="241">
        <f>IFERROR(INDEX(Tabela2[P. Servidores],MATCH($A121,Tabela2[ID],0)),"")</f>
        <v>0</v>
      </c>
      <c r="N121" s="241" t="str">
        <f>IFERROR(INDEX(Tabela2[Status Evento],MATCH($A121,Tabela2[ID],0)),"")</f>
        <v>Realizado</v>
      </c>
      <c r="O121" s="241" t="str">
        <f>IFERROR(INDEX(Tabela2[Modalidade],MATCH($A121,Tabela2[ID],0)),"")</f>
        <v>Híbrida</v>
      </c>
    </row>
    <row r="122" spans="1:15" x14ac:dyDescent="0.25">
      <c r="A122" s="229" t="s">
        <v>2282</v>
      </c>
      <c r="B122" s="247" t="str">
        <f>IFERROR(INDEX(Tabela2[Curso],MATCH($A122,Tabela2[ID],0)),"")</f>
        <v>Curso de Formação para Conselheiros de Saúde do DF - nível avançado</v>
      </c>
      <c r="C122" s="247"/>
      <c r="D122" s="229" t="str">
        <f>IFERROR(INDEX(Tabela2[Público-Alvo],MATCH($A122,Tabela2[ID],0)),"")</f>
        <v>Sociedade</v>
      </c>
      <c r="E122" s="230">
        <f>IFERROR(INDEX(Tabela2[Início],MATCH($A122,Tabela2[ID],0)),"")</f>
        <v>45740</v>
      </c>
      <c r="F122" s="231">
        <f>IFERROR(INDEX(Tabela2[Total Part.],MATCH($A122,Tabela2[ID],0)),"")</f>
        <v>38</v>
      </c>
      <c r="G122" s="231">
        <f>IFERROR(INDEX(Tabela2[C.H.],MATCH($A122,Tabela2[ID],0)),"")</f>
        <v>12</v>
      </c>
      <c r="H122" s="231">
        <f>IFERROR(INDEX(Tabela2[Valor instrutoria],MATCH($A122,Tabela2[ID],0)),"")</f>
        <v>5539.0999999999995</v>
      </c>
      <c r="I122" s="232">
        <f>IFERROR(INDEX(Tabela2[Nota Av. Reação],MATCH($A122,Tabela2[ID],0)),"")</f>
        <v>4.7</v>
      </c>
      <c r="J122" s="241">
        <f t="shared" si="10"/>
        <v>2025</v>
      </c>
      <c r="K122" s="241">
        <f>IFERROR(INDEX(Tabela2[P. Sociedade],MATCH($A122,Tabela2[ID],0)),"")</f>
        <v>38</v>
      </c>
      <c r="L122" s="241">
        <f>IFERROR(INDEX(Tabela2[P. Jurisdicionados],MATCH($A122,Tabela2[ID],0)),"")</f>
        <v>0</v>
      </c>
      <c r="M122" s="241">
        <f>IFERROR(INDEX(Tabela2[P. Servidores],MATCH($A122,Tabela2[ID],0)),"")</f>
        <v>0</v>
      </c>
      <c r="N122" s="241" t="str">
        <f>IFERROR(INDEX(Tabela2[Status Evento],MATCH($A122,Tabela2[ID],0)),"")</f>
        <v>Realizado</v>
      </c>
      <c r="O122" s="241" t="str">
        <f>IFERROR(INDEX(Tabela2[Modalidade],MATCH($A122,Tabela2[ID],0)),"")</f>
        <v>Híbrida</v>
      </c>
    </row>
    <row r="123" spans="1:15" x14ac:dyDescent="0.25">
      <c r="A123" s="229" t="s">
        <v>2306</v>
      </c>
      <c r="B123" s="247" t="str">
        <f>IFERROR(INDEX(Tabela2[Curso],MATCH($A123,Tabela2[ID],0)),"")</f>
        <v>Curso “Atendimento humanizado ao público na área da saúde” - T2</v>
      </c>
      <c r="C123" s="247"/>
      <c r="D123" s="229" t="str">
        <f>IFERROR(INDEX(Tabela2[Público-Alvo],MATCH($A123,Tabela2[ID],0)),"")</f>
        <v>Jurisdicionados</v>
      </c>
      <c r="E123" s="230">
        <f>IFERROR(INDEX(Tabela2[Início],MATCH($A123,Tabela2[ID],0)),"")</f>
        <v>45754</v>
      </c>
      <c r="F123" s="231">
        <f>IFERROR(INDEX(Tabela2[Total Part.],MATCH($A123,Tabela2[ID],0)),"")</f>
        <v>32</v>
      </c>
      <c r="G123" s="231">
        <f>IFERROR(INDEX(Tabela2[C.H.],MATCH($A123,Tabela2[ID],0)),"")</f>
        <v>16</v>
      </c>
      <c r="H123" s="231">
        <f>IFERROR(INDEX(Tabela2[Valor instrutoria],MATCH($A123,Tabela2[ID],0)),"")</f>
        <v>9067.76</v>
      </c>
      <c r="I123" s="232">
        <f>IFERROR(INDEX(Tabela2[Nota Av. Reação],MATCH($A123,Tabela2[ID],0)),"")</f>
        <v>5</v>
      </c>
      <c r="J123" s="241">
        <f t="shared" si="10"/>
        <v>2025</v>
      </c>
      <c r="K123" s="241">
        <f>IFERROR(INDEX(Tabela2[P. Sociedade],MATCH($A123,Tabela2[ID],0)),"")</f>
        <v>0</v>
      </c>
      <c r="L123" s="241">
        <f>IFERROR(INDEX(Tabela2[P. Jurisdicionados],MATCH($A123,Tabela2[ID],0)),"")</f>
        <v>32</v>
      </c>
      <c r="M123" s="241">
        <f>IFERROR(INDEX(Tabela2[P. Servidores],MATCH($A123,Tabela2[ID],0)),"")</f>
        <v>0</v>
      </c>
      <c r="N123" s="241" t="str">
        <f>IFERROR(INDEX(Tabela2[Status Evento],MATCH($A123,Tabela2[ID],0)),"")</f>
        <v>Realizado</v>
      </c>
      <c r="O123" s="241" t="str">
        <f>IFERROR(INDEX(Tabela2[Modalidade],MATCH($A123,Tabela2[ID],0)),"")</f>
        <v>Instrutoria Interna</v>
      </c>
    </row>
    <row r="124" spans="1:15" x14ac:dyDescent="0.25">
      <c r="A124" s="229" t="s">
        <v>2356</v>
      </c>
      <c r="B124" s="247" t="str">
        <f>IFERROR(INDEX(Tabela2[Curso],MATCH($A124,Tabela2[ID],0)),"")</f>
        <v>Curso de Formação para Conselheiros de Saúde do DF - nível iniciante - T2</v>
      </c>
      <c r="C124" s="247"/>
      <c r="D124" s="229" t="str">
        <f>IFERROR(INDEX(Tabela2[Público-Alvo],MATCH($A124,Tabela2[ID],0)),"")</f>
        <v>Sociedade</v>
      </c>
      <c r="E124" s="230">
        <f>IFERROR(INDEX(Tabela2[Início],MATCH($A124,Tabela2[ID],0)),"")</f>
        <v>45789</v>
      </c>
      <c r="F124" s="231">
        <f>IFERROR(INDEX(Tabela2[Total Part.],MATCH($A124,Tabela2[ID],0)),"")</f>
        <v>41</v>
      </c>
      <c r="G124" s="231">
        <f>IFERROR(INDEX(Tabela2[C.H.],MATCH($A124,Tabela2[ID],0)),"")</f>
        <v>12</v>
      </c>
      <c r="H124" s="231">
        <f>IFERROR(INDEX(Tabela2[Valor instrutoria],MATCH($A124,Tabela2[ID],0)),"")</f>
        <v>5539.0999999999995</v>
      </c>
      <c r="I124" s="232">
        <f>IFERROR(INDEX(Tabela2[Nota Av. Reação],MATCH($A124,Tabela2[ID],0)),"")</f>
        <v>4.7</v>
      </c>
      <c r="J124" s="241">
        <f t="shared" si="10"/>
        <v>2025</v>
      </c>
      <c r="K124" s="241">
        <f>IFERROR(INDEX(Tabela2[P. Sociedade],MATCH($A124,Tabela2[ID],0)),"")</f>
        <v>33</v>
      </c>
      <c r="L124" s="241">
        <f>IFERROR(INDEX(Tabela2[P. Jurisdicionados],MATCH($A124,Tabela2[ID],0)),"")</f>
        <v>8</v>
      </c>
      <c r="M124" s="241">
        <f>IFERROR(INDEX(Tabela2[P. Servidores],MATCH($A124,Tabela2[ID],0)),"")</f>
        <v>0</v>
      </c>
      <c r="N124" s="241" t="str">
        <f>IFERROR(INDEX(Tabela2[Status Evento],MATCH($A124,Tabela2[ID],0)),"")</f>
        <v>Realizado</v>
      </c>
      <c r="O124" s="241" t="str">
        <f>IFERROR(INDEX(Tabela2[Modalidade],MATCH($A124,Tabela2[ID],0)),"")</f>
        <v>Instrutoria Interna</v>
      </c>
    </row>
    <row r="125" spans="1:15" x14ac:dyDescent="0.25">
      <c r="A125" s="229" t="s">
        <v>2389</v>
      </c>
      <c r="B125" s="247" t="str">
        <f>IFERROR(INDEX(Tabela2[Curso],MATCH($A125,Tabela2[ID],0)),"")</f>
        <v>Curso de Formação para Conselheiros de Saúde do DF - nível avançado- T2</v>
      </c>
      <c r="C125" s="247"/>
      <c r="D125" s="229" t="str">
        <f>IFERROR(INDEX(Tabela2[Público-Alvo],MATCH($A125,Tabela2[ID],0)),"")</f>
        <v>Sociedade</v>
      </c>
      <c r="E125" s="230">
        <f>IFERROR(INDEX(Tabela2[Início],MATCH($A125,Tabela2[ID],0)),"")</f>
        <v>45810</v>
      </c>
      <c r="F125" s="231">
        <f ca="1">IFERROR(INDEX(Tabela2[Total Part.],MATCH($A125,Tabela2[ID],0)),"")</f>
        <v>31</v>
      </c>
      <c r="G125" s="231">
        <f>IFERROR(INDEX(Tabela2[C.H.],MATCH($A125,Tabela2[ID],0)),"")</f>
        <v>12</v>
      </c>
      <c r="H125" s="231">
        <f>IFERROR(INDEX(Tabela2[Valor instrutoria],MATCH($A125,Tabela2[ID],0)),"")</f>
        <v>5539.1</v>
      </c>
      <c r="I125" s="232">
        <f>IFERROR(INDEX(Tabela2[Nota Av. Reação],MATCH($A125,Tabela2[ID],0)),"")</f>
        <v>4.8</v>
      </c>
      <c r="J125" s="241">
        <f t="shared" si="10"/>
        <v>2025</v>
      </c>
      <c r="K125" s="241">
        <f>IFERROR(INDEX(Tabela2[P. Sociedade],MATCH($A125,Tabela2[ID],0)),"")</f>
        <v>31</v>
      </c>
      <c r="L125" s="241">
        <f>IFERROR(INDEX(Tabela2[P. Jurisdicionados],MATCH($A125,Tabela2[ID],0)),"")</f>
        <v>0</v>
      </c>
      <c r="M125" s="241">
        <f>IFERROR(INDEX(Tabela2[P. Servidores],MATCH($A125,Tabela2[ID],0)),"")</f>
        <v>0</v>
      </c>
      <c r="N125" s="241" t="str">
        <f>IFERROR(INDEX(Tabela2[Status Evento],MATCH($A125,Tabela2[ID],0)),"")</f>
        <v>Realizado</v>
      </c>
      <c r="O125" s="241" t="str">
        <f>IFERROR(INDEX(Tabela2[Modalidade],MATCH($A125,Tabela2[ID],0)),"")</f>
        <v>Instrutoria Interna</v>
      </c>
    </row>
    <row r="126" spans="1:15" x14ac:dyDescent="0.25">
      <c r="A126" s="229" t="s">
        <v>2397</v>
      </c>
      <c r="B126" s="247" t="str">
        <f>IFERROR(INDEX(Tabela2[Curso],MATCH($A126,Tabela2[ID],0)),"")</f>
        <v>Palestra “TCDF na sociedade: apresentação de resultados da auditoria em saúde realizada pelo TCDF”</v>
      </c>
      <c r="C126" s="247"/>
      <c r="D126" s="229" t="str">
        <f>IFERROR(INDEX(Tabela2[Público-Alvo],MATCH($A126,Tabela2[ID],0)),"")</f>
        <v>Sociedade</v>
      </c>
      <c r="E126" s="230">
        <f>IFERROR(INDEX(Tabela2[Início],MATCH($A126,Tabela2[ID],0)),"")</f>
        <v>45812</v>
      </c>
      <c r="F126" s="231">
        <f>IFERROR(INDEX(Tabela2[Total Part.],MATCH($A126,Tabela2[ID],0)),"")</f>
        <v>30</v>
      </c>
      <c r="G126" s="231">
        <f>IFERROR(INDEX(Tabela2[C.H.],MATCH($A126,Tabela2[ID],0)),"")</f>
        <v>3</v>
      </c>
      <c r="H126" s="231">
        <f>IFERROR(INDEX(Tabela2[Valor instrutoria],MATCH($A126,Tabela2[ID],0)),"")</f>
        <v>1700.2</v>
      </c>
      <c r="I126" s="232">
        <f>IFERROR(INDEX(Tabela2[Nota Av. Reação],MATCH($A126,Tabela2[ID],0)),"")</f>
        <v>5</v>
      </c>
      <c r="J126" s="241">
        <f t="shared" si="10"/>
        <v>2025</v>
      </c>
      <c r="K126" s="241">
        <f>IFERROR(INDEX(Tabela2[P. Sociedade],MATCH($A126,Tabela2[ID],0)),"")</f>
        <v>30</v>
      </c>
      <c r="L126" s="241">
        <f>IFERROR(INDEX(Tabela2[P. Jurisdicionados],MATCH($A126,Tabela2[ID],0)),"")</f>
        <v>0</v>
      </c>
      <c r="M126" s="241">
        <f>IFERROR(INDEX(Tabela2[P. Servidores],MATCH($A126,Tabela2[ID],0)),"")</f>
        <v>0</v>
      </c>
      <c r="N126" s="241" t="str">
        <f>IFERROR(INDEX(Tabela2[Status Evento],MATCH($A126,Tabela2[ID],0)),"")</f>
        <v>Realizado</v>
      </c>
      <c r="O126" s="241" t="str">
        <f>IFERROR(INDEX(Tabela2[Modalidade],MATCH($A126,Tabela2[ID],0)),"")</f>
        <v>Instrutoria Interna</v>
      </c>
    </row>
    <row r="127" spans="1:15" x14ac:dyDescent="0.25">
      <c r="A127" s="229" t="s">
        <v>2417</v>
      </c>
      <c r="B127" s="247" t="str">
        <f>IFERROR(INDEX(Tabela2[Curso],MATCH($A127,Tabela2[ID],0)),"")</f>
        <v>Curso de Formação para Conselheiros de Saúde do DF - nível básico - T3</v>
      </c>
      <c r="C127" s="247"/>
      <c r="D127" s="229" t="str">
        <f>IFERROR(INDEX(Tabela2[Público-Alvo],MATCH($A127,Tabela2[ID],0)),"")</f>
        <v>Sociedade</v>
      </c>
      <c r="E127" s="230">
        <f>IFERROR(INDEX(Tabela2[Início],MATCH($A127,Tabela2[ID],0)),"")</f>
        <v>45831</v>
      </c>
      <c r="F127" s="231">
        <f>IFERROR(INDEX(Tabela2[Total Part.],MATCH($A127,Tabela2[ID],0)),"")</f>
        <v>42</v>
      </c>
      <c r="G127" s="231">
        <f>IFERROR(INDEX(Tabela2[C.H.],MATCH($A127,Tabela2[ID],0)),"")</f>
        <v>20</v>
      </c>
      <c r="H127" s="231">
        <f>IFERROR(INDEX(Tabela2[Valor instrutoria],MATCH($A127,Tabela2[ID],0)),"")</f>
        <v>11334.44</v>
      </c>
      <c r="I127" s="232">
        <f>IFERROR(INDEX(Tabela2[Nota Av. Reação],MATCH($A127,Tabela2[ID],0)),"")</f>
        <v>4.8</v>
      </c>
      <c r="J127" s="241">
        <f t="shared" si="10"/>
        <v>2025</v>
      </c>
      <c r="K127" s="241">
        <f>IFERROR(INDEX(Tabela2[P. Sociedade],MATCH($A127,Tabela2[ID],0)),"")</f>
        <v>42</v>
      </c>
      <c r="L127" s="241">
        <f>IFERROR(INDEX(Tabela2[P. Jurisdicionados],MATCH($A127,Tabela2[ID],0)),"")</f>
        <v>0</v>
      </c>
      <c r="M127" s="241">
        <f>IFERROR(INDEX(Tabela2[P. Servidores],MATCH($A127,Tabela2[ID],0)),"")</f>
        <v>0</v>
      </c>
      <c r="N127" s="241" t="str">
        <f>IFERROR(INDEX(Tabela2[Status Evento],MATCH($A127,Tabela2[ID],0)),"")</f>
        <v>Realizado</v>
      </c>
      <c r="O127" s="241" t="str">
        <f>IFERROR(INDEX(Tabela2[Modalidade],MATCH($A127,Tabela2[ID],0)),"")</f>
        <v>Instrutoria Interna</v>
      </c>
    </row>
    <row r="128" spans="1:15" x14ac:dyDescent="0.25">
      <c r="A128" s="229" t="s">
        <v>2500</v>
      </c>
      <c r="B128" s="247" t="str">
        <f>IFERROR(INDEX(Tabela2[Curso],MATCH($A128,Tabela2[ID],0)),"")</f>
        <v>Palestra “TCDF na sociedade: apresentação de resultados da auditoria em saúde realizada pelo TCDF” - T2</v>
      </c>
      <c r="C128" s="247"/>
      <c r="D128" s="229" t="str">
        <f>IFERROR(INDEX(Tabela2[Público-Alvo],MATCH($A128,Tabela2[ID],0)),"")</f>
        <v>Sociedade</v>
      </c>
      <c r="E128" s="230">
        <f>IFERROR(INDEX(Tabela2[Início],MATCH($A128,Tabela2[ID],0)),"")</f>
        <v>45881</v>
      </c>
      <c r="F128" s="231">
        <f>IFERROR(INDEX(Tabela2[Total Part.],MATCH($A128,Tabela2[ID],0)),"")</f>
        <v>31</v>
      </c>
      <c r="G128" s="231">
        <f>IFERROR(INDEX(Tabela2[C.H.],MATCH($A128,Tabela2[ID],0)),"")</f>
        <v>3</v>
      </c>
      <c r="H128" s="231">
        <f>IFERROR(INDEX(Tabela2[Valor instrutoria],MATCH($A128,Tabela2[ID],0)),"")</f>
        <v>1700.2</v>
      </c>
      <c r="I128" s="232">
        <f>IFERROR(INDEX(Tabela2[Nota Av. Reação],MATCH($A128,Tabela2[ID],0)),"")</f>
        <v>0</v>
      </c>
      <c r="J128" s="241">
        <f t="shared" si="10"/>
        <v>2025</v>
      </c>
      <c r="K128" s="241">
        <f>IFERROR(INDEX(Tabela2[P. Sociedade],MATCH($A128,Tabela2[ID],0)),"")</f>
        <v>31</v>
      </c>
      <c r="L128" s="241">
        <f>IFERROR(INDEX(Tabela2[P. Jurisdicionados],MATCH($A128,Tabela2[ID],0)),"")</f>
        <v>0</v>
      </c>
      <c r="M128" s="241">
        <f>IFERROR(INDEX(Tabela2[P. Servidores],MATCH($A128,Tabela2[ID],0)),"")</f>
        <v>0</v>
      </c>
      <c r="N128" s="241" t="str">
        <f>IFERROR(INDEX(Tabela2[Status Evento],MATCH($A128,Tabela2[ID],0)),"")</f>
        <v>Realizado</v>
      </c>
      <c r="O128" s="241" t="str">
        <f>IFERROR(INDEX(Tabela2[Modalidade],MATCH($A128,Tabela2[ID],0)),"")</f>
        <v>Instrutoria Interna</v>
      </c>
    </row>
    <row r="129" spans="1:15" x14ac:dyDescent="0.25">
      <c r="A129" s="229" t="s">
        <v>2607</v>
      </c>
      <c r="B129" s="247" t="str">
        <f>IFERROR(INDEX(Tabela2[Curso],MATCH($A129,Tabela2[ID],0)),"")</f>
        <v>Curso para gestores e fiscais de contrato – SES/DF</v>
      </c>
      <c r="C129" s="247"/>
      <c r="D129" s="229" t="str">
        <f>IFERROR(INDEX(Tabela2[Público-Alvo],MATCH($A129,Tabela2[ID],0)),"")</f>
        <v>Jurisdicionados</v>
      </c>
      <c r="E129" s="230">
        <f>IFERROR(INDEX(Tabela2[Início],MATCH($A129,Tabela2[ID],0)),"")</f>
        <v>45938</v>
      </c>
      <c r="F129" s="231">
        <f>IFERROR(INDEX(Tabela2[Total Part.],MATCH($A129,Tabela2[ID],0)),"")</f>
        <v>28</v>
      </c>
      <c r="G129" s="231">
        <f>IFERROR(INDEX(Tabela2[C.H.],MATCH($A129,Tabela2[ID],0)),"")</f>
        <v>12</v>
      </c>
      <c r="H129" s="231">
        <f>IFERROR(INDEX(Tabela2[Valor instrutoria],MATCH($A129,Tabela2[ID],0)),"")</f>
        <v>0</v>
      </c>
      <c r="I129" s="232">
        <f>IFERROR(INDEX(Tabela2[Nota Av. Reação],MATCH($A129,Tabela2[ID],0)),"")</f>
        <v>4.9000000000000004</v>
      </c>
      <c r="J129" s="241">
        <f t="shared" si="10"/>
        <v>2025</v>
      </c>
      <c r="K129" s="241">
        <f>IFERROR(INDEX(Tabela2[P. Sociedade],MATCH($A129,Tabela2[ID],0)),"")</f>
        <v>0</v>
      </c>
      <c r="L129" s="241">
        <f>IFERROR(INDEX(Tabela2[P. Jurisdicionados],MATCH($A129,Tabela2[ID],0)),"")</f>
        <v>28</v>
      </c>
      <c r="M129" s="241">
        <f>IFERROR(INDEX(Tabela2[P. Servidores],MATCH($A129,Tabela2[ID],0)),"")</f>
        <v>0</v>
      </c>
      <c r="N129" s="241" t="str">
        <f>IFERROR(INDEX(Tabela2[Status Evento],MATCH($A129,Tabela2[ID],0)),"")</f>
        <v>Realizado</v>
      </c>
      <c r="O129" s="241" t="str">
        <f>IFERROR(INDEX(Tabela2[Modalidade],MATCH($A129,Tabela2[ID],0)),"")</f>
        <v>Instrutoria Interna</v>
      </c>
    </row>
    <row r="130" spans="1:15" x14ac:dyDescent="0.25">
      <c r="A130" s="229" t="s">
        <v>2612</v>
      </c>
      <c r="B130" s="247" t="str">
        <f>IFERROR(INDEX(Tabela2[Curso],MATCH($A130,Tabela2[ID],0)),"")</f>
        <v>Curso de Formação para Conselheiros de Saúde do DF - nível avançado- T3</v>
      </c>
      <c r="C130" s="247"/>
      <c r="D130" s="229" t="str">
        <f>IFERROR(INDEX(Tabela2[Público-Alvo],MATCH($A130,Tabela2[ID],0)),"")</f>
        <v>Sociedade</v>
      </c>
      <c r="E130" s="230">
        <f>IFERROR(INDEX(Tabela2[Início],MATCH($A130,Tabela2[ID],0)),"")</f>
        <v>45944</v>
      </c>
      <c r="F130" s="231">
        <f>IFERROR(INDEX(Tabela2[Total Part.],MATCH($A130,Tabela2[ID],0)),"")</f>
        <v>30</v>
      </c>
      <c r="G130" s="231">
        <f>IFERROR(INDEX(Tabela2[C.H.],MATCH($A130,Tabela2[ID],0)),"")</f>
        <v>12</v>
      </c>
      <c r="H130" s="231">
        <f>IFERROR(INDEX(Tabela2[Valor instrutoria],MATCH($A130,Tabela2[ID],0)),"")</f>
        <v>0</v>
      </c>
      <c r="I130" s="232">
        <f>IFERROR(INDEX(Tabela2[Nota Av. Reação],MATCH($A130,Tabela2[ID],0)),"")</f>
        <v>4.8099999999999996</v>
      </c>
      <c r="J130" s="241">
        <f t="shared" si="10"/>
        <v>2025</v>
      </c>
      <c r="K130" s="241">
        <f>IFERROR(INDEX(Tabela2[P. Sociedade],MATCH($A130,Tabela2[ID],0)),"")</f>
        <v>30</v>
      </c>
      <c r="L130" s="241">
        <f>IFERROR(INDEX(Tabela2[P. Jurisdicionados],MATCH($A130,Tabela2[ID],0)),"")</f>
        <v>0</v>
      </c>
      <c r="M130" s="241">
        <f>IFERROR(INDEX(Tabela2[P. Servidores],MATCH($A130,Tabela2[ID],0)),"")</f>
        <v>0</v>
      </c>
      <c r="N130" s="241" t="str">
        <f>IFERROR(INDEX(Tabela2[Status Evento],MATCH($A130,Tabela2[ID],0)),"")</f>
        <v>Realizado</v>
      </c>
      <c r="O130" s="241" t="str">
        <f>IFERROR(INDEX(Tabela2[Modalidade],MATCH($A130,Tabela2[ID],0)),"")</f>
        <v>Instrutoria Interna</v>
      </c>
    </row>
    <row r="131" spans="1:15" x14ac:dyDescent="0.25">
      <c r="A131" s="229" t="s">
        <v>2633</v>
      </c>
      <c r="B131" s="247" t="str">
        <f>IFERROR(INDEX(Tabela2[Curso],MATCH($A131,Tabela2[ID],0)),"")</f>
        <v>Curso de Formação para Conselheiros de Saúde do DF - nível iniciante</v>
      </c>
      <c r="C131" s="247"/>
      <c r="D131" s="229" t="str">
        <f>IFERROR(INDEX(Tabela2[Público-Alvo],MATCH($A131,Tabela2[ID],0)),"")</f>
        <v>Sociedade</v>
      </c>
      <c r="E131" s="230">
        <f>IFERROR(INDEX(Tabela2[Início],MATCH($A131,Tabela2[ID],0)),"")</f>
        <v>45964</v>
      </c>
      <c r="F131" s="231">
        <f>IFERROR(INDEX(Tabela2[Total Part.],MATCH($A131,Tabela2[ID],0)),"")</f>
        <v>33</v>
      </c>
      <c r="G131" s="231">
        <f>IFERROR(INDEX(Tabela2[C.H.],MATCH($A131,Tabela2[ID],0)),"")</f>
        <v>20</v>
      </c>
      <c r="H131" s="231">
        <f>IFERROR(INDEX(Tabela2[Valor instrutoria],MATCH($A131,Tabela2[ID],0)),"")</f>
        <v>0</v>
      </c>
      <c r="I131" s="232">
        <f>IFERROR(INDEX(Tabela2[Nota Av. Reação],MATCH($A131,Tabela2[ID],0)),"")</f>
        <v>4.93</v>
      </c>
      <c r="J131" s="241">
        <f t="shared" si="10"/>
        <v>2025</v>
      </c>
      <c r="K131" s="241">
        <f>IFERROR(INDEX(Tabela2[P. Sociedade],MATCH($A131,Tabela2[ID],0)),"")</f>
        <v>33</v>
      </c>
      <c r="L131" s="241">
        <f>IFERROR(INDEX(Tabela2[P. Jurisdicionados],MATCH($A131,Tabela2[ID],0)),"")</f>
        <v>0</v>
      </c>
      <c r="M131" s="241">
        <f>IFERROR(INDEX(Tabela2[P. Servidores],MATCH($A131,Tabela2[ID],0)),"")</f>
        <v>0</v>
      </c>
      <c r="N131" s="241" t="str">
        <f>IFERROR(INDEX(Tabela2[Status Evento],MATCH($A131,Tabela2[ID],0)),"")</f>
        <v>Realizado</v>
      </c>
      <c r="O131" s="241" t="str">
        <f>IFERROR(INDEX(Tabela2[Modalidade],MATCH($A131,Tabela2[ID],0)),"")</f>
        <v>Instrutoria Interna</v>
      </c>
    </row>
    <row r="132" spans="1:15" x14ac:dyDescent="0.25">
      <c r="A132" s="229" t="s">
        <v>2817</v>
      </c>
      <c r="B132" s="247" t="str">
        <f>IFERROR(INDEX(Tabela2[Curso],MATCH($A132,Tabela2[ID],0)),"")</f>
        <v>Gestão e Fiscalização de Contratos de Equipamentos Médico Hospitalares e Serviços de Manutenção</v>
      </c>
      <c r="C132" s="247"/>
      <c r="D132" s="229" t="str">
        <f>IFERROR(INDEX(Tabela2[Público-Alvo],MATCH($A132,Tabela2[ID],0)),"")</f>
        <v>Jurisdicionados</v>
      </c>
      <c r="E132" s="230">
        <f>IFERROR(INDEX(Tabela2[Início],MATCH($A132,Tabela2[ID],0)),"")</f>
        <v>46078</v>
      </c>
      <c r="F132" s="231">
        <f>IFERROR(INDEX(Tabela2[Total Part.],MATCH($A132,Tabela2[ID],0)),"")</f>
        <v>44</v>
      </c>
      <c r="G132" s="231">
        <f>IFERROR(INDEX(Tabela2[C.H.],MATCH($A132,Tabela2[ID],0)),"")</f>
        <v>12</v>
      </c>
      <c r="H132" s="231">
        <f>IFERROR(INDEX(Tabela2[Valor instrutoria],MATCH($A132,Tabela2[ID],0)),"")</f>
        <v>9211.69</v>
      </c>
      <c r="I132" s="232">
        <f>IFERROR(INDEX(Tabela2[Nota Av. Reação],MATCH($A132,Tabela2[ID],0)),"")</f>
        <v>4.7699999999999996</v>
      </c>
      <c r="J132" s="241">
        <f t="shared" si="10"/>
        <v>2026</v>
      </c>
      <c r="K132" s="241">
        <f>IFERROR(INDEX(Tabela2[P. Sociedade],MATCH($A132,Tabela2[ID],0)),"")</f>
        <v>0</v>
      </c>
      <c r="L132" s="241">
        <f>IFERROR(INDEX(Tabela2[P. Jurisdicionados],MATCH($A132,Tabela2[ID],0)),"")</f>
        <v>44</v>
      </c>
      <c r="M132" s="241">
        <f>IFERROR(INDEX(Tabela2[P. Servidores],MATCH($A132,Tabela2[ID],0)),"")</f>
        <v>0</v>
      </c>
      <c r="N132" s="241" t="str">
        <f>IFERROR(INDEX(Tabela2[Status Evento],MATCH($A132,Tabela2[ID],0)),"")</f>
        <v>Realizado</v>
      </c>
      <c r="O132" s="241" t="str">
        <f>IFERROR(INDEX(Tabela2[Modalidade],MATCH($A132,Tabela2[ID],0)),"")</f>
        <v>Instrutoria Interna</v>
      </c>
    </row>
    <row r="133" spans="1:15" x14ac:dyDescent="0.25">
      <c r="A133" s="229" t="s">
        <v>2765</v>
      </c>
      <c r="B133" s="247" t="str">
        <f>IFERROR(INDEX(Tabela2[Curso],MATCH($A133,Tabela2[ID],0)),"")</f>
        <v>Curso para gestores e fiscais de contratos de serviços assistenciais complementares – SES/DF</v>
      </c>
      <c r="C133" s="247"/>
      <c r="D133" s="229" t="str">
        <f>IFERROR(INDEX(Tabela2[Público-Alvo],MATCH($A133,Tabela2[ID],0)),"")</f>
        <v>Jurisdicionados</v>
      </c>
      <c r="E133" s="230">
        <f>IFERROR(INDEX(Tabela2[Início],MATCH($A133,Tabela2[ID],0)),"")</f>
        <v>46085</v>
      </c>
      <c r="F133" s="231">
        <f>IFERROR(INDEX(Tabela2[Total Part.],MATCH($A133,Tabela2[ID],0)),"")</f>
        <v>20</v>
      </c>
      <c r="G133" s="231">
        <f>IFERROR(INDEX(Tabela2[C.H.],MATCH($A133,Tabela2[ID],0)),"")</f>
        <v>12</v>
      </c>
      <c r="H133" s="231">
        <f>IFERROR(INDEX(Tabela2[Valor instrutoria],MATCH($A133,Tabela2[ID],0)),"")</f>
        <v>9416</v>
      </c>
      <c r="I133" s="232">
        <f>IFERROR(INDEX(Tabela2[Nota Av. Reação],MATCH($A133,Tabela2[ID],0)),"")</f>
        <v>4.9000000000000004</v>
      </c>
      <c r="J133" s="241">
        <f t="shared" si="10"/>
        <v>2026</v>
      </c>
      <c r="K133" s="241">
        <f>IFERROR(INDEX(Tabela2[P. Sociedade],MATCH($A133,Tabela2[ID],0)),"")</f>
        <v>0</v>
      </c>
      <c r="L133" s="241">
        <f>IFERROR(INDEX(Tabela2[P. Jurisdicionados],MATCH($A133,Tabela2[ID],0)),"")</f>
        <v>20</v>
      </c>
      <c r="M133" s="241">
        <f>IFERROR(INDEX(Tabela2[P. Servidores],MATCH($A133,Tabela2[ID],0)),"")</f>
        <v>0</v>
      </c>
      <c r="N133" s="241" t="str">
        <f>IFERROR(INDEX(Tabela2[Status Evento],MATCH($A133,Tabela2[ID],0)),"")</f>
        <v>Realizado</v>
      </c>
      <c r="O133" s="241" t="str">
        <f>IFERROR(INDEX(Tabela2[Modalidade],MATCH($A133,Tabela2[ID],0)),"")</f>
        <v>Instrutoria Interna</v>
      </c>
    </row>
    <row r="134" spans="1:15" x14ac:dyDescent="0.25">
      <c r="A134" s="229" t="s">
        <v>2770</v>
      </c>
      <c r="B134" s="247" t="str">
        <f>IFERROR(INDEX(Tabela2[Curso],MATCH($A134,Tabela2[ID],0)),"")</f>
        <v>Curso para gestores e fiscais de contratos de serviços assistenciais complementares – SES/DF - T2</v>
      </c>
      <c r="C134" s="247"/>
      <c r="D134" s="229" t="str">
        <f>IFERROR(INDEX(Tabela2[Público-Alvo],MATCH($A134,Tabela2[ID],0)),"")</f>
        <v>Jurisdicionados</v>
      </c>
      <c r="E134" s="230">
        <f>IFERROR(INDEX(Tabela2[Início],MATCH($A134,Tabela2[ID],0)),"")</f>
        <v>46120</v>
      </c>
      <c r="F134" s="231">
        <f>IFERROR(INDEX(Tabela2[Total Part.],MATCH($A134,Tabela2[ID],0)),"")</f>
        <v>27</v>
      </c>
      <c r="G134" s="231">
        <f>IFERROR(INDEX(Tabela2[C.H.],MATCH($A134,Tabela2[ID],0)),"")</f>
        <v>12</v>
      </c>
      <c r="H134" s="231">
        <f>IFERROR(INDEX(Tabela2[Valor instrutoria],MATCH($A134,Tabela2[ID],0)),"")</f>
        <v>9211.69</v>
      </c>
      <c r="I134" s="232">
        <f>IFERROR(INDEX(Tabela2[Nota Av. Reação],MATCH($A134,Tabela2[ID],0)),"")</f>
        <v>4.95</v>
      </c>
      <c r="J134" s="241">
        <f t="shared" si="10"/>
        <v>2026</v>
      </c>
      <c r="K134" s="241">
        <f>IFERROR(INDEX(Tabela2[P. Sociedade],MATCH($A134,Tabela2[ID],0)),"")</f>
        <v>0</v>
      </c>
      <c r="L134" s="241">
        <f>IFERROR(INDEX(Tabela2[P. Jurisdicionados],MATCH($A134,Tabela2[ID],0)),"")</f>
        <v>27</v>
      </c>
      <c r="M134" s="241">
        <f>IFERROR(INDEX(Tabela2[P. Servidores],MATCH($A134,Tabela2[ID],0)),"")</f>
        <v>0</v>
      </c>
      <c r="N134" s="241" t="str">
        <f>IFERROR(INDEX(Tabela2[Status Evento],MATCH($A134,Tabela2[ID],0)),"")</f>
        <v>Realizado</v>
      </c>
      <c r="O134" s="241" t="str">
        <f>IFERROR(INDEX(Tabela2[Modalidade],MATCH($A134,Tabela2[ID],0)),"")</f>
        <v>Instrutoria Interna</v>
      </c>
    </row>
    <row r="135" spans="1:15" x14ac:dyDescent="0.25">
      <c r="A135" s="229" t="s">
        <v>2778</v>
      </c>
      <c r="B135" s="247" t="str">
        <f>IFERROR(INDEX(Tabela2[Curso],MATCH($A135,Tabela2[ID],0)),"")</f>
        <v>Elaboração da Cartilha "Gestão e Fiscalização de Contratos em Saúde"</v>
      </c>
      <c r="C135" s="247"/>
      <c r="D135" s="229" t="str">
        <f>IFERROR(INDEX(Tabela2[Público-Alvo],MATCH($A135,Tabela2[ID],0)),"")</f>
        <v>Jurisdicionados</v>
      </c>
      <c r="E135" s="230">
        <f>IFERROR(INDEX(Tabela2[Início],MATCH($A135,Tabela2[ID],0)),"")</f>
        <v>46157</v>
      </c>
      <c r="F135" s="231">
        <f>IFERROR(INDEX(Tabela2[Total Part.],MATCH($A135,Tabela2[ID],0)),"")</f>
        <v>0</v>
      </c>
      <c r="G135" s="231">
        <f>IFERROR(INDEX(Tabela2[C.H.],MATCH($A135,Tabela2[ID],0)),"")</f>
        <v>65</v>
      </c>
      <c r="H135" s="231">
        <f>IFERROR(INDEX(Tabela2[Valor instrutoria],MATCH($A135,Tabela2[ID],0)),"")</f>
        <v>0</v>
      </c>
      <c r="I135" s="232">
        <f>IFERROR(INDEX(Tabela2[Nota Av. Reação],MATCH($A135,Tabela2[ID],0)),"")</f>
        <v>0</v>
      </c>
      <c r="J135" s="241">
        <f t="shared" si="10"/>
        <v>2026</v>
      </c>
      <c r="K135" s="241">
        <f>IFERROR(INDEX(Tabela2[P. Sociedade],MATCH($A135,Tabela2[ID],0)),"")</f>
        <v>0</v>
      </c>
      <c r="L135" s="241">
        <f>IFERROR(INDEX(Tabela2[P. Jurisdicionados],MATCH($A135,Tabela2[ID],0)),"")</f>
        <v>0</v>
      </c>
      <c r="M135" s="241">
        <f>IFERROR(INDEX(Tabela2[P. Servidores],MATCH($A135,Tabela2[ID],0)),"")</f>
        <v>0</v>
      </c>
      <c r="N135" s="241" t="str">
        <f>IFERROR(INDEX(Tabela2[Status Evento],MATCH($A135,Tabela2[ID],0)),"")</f>
        <v>A realizar</v>
      </c>
      <c r="O135" s="241" t="str">
        <f>IFERROR(INDEX(Tabela2[Modalidade],MATCH($A135,Tabela2[ID],0)),"")</f>
        <v>Instrutoria Interna</v>
      </c>
    </row>
    <row r="136" spans="1:15" x14ac:dyDescent="0.25">
      <c r="A136" s="229" t="s">
        <v>2864</v>
      </c>
      <c r="B136" s="247" t="str">
        <f>IFERROR(INDEX(Tabela2[Curso],MATCH($A136,Tabela2[ID],0)),"")</f>
        <v>Mentoria em auditoria de saúde</v>
      </c>
      <c r="C136" s="247"/>
      <c r="D136" s="229" t="str">
        <f>IFERROR(INDEX(Tabela2[Público-Alvo],MATCH($A136,Tabela2[ID],0)),"")</f>
        <v>Servidores do TCDF</v>
      </c>
      <c r="E136" s="230">
        <f>IFERROR(INDEX(Tabela2[Início],MATCH($A136,Tabela2[ID],0)),"")</f>
        <v>46174</v>
      </c>
      <c r="F136" s="231">
        <f>IFERROR(INDEX(Tabela2[Total Part.],MATCH($A136,Tabela2[ID],0)),"")</f>
        <v>0</v>
      </c>
      <c r="G136" s="231">
        <f>IFERROR(INDEX(Tabela2[C.H.],MATCH($A136,Tabela2[ID],0)),"")</f>
        <v>25</v>
      </c>
      <c r="H136" s="231">
        <f>IFERROR(INDEX(Tabela2[Valor instrutoria],MATCH($A136,Tabela2[ID],0)),"")</f>
        <v>105000</v>
      </c>
      <c r="I136" s="232">
        <f>IFERROR(INDEX(Tabela2[Nota Av. Reação],MATCH($A136,Tabela2[ID],0)),"")</f>
        <v>0</v>
      </c>
      <c r="J136" s="241">
        <f t="shared" si="10"/>
        <v>2026</v>
      </c>
      <c r="K136" s="241">
        <f>IFERROR(INDEX(Tabela2[P. Sociedade],MATCH($A136,Tabela2[ID],0)),"")</f>
        <v>0</v>
      </c>
      <c r="L136" s="241">
        <f>IFERROR(INDEX(Tabela2[P. Jurisdicionados],MATCH($A136,Tabela2[ID],0)),"")</f>
        <v>0</v>
      </c>
      <c r="M136" s="241">
        <f>IFERROR(INDEX(Tabela2[P. Servidores],MATCH($A136,Tabela2[ID],0)),"")</f>
        <v>0</v>
      </c>
      <c r="N136" s="241" t="str">
        <f>IFERROR(INDEX(Tabela2[Status Evento],MATCH($A136,Tabela2[ID],0)),"")</f>
        <v xml:space="preserve">Cancelado </v>
      </c>
      <c r="O136" s="241" t="str">
        <f>IFERROR(INDEX(Tabela2[Modalidade],MATCH($A136,Tabela2[ID],0)),"")</f>
        <v>Instrutoria Externa</v>
      </c>
    </row>
    <row r="137" spans="1:15" x14ac:dyDescent="0.25">
      <c r="A137" s="229" t="s">
        <v>2742</v>
      </c>
      <c r="B137" s="247" t="str">
        <f>IFERROR(INDEX(Tabela2[Curso],MATCH($A137,Tabela2[ID],0)),"")</f>
        <v>Curso de formação para gestores e fiscais de Contrato em equipamentos nas unidades hospitalares - T2</v>
      </c>
      <c r="C137" s="247"/>
      <c r="D137" s="229" t="str">
        <f>IFERROR(INDEX(Tabela2[Público-Alvo],MATCH($A137,Tabela2[ID],0)),"")</f>
        <v>Jurisdicionados</v>
      </c>
      <c r="E137" s="230">
        <f>IFERROR(INDEX(Tabela2[Início],MATCH($A137,Tabela2[ID],0)),"")</f>
        <v>46182</v>
      </c>
      <c r="F137" s="231">
        <f>IFERROR(INDEX(Tabela2[Total Part.],MATCH($A137,Tabela2[ID],0)),"")</f>
        <v>32</v>
      </c>
      <c r="G137" s="231">
        <f>IFERROR(INDEX(Tabela2[C.H.],MATCH($A137,Tabela2[ID],0)),"")</f>
        <v>12</v>
      </c>
      <c r="H137" s="231">
        <f>IFERROR(INDEX(Tabela2[Valor instrutoria],MATCH($A137,Tabela2[ID],0)),"")</f>
        <v>9211.69</v>
      </c>
      <c r="I137" s="232">
        <f>IFERROR(INDEX(Tabela2[Nota Av. Reação],MATCH($A137,Tabela2[ID],0)),"")</f>
        <v>4.82</v>
      </c>
      <c r="J137" s="241">
        <f t="shared" si="10"/>
        <v>2026</v>
      </c>
      <c r="K137" s="241">
        <f>IFERROR(INDEX(Tabela2[P. Sociedade],MATCH($A137,Tabela2[ID],0)),"")</f>
        <v>0</v>
      </c>
      <c r="L137" s="241">
        <f>IFERROR(INDEX(Tabela2[P. Jurisdicionados],MATCH($A137,Tabela2[ID],0)),"")</f>
        <v>32</v>
      </c>
      <c r="M137" s="241">
        <f>IFERROR(INDEX(Tabela2[P. Servidores],MATCH($A137,Tabela2[ID],0)),"")</f>
        <v>0</v>
      </c>
      <c r="N137" s="241" t="str">
        <f>IFERROR(INDEX(Tabela2[Status Evento],MATCH($A137,Tabela2[ID],0)),"")</f>
        <v>Realizado</v>
      </c>
      <c r="O137" s="241" t="str">
        <f>IFERROR(INDEX(Tabela2[Modalidade],MATCH($A137,Tabela2[ID],0)),"")</f>
        <v>Instrutoria Interna</v>
      </c>
    </row>
    <row r="138" spans="1:15" x14ac:dyDescent="0.25">
      <c r="A138" s="229" t="s">
        <v>2747</v>
      </c>
      <c r="B138" s="247" t="str">
        <f>IFERROR(INDEX(Tabela2[Curso],MATCH($A138,Tabela2[ID],0)),"")</f>
        <v>Curso de formação para gestores e fiscais de Contrato em equipamentos nas unidades hospitalares - T3</v>
      </c>
      <c r="C138" s="247"/>
      <c r="D138" s="229" t="str">
        <f>IFERROR(INDEX(Tabela2[Público-Alvo],MATCH($A138,Tabela2[ID],0)),"")</f>
        <v>Jurisdicionados</v>
      </c>
      <c r="E138" s="230">
        <f>IFERROR(INDEX(Tabela2[Início],MATCH($A138,Tabela2[ID],0)),"")</f>
        <v>46189</v>
      </c>
      <c r="F138" s="231">
        <f>IFERROR(INDEX(Tabela2[Total Part.],MATCH($A138,Tabela2[ID],0)),"")</f>
        <v>44</v>
      </c>
      <c r="G138" s="231">
        <f>IFERROR(INDEX(Tabela2[C.H.],MATCH($A138,Tabela2[ID],0)),"")</f>
        <v>12</v>
      </c>
      <c r="H138" s="231">
        <f>IFERROR(INDEX(Tabela2[Valor instrutoria],MATCH($A138,Tabela2[ID],0)),"")</f>
        <v>9211.69</v>
      </c>
      <c r="I138" s="232">
        <f>IFERROR(INDEX(Tabela2[Nota Av. Reação],MATCH($A138,Tabela2[ID],0)),"")</f>
        <v>4.84</v>
      </c>
      <c r="J138" s="241">
        <f t="shared" si="10"/>
        <v>2026</v>
      </c>
      <c r="K138" s="241">
        <f>IFERROR(INDEX(Tabela2[P. Sociedade],MATCH($A138,Tabela2[ID],0)),"")</f>
        <v>0</v>
      </c>
      <c r="L138" s="241">
        <f>IFERROR(INDEX(Tabela2[P. Jurisdicionados],MATCH($A138,Tabela2[ID],0)),"")</f>
        <v>44</v>
      </c>
      <c r="M138" s="241">
        <f>IFERROR(INDEX(Tabela2[P. Servidores],MATCH($A138,Tabela2[ID],0)),"")</f>
        <v>0</v>
      </c>
      <c r="N138" s="241" t="str">
        <f>IFERROR(INDEX(Tabela2[Status Evento],MATCH($A138,Tabela2[ID],0)),"")</f>
        <v>Realizado</v>
      </c>
      <c r="O138" s="241" t="str">
        <f>IFERROR(INDEX(Tabela2[Modalidade],MATCH($A138,Tabela2[ID],0)),"")</f>
        <v>Instrutoria Interna</v>
      </c>
    </row>
    <row r="139" spans="1:15" x14ac:dyDescent="0.25">
      <c r="A139" s="229" t="s">
        <v>2691</v>
      </c>
      <c r="B139" s="247" t="str">
        <f>IFERROR(INDEX(Tabela2[Curso],MATCH($A139,Tabela2[ID],0)),"")</f>
        <v>3ª Maratona Temática em Saúde Pública - Boas Práticas</v>
      </c>
      <c r="C139" s="247"/>
      <c r="D139" s="229" t="str">
        <f>IFERROR(INDEX(Tabela2[Público-Alvo],MATCH($A139,Tabela2[ID],0)),"")</f>
        <v>Jurisdicionados</v>
      </c>
      <c r="E139" s="230">
        <f>IFERROR(INDEX(Tabela2[Início],MATCH($A139,Tabela2[ID],0)),"")</f>
        <v>46195</v>
      </c>
      <c r="F139" s="231">
        <f>IFERROR(INDEX(Tabela2[Total Part.],MATCH($A139,Tabela2[ID],0)),"")</f>
        <v>196</v>
      </c>
      <c r="G139" s="231">
        <f>IFERROR(INDEX(Tabela2[C.H.],MATCH($A139,Tabela2[ID],0)),"")</f>
        <v>14</v>
      </c>
      <c r="H139" s="231">
        <f>IFERROR(INDEX(Tabela2[Valor instrutoria],MATCH($A139,Tabela2[ID],0)),"")</f>
        <v>0</v>
      </c>
      <c r="I139" s="232">
        <f>IFERROR(INDEX(Tabela2[Nota Av. Reação],MATCH($A139,Tabela2[ID],0)),"")</f>
        <v>4.8600000000000003</v>
      </c>
      <c r="J139" s="241">
        <f t="shared" si="10"/>
        <v>2026</v>
      </c>
      <c r="K139" s="241">
        <f>IFERROR(INDEX(Tabela2[P. Sociedade],MATCH($A139,Tabela2[ID],0)),"")</f>
        <v>41</v>
      </c>
      <c r="L139" s="241">
        <f>IFERROR(INDEX(Tabela2[P. Jurisdicionados],MATCH($A139,Tabela2[ID],0)),"")</f>
        <v>114</v>
      </c>
      <c r="M139" s="241">
        <f>IFERROR(INDEX(Tabela2[P. Servidores],MATCH($A139,Tabela2[ID],0)),"")</f>
        <v>41</v>
      </c>
      <c r="N139" s="241" t="str">
        <f>IFERROR(INDEX(Tabela2[Status Evento],MATCH($A139,Tabela2[ID],0)),"")</f>
        <v>Realizado</v>
      </c>
      <c r="O139" s="241" t="str">
        <f>IFERROR(INDEX(Tabela2[Modalidade],MATCH($A139,Tabela2[ID],0)),"")</f>
        <v>Instrutoria Externa</v>
      </c>
    </row>
    <row r="140" spans="1:15" x14ac:dyDescent="0.25">
      <c r="A140" s="229" t="s">
        <v>2738</v>
      </c>
      <c r="B140" s="247" t="str">
        <f>IFERROR(INDEX(Tabela2[Curso],MATCH($A140,Tabela2[ID],0)),"")</f>
        <v>Curso de Formação para Conselheiros de Saúde do DF</v>
      </c>
      <c r="C140" s="247"/>
      <c r="D140" s="229" t="str">
        <f>IFERROR(INDEX(Tabela2[Público-Alvo],MATCH($A140,Tabela2[ID],0)),"")</f>
        <v>Sociedade</v>
      </c>
      <c r="E140" s="230">
        <f>IFERROR(INDEX(Tabela2[Início],MATCH($A140,Tabela2[ID],0)),"")</f>
        <v>46223</v>
      </c>
      <c r="F140" s="231">
        <f>IFERROR(INDEX(Tabela2[Total Part.],MATCH($A140,Tabela2[ID],0)),"")</f>
        <v>48</v>
      </c>
      <c r="G140" s="231">
        <f>IFERROR(INDEX(Tabela2[C.H.],MATCH($A140,Tabela2[ID],0)),"")</f>
        <v>20</v>
      </c>
      <c r="H140" s="231">
        <f>IFERROR(INDEX(Tabela2[Valor instrutoria],MATCH($A140,Tabela2[ID],0)),"")</f>
        <v>11334.44</v>
      </c>
      <c r="I140" s="232">
        <f>IFERROR(INDEX(Tabela2[Nota Av. Reação],MATCH($A140,Tabela2[ID],0)),"")</f>
        <v>4.9000000000000004</v>
      </c>
      <c r="J140" s="241">
        <f t="shared" si="10"/>
        <v>2026</v>
      </c>
      <c r="K140" s="241">
        <f>IFERROR(INDEX(Tabela2[P. Sociedade],MATCH($A140,Tabela2[ID],0)),"")</f>
        <v>48</v>
      </c>
      <c r="L140" s="241">
        <f>IFERROR(INDEX(Tabela2[P. Jurisdicionados],MATCH($A140,Tabela2[ID],0)),"")</f>
        <v>0</v>
      </c>
      <c r="M140" s="241">
        <f>IFERROR(INDEX(Tabela2[P. Servidores],MATCH($A140,Tabela2[ID],0)),"")</f>
        <v>0</v>
      </c>
      <c r="N140" s="241" t="str">
        <f>IFERROR(INDEX(Tabela2[Status Evento],MATCH($A140,Tabela2[ID],0)),"")</f>
        <v>Realizado</v>
      </c>
      <c r="O140" s="241" t="str">
        <f>IFERROR(INDEX(Tabela2[Modalidade],MATCH($A140,Tabela2[ID],0)),"")</f>
        <v>Instrutoria Interna</v>
      </c>
    </row>
    <row r="141" spans="1:15" x14ac:dyDescent="0.25">
      <c r="A141" s="229" t="s">
        <v>2750</v>
      </c>
      <c r="B141" s="247" t="str">
        <f>IFERROR(INDEX(Tabela2[Curso],MATCH($A141,Tabela2[ID],0)),"")</f>
        <v>Curso de formação sobre "Programa de Descentralização Progressiva das Ações de Saúde - PDPAS</v>
      </c>
      <c r="C141" s="247"/>
      <c r="D141" s="229" t="str">
        <f>IFERROR(INDEX(Tabela2[Público-Alvo],MATCH($A141,Tabela2[ID],0)),"")</f>
        <v>Jurisdicionados</v>
      </c>
      <c r="E141" s="230">
        <f>IFERROR(INDEX(Tabela2[Início],MATCH($A141,Tabela2[ID],0)),"")</f>
        <v>46259</v>
      </c>
      <c r="F141" s="231">
        <f>IFERROR(INDEX(Tabela2[Total Part.],MATCH($A141,Tabela2[ID],0)),"")</f>
        <v>0</v>
      </c>
      <c r="G141" s="231">
        <f>IFERROR(INDEX(Tabela2[C.H.],MATCH($A141,Tabela2[ID],0)),"")</f>
        <v>20</v>
      </c>
      <c r="H141" s="231">
        <f>IFERROR(INDEX(Tabela2[Valor instrutoria],MATCH($A141,Tabela2[ID],0)),"")</f>
        <v>0</v>
      </c>
      <c r="I141" s="232">
        <f>IFERROR(INDEX(Tabela2[Nota Av. Reação],MATCH($A141,Tabela2[ID],0)),"")</f>
        <v>0</v>
      </c>
      <c r="J141" s="241">
        <f t="shared" si="10"/>
        <v>2026</v>
      </c>
      <c r="K141" s="241">
        <f>IFERROR(INDEX(Tabela2[P. Sociedade],MATCH($A141,Tabela2[ID],0)),"")</f>
        <v>0</v>
      </c>
      <c r="L141" s="241">
        <f>IFERROR(INDEX(Tabela2[P. Jurisdicionados],MATCH($A141,Tabela2[ID],0)),"")</f>
        <v>0</v>
      </c>
      <c r="M141" s="241">
        <f>IFERROR(INDEX(Tabela2[P. Servidores],MATCH($A141,Tabela2[ID],0)),"")</f>
        <v>0</v>
      </c>
      <c r="N141" s="241" t="str">
        <f>IFERROR(INDEX(Tabela2[Status Evento],MATCH($A141,Tabela2[ID],0)),"")</f>
        <v>A realizar</v>
      </c>
      <c r="O141" s="241" t="str">
        <f>IFERROR(INDEX(Tabela2[Modalidade],MATCH($A141,Tabela2[ID],0)),"")</f>
        <v>Instrutoria Interna</v>
      </c>
    </row>
    <row r="142" spans="1:15" x14ac:dyDescent="0.25">
      <c r="A142" s="229" t="s">
        <v>2994</v>
      </c>
      <c r="B142" s="247" t="str">
        <f ca="1">IFERROR(INDEX(Tabela2[Curso],MATCH($A142,Tabela2[ID],0)),"")</f>
        <v>Curso de formação para gestores e fiscais de contrato nas unidades hospitalares – Turma 4</v>
      </c>
      <c r="C142" s="247"/>
      <c r="D142" s="229" t="str">
        <f ca="1">IFERROR(INDEX(Tabela2[Público-Alvo],MATCH($A142,Tabela2[ID],0)),"")</f>
        <v>Jurisdicionados</v>
      </c>
      <c r="E142" s="230">
        <f ca="1">IFERROR(INDEX(Tabela2[Início],MATCH($A142,Tabela2[ID],0)),"")</f>
        <v>46273</v>
      </c>
      <c r="F142" s="231">
        <f ca="1">IFERROR(INDEX(Tabela2[Total Part.],MATCH($A142,Tabela2[ID],0)),"")</f>
        <v>0</v>
      </c>
      <c r="G142" s="231">
        <f ca="1">IFERROR(INDEX(Tabela2[C.H.],MATCH($A142,Tabela2[ID],0)),"")</f>
        <v>12</v>
      </c>
      <c r="H142" s="231">
        <f ca="1">IFERROR(INDEX(Tabela2[Valor instrutoria],MATCH($A142,Tabela2[ID],0)),"")</f>
        <v>0</v>
      </c>
      <c r="I142" s="232">
        <f ca="1">IFERROR(INDEX(Tabela2[Nota Av. Reação],MATCH($A142,Tabela2[ID],0)),"")</f>
        <v>0</v>
      </c>
      <c r="J142" s="241">
        <f t="shared" si="10"/>
        <v>2026</v>
      </c>
      <c r="K142" s="241">
        <f ca="1">IFERROR(INDEX(Tabela2[P. Sociedade],MATCH($A142,Tabela2[ID],0)),"")</f>
        <v>0</v>
      </c>
      <c r="L142" s="241">
        <f ca="1">IFERROR(INDEX(Tabela2[P. Jurisdicionados],MATCH($A142,Tabela2[ID],0)),"")</f>
        <v>0</v>
      </c>
      <c r="M142" s="241">
        <f ca="1">IFERROR(INDEX(Tabela2[P. Servidores],MATCH($A142,Tabela2[ID],0)),"")</f>
        <v>0</v>
      </c>
      <c r="N142" s="241" t="str">
        <f ca="1">IFERROR(INDEX(Tabela2[Status Evento],MATCH($A142,Tabela2[ID],0)),"")</f>
        <v>A realizar</v>
      </c>
      <c r="O142" s="241" t="str">
        <f ca="1">IFERROR(INDEX(Tabela2[Modalidade],MATCH($A142,Tabela2[ID],0)),"")</f>
        <v>Instrutoria Interna</v>
      </c>
    </row>
    <row r="144" spans="1:15" x14ac:dyDescent="0.25">
      <c r="A144" s="246" t="s">
        <v>3077</v>
      </c>
      <c r="B144" s="243"/>
      <c r="C144" s="243"/>
      <c r="D144" s="243"/>
      <c r="E144" s="243"/>
      <c r="F144" s="243"/>
      <c r="G144" s="243"/>
      <c r="H144" s="243"/>
      <c r="I144" s="243"/>
    </row>
    <row r="145" spans="1:9" ht="33" customHeight="1" x14ac:dyDescent="0.25">
      <c r="A145" s="242" t="s">
        <v>3078</v>
      </c>
      <c r="B145" s="243"/>
      <c r="C145" s="243"/>
      <c r="D145" s="243"/>
      <c r="E145" s="243"/>
      <c r="F145" s="243"/>
      <c r="G145" s="243"/>
      <c r="H145" s="243"/>
      <c r="I145" s="243"/>
    </row>
    <row r="146" spans="1:9" ht="24" customHeight="1" x14ac:dyDescent="0.25">
      <c r="A146" s="242" t="s">
        <v>3079</v>
      </c>
      <c r="B146" s="243"/>
      <c r="C146" s="243"/>
      <c r="D146" s="243"/>
      <c r="E146" s="243"/>
      <c r="F146" s="243"/>
      <c r="G146" s="243"/>
      <c r="H146" s="243"/>
      <c r="I146" s="243"/>
    </row>
    <row r="147" spans="1:9" ht="24" customHeight="1" x14ac:dyDescent="0.25">
      <c r="A147" s="242" t="s">
        <v>3080</v>
      </c>
      <c r="B147" s="243"/>
      <c r="C147" s="243"/>
      <c r="D147" s="243"/>
      <c r="E147" s="243"/>
      <c r="F147" s="243"/>
      <c r="G147" s="243"/>
      <c r="H147" s="243"/>
      <c r="I147" s="243"/>
    </row>
    <row r="148" spans="1:9" ht="24" customHeight="1" x14ac:dyDescent="0.25">
      <c r="A148" s="242" t="s">
        <v>3081</v>
      </c>
      <c r="B148" s="244"/>
      <c r="C148" s="244"/>
      <c r="D148" s="244"/>
      <c r="E148" s="244"/>
      <c r="F148" s="244"/>
      <c r="G148" s="244"/>
      <c r="H148" s="244"/>
      <c r="I148" s="244"/>
    </row>
    <row r="149" spans="1:9" ht="14.1" customHeight="1" x14ac:dyDescent="0.25">
      <c r="A149" s="242" t="s">
        <v>3082</v>
      </c>
      <c r="B149" s="244"/>
      <c r="C149" s="244"/>
      <c r="D149" s="244"/>
      <c r="E149" s="244"/>
      <c r="F149" s="244"/>
      <c r="G149" s="244"/>
      <c r="H149" s="244"/>
      <c r="I149" s="244"/>
    </row>
    <row r="150" spans="1:9" ht="14.1" customHeight="1" x14ac:dyDescent="0.25">
      <c r="A150" s="242" t="s">
        <v>3083</v>
      </c>
      <c r="B150" s="244"/>
      <c r="C150" s="244"/>
      <c r="D150" s="244"/>
      <c r="E150" s="244"/>
      <c r="F150" s="244"/>
      <c r="G150" s="244"/>
      <c r="H150" s="244"/>
      <c r="I150" s="244"/>
    </row>
    <row r="151" spans="1:9" ht="24" customHeight="1" x14ac:dyDescent="0.25">
      <c r="A151" s="242" t="s">
        <v>3084</v>
      </c>
      <c r="B151" s="244"/>
      <c r="C151" s="244"/>
      <c r="D151" s="244"/>
      <c r="E151" s="244"/>
      <c r="F151" s="244"/>
      <c r="G151" s="244"/>
      <c r="H151" s="244"/>
      <c r="I151" s="244"/>
    </row>
  </sheetData>
  <mergeCells count="140">
    <mergeCell ref="A1:I1"/>
    <mergeCell ref="A2:I2"/>
    <mergeCell ref="A3:I3"/>
    <mergeCell ref="A83:I83"/>
    <mergeCell ref="B84:C84"/>
    <mergeCell ref="B85:C85"/>
    <mergeCell ref="A11:E11"/>
    <mergeCell ref="F11:I11"/>
    <mergeCell ref="A12:E12"/>
    <mergeCell ref="F12:I12"/>
    <mergeCell ref="A5:I5"/>
    <mergeCell ref="A6:I6"/>
    <mergeCell ref="A8:I8"/>
    <mergeCell ref="A9:E9"/>
    <mergeCell ref="F9:I9"/>
    <mergeCell ref="A10:E10"/>
    <mergeCell ref="F10:I10"/>
    <mergeCell ref="F16:I16"/>
    <mergeCell ref="A17:E17"/>
    <mergeCell ref="F17:I17"/>
    <mergeCell ref="A18:E18"/>
    <mergeCell ref="F18:I18"/>
    <mergeCell ref="A44:I44"/>
    <mergeCell ref="A45:I45"/>
    <mergeCell ref="B94:C94"/>
    <mergeCell ref="B95:C95"/>
    <mergeCell ref="B96:C96"/>
    <mergeCell ref="B97:C97"/>
    <mergeCell ref="B86:C86"/>
    <mergeCell ref="B87:C87"/>
    <mergeCell ref="B88:C88"/>
    <mergeCell ref="B89:C89"/>
    <mergeCell ref="B90:C90"/>
    <mergeCell ref="B91:C91"/>
    <mergeCell ref="B116:C116"/>
    <mergeCell ref="B117:C117"/>
    <mergeCell ref="B118:C118"/>
    <mergeCell ref="A13:E13"/>
    <mergeCell ref="F13:I13"/>
    <mergeCell ref="A14:E14"/>
    <mergeCell ref="F14:I14"/>
    <mergeCell ref="A15:E15"/>
    <mergeCell ref="F15:I15"/>
    <mergeCell ref="B110:C110"/>
    <mergeCell ref="B111:C111"/>
    <mergeCell ref="B112:C112"/>
    <mergeCell ref="B113:C113"/>
    <mergeCell ref="B114:C114"/>
    <mergeCell ref="B115:C115"/>
    <mergeCell ref="B104:C104"/>
    <mergeCell ref="B105:C105"/>
    <mergeCell ref="A19:E19"/>
    <mergeCell ref="F19:I19"/>
    <mergeCell ref="A20:E20"/>
    <mergeCell ref="F20:I20"/>
    <mergeCell ref="A21:E21"/>
    <mergeCell ref="F21:I21"/>
    <mergeCell ref="A16:E16"/>
    <mergeCell ref="B140:C140"/>
    <mergeCell ref="B141:C141"/>
    <mergeCell ref="B142:C142"/>
    <mergeCell ref="B136:C136"/>
    <mergeCell ref="B137:C137"/>
    <mergeCell ref="B138:C138"/>
    <mergeCell ref="B139:C139"/>
    <mergeCell ref="B119:C119"/>
    <mergeCell ref="B120:C120"/>
    <mergeCell ref="B121:C121"/>
    <mergeCell ref="B134:C134"/>
    <mergeCell ref="B135:C135"/>
    <mergeCell ref="B128:C128"/>
    <mergeCell ref="B129:C129"/>
    <mergeCell ref="B130:C130"/>
    <mergeCell ref="B131:C131"/>
    <mergeCell ref="B132:C132"/>
    <mergeCell ref="B133:C133"/>
    <mergeCell ref="B122:C122"/>
    <mergeCell ref="B123:C123"/>
    <mergeCell ref="B124:C124"/>
    <mergeCell ref="B125:C125"/>
    <mergeCell ref="B126:C126"/>
    <mergeCell ref="B127:C127"/>
    <mergeCell ref="A46:I46"/>
    <mergeCell ref="A47:I47"/>
    <mergeCell ref="A48:I48"/>
    <mergeCell ref="A49:I49"/>
    <mergeCell ref="A23:I23"/>
    <mergeCell ref="A38:I38"/>
    <mergeCell ref="A39:I39"/>
    <mergeCell ref="A41:I41"/>
    <mergeCell ref="A42:I42"/>
    <mergeCell ref="A43:I43"/>
    <mergeCell ref="A57:I57"/>
    <mergeCell ref="A58:I58"/>
    <mergeCell ref="A59:I59"/>
    <mergeCell ref="A60:I60"/>
    <mergeCell ref="A61:I61"/>
    <mergeCell ref="A62:I62"/>
    <mergeCell ref="A50:I50"/>
    <mergeCell ref="A51:I51"/>
    <mergeCell ref="A52:I52"/>
    <mergeCell ref="A53:I53"/>
    <mergeCell ref="A55:I55"/>
    <mergeCell ref="A56:I56"/>
    <mergeCell ref="A69:I69"/>
    <mergeCell ref="A71:I71"/>
    <mergeCell ref="A72:I72"/>
    <mergeCell ref="A73:I73"/>
    <mergeCell ref="A74:I74"/>
    <mergeCell ref="A75:I75"/>
    <mergeCell ref="A63:I63"/>
    <mergeCell ref="A64:I64"/>
    <mergeCell ref="A65:I65"/>
    <mergeCell ref="A66:I66"/>
    <mergeCell ref="A67:I67"/>
    <mergeCell ref="A68:I68"/>
    <mergeCell ref="A146:I146"/>
    <mergeCell ref="A147:I147"/>
    <mergeCell ref="A148:I148"/>
    <mergeCell ref="A149:I149"/>
    <mergeCell ref="A150:I150"/>
    <mergeCell ref="A151:I151"/>
    <mergeCell ref="A76:I76"/>
    <mergeCell ref="A77:I77"/>
    <mergeCell ref="A78:I78"/>
    <mergeCell ref="A79:I79"/>
    <mergeCell ref="A144:I144"/>
    <mergeCell ref="A145:I145"/>
    <mergeCell ref="B106:C106"/>
    <mergeCell ref="B107:C107"/>
    <mergeCell ref="B108:C108"/>
    <mergeCell ref="B109:C109"/>
    <mergeCell ref="B98:C98"/>
    <mergeCell ref="B99:C99"/>
    <mergeCell ref="B100:C100"/>
    <mergeCell ref="B101:C101"/>
    <mergeCell ref="B102:C102"/>
    <mergeCell ref="B103:C103"/>
    <mergeCell ref="B92:C92"/>
    <mergeCell ref="B93:C93"/>
  </mergeCells>
  <printOptions horizontalCentered="1"/>
  <pageMargins left="0.3888888888888889" right="0.3888888888888889" top="0.5" bottom="0.5" header="0.31496062000000002" footer="0.31496062000000002"/>
  <pageSetup paperSize="9" scale="6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3085</v>
      </c>
      <c r="H1" s="213" t="s">
        <v>3086</v>
      </c>
    </row>
    <row r="2" spans="1:8" x14ac:dyDescent="0.25">
      <c r="H2" s="212" t="s">
        <v>3087</v>
      </c>
    </row>
    <row r="3" spans="1:8" x14ac:dyDescent="0.25">
      <c r="A3" t="s">
        <v>0</v>
      </c>
      <c r="B3" t="s">
        <v>19</v>
      </c>
      <c r="C3" t="s">
        <v>3088</v>
      </c>
      <c r="D3" t="s">
        <v>3089</v>
      </c>
      <c r="E3" t="s">
        <v>3090</v>
      </c>
      <c r="H3" s="212" t="s">
        <v>3091</v>
      </c>
    </row>
    <row r="4" spans="1:8" x14ac:dyDescent="0.25">
      <c r="A4">
        <v>1</v>
      </c>
      <c r="B4" t="s">
        <v>3092</v>
      </c>
      <c r="D4" t="s">
        <v>3093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3094</v>
      </c>
    </row>
    <row r="5" spans="1:8" x14ac:dyDescent="0.25">
      <c r="A5">
        <v>2</v>
      </c>
      <c r="B5" t="s">
        <v>2507</v>
      </c>
      <c r="D5" t="s">
        <v>3093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3095</v>
      </c>
    </row>
    <row r="6" spans="1:8" x14ac:dyDescent="0.25">
      <c r="A6">
        <v>3</v>
      </c>
      <c r="B6" t="s">
        <v>1030</v>
      </c>
      <c r="D6" t="s">
        <v>3093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3096</v>
      </c>
      <c r="D7" t="s">
        <v>3093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3097</v>
      </c>
    </row>
    <row r="8" spans="1:8" x14ac:dyDescent="0.25">
      <c r="A8">
        <v>5</v>
      </c>
      <c r="B8" t="s">
        <v>3098</v>
      </c>
      <c r="D8" t="s">
        <v>3093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3093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3093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3093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3093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3093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3093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3093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3093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3093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3093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3093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3093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3093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3093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3099</v>
      </c>
      <c r="D23" t="s">
        <v>3093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3093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3100</v>
      </c>
      <c r="D25" t="s">
        <v>3093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3101</v>
      </c>
      <c r="D26" t="s">
        <v>3093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3093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3093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3102</v>
      </c>
      <c r="D29" t="s">
        <v>3093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3093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3093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3093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3103</v>
      </c>
      <c r="D33" t="s">
        <v>3093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3104</v>
      </c>
      <c r="D34" t="s">
        <v>3093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3093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3093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3093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3105</v>
      </c>
      <c r="D38" t="s">
        <v>3093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3093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3106</v>
      </c>
      <c r="D40" t="s">
        <v>3093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3093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3107</v>
      </c>
      <c r="D42" t="s">
        <v>3093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3093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3093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3108</v>
      </c>
      <c r="D45" t="s">
        <v>3093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3093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3093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3093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3093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3109</v>
      </c>
      <c r="D50" t="s">
        <v>3093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3093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3110</v>
      </c>
      <c r="D52" t="s">
        <v>3093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3093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3093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3111</v>
      </c>
      <c r="D55" t="s">
        <v>3093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3093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3093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3093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3112</v>
      </c>
      <c r="D59" t="s">
        <v>3093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3093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3093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3093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3113</v>
      </c>
      <c r="D63" t="s">
        <v>3093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3114</v>
      </c>
      <c r="D64" t="s">
        <v>3093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3115</v>
      </c>
      <c r="D65" t="s">
        <v>3093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3116</v>
      </c>
      <c r="D66" t="s">
        <v>3093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2797</v>
      </c>
      <c r="D67" t="s">
        <v>3093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3093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3117</v>
      </c>
      <c r="D69" t="s">
        <v>3093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3118</v>
      </c>
      <c r="D70" t="s">
        <v>3093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3093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3119</v>
      </c>
      <c r="D72" t="s">
        <v>3093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3093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3093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3093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3120</v>
      </c>
      <c r="D76" t="s">
        <v>3093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3093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3093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3093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3093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3121</v>
      </c>
      <c r="D81" t="s">
        <v>3093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3122</v>
      </c>
      <c r="D82" t="s">
        <v>3093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3123</v>
      </c>
      <c r="D83" t="s">
        <v>3093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3124</v>
      </c>
      <c r="D84" t="s">
        <v>3093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3093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3125</v>
      </c>
      <c r="D86" t="s">
        <v>3093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3093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3126</v>
      </c>
      <c r="D88" t="s">
        <v>3093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3127</v>
      </c>
      <c r="D89" t="s">
        <v>3093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3128</v>
      </c>
      <c r="D90" t="s">
        <v>3093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3129</v>
      </c>
      <c r="D91" t="s">
        <v>3093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3130</v>
      </c>
      <c r="D92" t="s">
        <v>3093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3131</v>
      </c>
      <c r="D93" t="s">
        <v>3093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3132</v>
      </c>
      <c r="D94" t="s">
        <v>3093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3133</v>
      </c>
      <c r="D95" t="s">
        <v>3093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3134</v>
      </c>
      <c r="D96" t="s">
        <v>3093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3093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3135</v>
      </c>
      <c r="D98" t="s">
        <v>3093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3093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3136</v>
      </c>
      <c r="D100" t="s">
        <v>3093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3137</v>
      </c>
      <c r="D101" t="s">
        <v>3093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3138</v>
      </c>
      <c r="D102" t="s">
        <v>3093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3139</v>
      </c>
      <c r="D103" t="s">
        <v>3093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3093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3140</v>
      </c>
      <c r="D105" t="s">
        <v>3093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3141</v>
      </c>
      <c r="D106" t="s">
        <v>3093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3142</v>
      </c>
      <c r="D107" t="s">
        <v>3093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2868</v>
      </c>
      <c r="D108" t="s">
        <v>3093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2873</v>
      </c>
      <c r="D109" t="s">
        <v>3093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3143</v>
      </c>
      <c r="C1" s="19" t="s">
        <v>3076</v>
      </c>
      <c r="D1" s="19" t="s">
        <v>4</v>
      </c>
      <c r="E1" s="19" t="s">
        <v>3144</v>
      </c>
      <c r="F1" s="19" t="s">
        <v>19</v>
      </c>
      <c r="G1" s="19" t="s">
        <v>3145</v>
      </c>
      <c r="H1" s="19" t="s">
        <v>3146</v>
      </c>
      <c r="I1" s="19" t="s">
        <v>3147</v>
      </c>
      <c r="J1" s="19" t="s">
        <v>3148</v>
      </c>
      <c r="L1" s="112" t="s">
        <v>3149</v>
      </c>
      <c r="M1" s="23">
        <v>2026</v>
      </c>
      <c r="U1" s="80" t="s">
        <v>3150</v>
      </c>
      <c r="V1" s="79"/>
      <c r="X1" s="78" t="s">
        <v>3151</v>
      </c>
      <c r="Y1" s="27"/>
      <c r="Z1" s="27"/>
      <c r="AA1" s="27"/>
      <c r="AC1" s="100" t="s">
        <v>3152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3153</v>
      </c>
      <c r="M2" s="107" t="s">
        <v>2929</v>
      </c>
      <c r="X2" s="114" t="s">
        <v>3143</v>
      </c>
      <c r="Y2" s="114" t="s">
        <v>19</v>
      </c>
      <c r="Z2" s="114" t="s">
        <v>3154</v>
      </c>
      <c r="AA2" s="114" t="s">
        <v>3155</v>
      </c>
      <c r="AC2" s="115" t="s">
        <v>1</v>
      </c>
      <c r="AD2" s="115" t="s">
        <v>3156</v>
      </c>
      <c r="AE2" s="115" t="s">
        <v>3157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3158</v>
      </c>
      <c r="M3" s="113" t="s">
        <v>3159</v>
      </c>
      <c r="N3" s="113" t="s">
        <v>3160</v>
      </c>
      <c r="O3" s="113" t="s">
        <v>3161</v>
      </c>
      <c r="P3" s="113" t="s">
        <v>3162</v>
      </c>
      <c r="Q3" s="113" t="s">
        <v>3163</v>
      </c>
      <c r="R3" s="113" t="s">
        <v>3164</v>
      </c>
      <c r="S3" s="113" t="s">
        <v>3165</v>
      </c>
      <c r="T3" s="113" t="s">
        <v>3166</v>
      </c>
      <c r="X3" t="s">
        <v>2838</v>
      </c>
      <c r="Y3" t="s">
        <v>3106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3167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3106</v>
      </c>
      <c r="Z6">
        <v>1</v>
      </c>
      <c r="AA6">
        <v>0</v>
      </c>
      <c r="AC6" s="97">
        <v>2026</v>
      </c>
      <c r="AD6" s="18" t="s">
        <v>3168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3100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3118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3100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3118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3100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3118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3106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3106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3141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3137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3119</v>
      </c>
      <c r="Z33">
        <v>4</v>
      </c>
      <c r="AA33">
        <v>0.6</v>
      </c>
      <c r="AC33" s="99"/>
      <c r="AD33" s="116" t="s">
        <v>3169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3120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3111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3128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3127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3139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3136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3138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3135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3170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3142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3140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3127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3134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3133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3132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3124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3122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3106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3111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3125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3129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3126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3130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65" t="s">
        <v>3171</v>
      </c>
      <c r="B1" s="265"/>
      <c r="C1" s="265"/>
      <c r="D1" s="265"/>
      <c r="E1" s="265"/>
      <c r="F1" s="265"/>
      <c r="G1" s="265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66" t="s">
        <v>3172</v>
      </c>
      <c r="B4" s="267"/>
      <c r="D4" s="268" t="s">
        <v>3173</v>
      </c>
      <c r="E4" s="269"/>
      <c r="G4" s="45" t="s">
        <v>3174</v>
      </c>
    </row>
    <row r="5" spans="1:7" ht="54.95" customHeight="1" thickBot="1" x14ac:dyDescent="0.75">
      <c r="A5" s="35">
        <f>COUNTIF('Ações InCompany'!B:B,2026)</f>
        <v>83</v>
      </c>
      <c r="B5" s="36" t="s">
        <v>3175</v>
      </c>
      <c r="D5" s="43">
        <f>COUNTIFS('Ações InCompany'!B:B,2026,'Ações InCompany'!C:C,"Realizado")</f>
        <v>53</v>
      </c>
      <c r="E5" s="44" t="s">
        <v>3175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64" t="s">
        <v>3176</v>
      </c>
      <c r="B8" s="264"/>
      <c r="D8" s="264" t="s">
        <v>3177</v>
      </c>
      <c r="E8" s="264"/>
    </row>
    <row r="9" spans="1:7" ht="5.0999999999999996" customHeight="1" x14ac:dyDescent="0.25">
      <c r="A9" s="243"/>
      <c r="B9" s="243"/>
      <c r="D9" s="243"/>
      <c r="E9" s="243"/>
    </row>
    <row r="10" spans="1:7" ht="24.95" customHeight="1" x14ac:dyDescent="0.25">
      <c r="A10" s="28" t="s">
        <v>5</v>
      </c>
      <c r="B10" s="28" t="s">
        <v>3178</v>
      </c>
      <c r="D10" s="28" t="s">
        <v>3179</v>
      </c>
      <c r="E10" s="28" t="s">
        <v>3180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3181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3182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3183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3184</v>
      </c>
      <c r="B14" s="34">
        <f>SUM(B11:B13)</f>
        <v>51</v>
      </c>
      <c r="D14" s="33" t="s">
        <v>3185</v>
      </c>
      <c r="E14" s="34">
        <f>SUM(E11:E13)</f>
        <v>2814</v>
      </c>
    </row>
    <row r="30" spans="1:5" ht="17.25" x14ac:dyDescent="0.3">
      <c r="A30" s="264" t="s">
        <v>3186</v>
      </c>
      <c r="B30" s="264"/>
      <c r="C30" s="264"/>
      <c r="D30" s="264"/>
      <c r="E30" s="264"/>
    </row>
    <row r="31" spans="1:5" ht="5.0999999999999996" customHeight="1" x14ac:dyDescent="0.25">
      <c r="A31" s="243"/>
      <c r="B31" s="243"/>
      <c r="C31" s="243"/>
      <c r="D31" s="243"/>
      <c r="E31" s="243"/>
    </row>
    <row r="32" spans="1:5" ht="24.95" customHeight="1" x14ac:dyDescent="0.25">
      <c r="A32" s="28" t="s">
        <v>6</v>
      </c>
      <c r="B32" s="28" t="s">
        <v>3187</v>
      </c>
      <c r="C32" s="28" t="s">
        <v>3188</v>
      </c>
      <c r="D32" s="28" t="s">
        <v>3031</v>
      </c>
      <c r="E32" s="28" t="s">
        <v>3189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3190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3191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3184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3192</v>
      </c>
      <c r="B1" s="12" t="s">
        <v>3193</v>
      </c>
      <c r="C1" s="13" t="s">
        <v>3194</v>
      </c>
      <c r="D1" s="13" t="s">
        <v>3195</v>
      </c>
      <c r="E1" s="13" t="s">
        <v>3196</v>
      </c>
    </row>
    <row r="2" spans="1:5" ht="18" customHeight="1" x14ac:dyDescent="0.25">
      <c r="A2" s="12" t="s">
        <v>3197</v>
      </c>
      <c r="B2" s="12" t="s">
        <v>3198</v>
      </c>
      <c r="C2" s="12" t="s">
        <v>1736</v>
      </c>
      <c r="D2" s="12" t="s">
        <v>3199</v>
      </c>
      <c r="E2" s="12" t="s">
        <v>3200</v>
      </c>
    </row>
    <row r="3" spans="1:5" ht="18" customHeight="1" x14ac:dyDescent="0.25">
      <c r="A3" s="12" t="s">
        <v>3197</v>
      </c>
      <c r="B3" s="12" t="s">
        <v>3198</v>
      </c>
      <c r="C3" s="14" t="s">
        <v>25</v>
      </c>
      <c r="D3" s="12" t="s">
        <v>3201</v>
      </c>
      <c r="E3" s="12" t="s">
        <v>3202</v>
      </c>
    </row>
    <row r="4" spans="1:5" ht="18" customHeight="1" x14ac:dyDescent="0.25">
      <c r="A4" s="12" t="s">
        <v>3197</v>
      </c>
      <c r="B4" s="12" t="s">
        <v>3198</v>
      </c>
      <c r="C4" s="12" t="s">
        <v>75</v>
      </c>
      <c r="D4" s="12" t="s">
        <v>3199</v>
      </c>
      <c r="E4" s="12" t="s">
        <v>3203</v>
      </c>
    </row>
    <row r="5" spans="1:5" ht="18" customHeight="1" x14ac:dyDescent="0.25">
      <c r="A5" s="12" t="s">
        <v>3197</v>
      </c>
      <c r="B5" s="12" t="s">
        <v>3198</v>
      </c>
      <c r="C5" s="12" t="s">
        <v>79</v>
      </c>
      <c r="D5" s="12" t="s">
        <v>3204</v>
      </c>
      <c r="E5" s="12" t="s">
        <v>3205</v>
      </c>
    </row>
    <row r="6" spans="1:5" ht="18" customHeight="1" x14ac:dyDescent="0.25">
      <c r="A6" s="12" t="s">
        <v>3197</v>
      </c>
      <c r="B6" s="12" t="s">
        <v>3198</v>
      </c>
      <c r="C6" s="12" t="s">
        <v>2719</v>
      </c>
      <c r="D6" s="12" t="s">
        <v>3206</v>
      </c>
      <c r="E6" s="12" t="s">
        <v>3207</v>
      </c>
    </row>
    <row r="7" spans="1:5" ht="18" customHeight="1" x14ac:dyDescent="0.25">
      <c r="A7" s="12" t="s">
        <v>3197</v>
      </c>
      <c r="B7" s="12" t="s">
        <v>3208</v>
      </c>
      <c r="C7" s="12" t="s">
        <v>36</v>
      </c>
      <c r="D7" s="12" t="s">
        <v>3209</v>
      </c>
      <c r="E7" s="12" t="s">
        <v>3210</v>
      </c>
    </row>
    <row r="8" spans="1:5" ht="18" customHeight="1" x14ac:dyDescent="0.25">
      <c r="A8" s="12" t="s">
        <v>3197</v>
      </c>
      <c r="B8" s="12" t="s">
        <v>3208</v>
      </c>
      <c r="C8" s="12" t="s">
        <v>42</v>
      </c>
      <c r="D8" s="12" t="s">
        <v>3211</v>
      </c>
      <c r="E8" s="12" t="s">
        <v>3212</v>
      </c>
    </row>
    <row r="9" spans="1:5" ht="18" customHeight="1" x14ac:dyDescent="0.25">
      <c r="A9" s="12" t="s">
        <v>3197</v>
      </c>
      <c r="B9" s="12" t="s">
        <v>3213</v>
      </c>
      <c r="C9" s="12" t="s">
        <v>464</v>
      </c>
      <c r="D9" s="12" t="s">
        <v>3214</v>
      </c>
      <c r="E9" s="12" t="s">
        <v>3215</v>
      </c>
    </row>
    <row r="10" spans="1:5" ht="18" customHeight="1" x14ac:dyDescent="0.25">
      <c r="A10" s="12" t="s">
        <v>3197</v>
      </c>
      <c r="B10" s="12" t="s">
        <v>3213</v>
      </c>
      <c r="C10" s="12" t="s">
        <v>206</v>
      </c>
      <c r="D10" s="12" t="s">
        <v>24</v>
      </c>
      <c r="E10" s="12" t="s">
        <v>3216</v>
      </c>
    </row>
    <row r="11" spans="1:5" ht="18" customHeight="1" x14ac:dyDescent="0.25">
      <c r="A11" s="12" t="s">
        <v>3197</v>
      </c>
      <c r="B11" s="12" t="s">
        <v>3213</v>
      </c>
      <c r="C11" s="12" t="s">
        <v>371</v>
      </c>
      <c r="D11" s="12" t="s">
        <v>24</v>
      </c>
      <c r="E11" s="12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3073</v>
      </c>
      <c r="B1" s="5" t="s">
        <v>10</v>
      </c>
      <c r="C1" s="15" t="s">
        <v>3218</v>
      </c>
      <c r="D1" s="15" t="s">
        <v>3076</v>
      </c>
    </row>
    <row r="2" spans="1:4" ht="21" customHeight="1" x14ac:dyDescent="0.25">
      <c r="A2" s="103" t="s">
        <v>24</v>
      </c>
      <c r="B2" s="103" t="s">
        <v>38</v>
      </c>
      <c r="C2" s="12" t="s">
        <v>3219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3220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3221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3192</v>
      </c>
      <c r="B1" s="12" t="s">
        <v>3193</v>
      </c>
      <c r="C1" s="13" t="s">
        <v>3194</v>
      </c>
      <c r="D1" s="13" t="s">
        <v>3195</v>
      </c>
      <c r="E1" s="13" t="s">
        <v>3196</v>
      </c>
    </row>
    <row r="2" spans="1:5" ht="18" customHeight="1" x14ac:dyDescent="0.25">
      <c r="A2" s="12" t="s">
        <v>3222</v>
      </c>
      <c r="B2" s="12" t="s">
        <v>3198</v>
      </c>
      <c r="C2" s="14" t="s">
        <v>25</v>
      </c>
      <c r="D2" s="12" t="s">
        <v>3199</v>
      </c>
      <c r="E2" s="17" t="s">
        <v>3223</v>
      </c>
    </row>
    <row r="3" spans="1:5" ht="18" customHeight="1" x14ac:dyDescent="0.25">
      <c r="A3" s="12" t="s">
        <v>3222</v>
      </c>
      <c r="B3" s="12" t="s">
        <v>3198</v>
      </c>
      <c r="C3" s="12" t="s">
        <v>75</v>
      </c>
      <c r="D3" s="12" t="s">
        <v>3201</v>
      </c>
      <c r="E3" s="12" t="s">
        <v>3224</v>
      </c>
    </row>
    <row r="4" spans="1:5" ht="18" customHeight="1" x14ac:dyDescent="0.25">
      <c r="A4" s="12" t="s">
        <v>3222</v>
      </c>
      <c r="B4" s="12" t="s">
        <v>3198</v>
      </c>
      <c r="C4" s="12" t="s">
        <v>79</v>
      </c>
      <c r="D4" s="12" t="s">
        <v>3204</v>
      </c>
      <c r="E4" s="12" t="s">
        <v>3225</v>
      </c>
    </row>
    <row r="5" spans="1:5" ht="27.75" customHeight="1" x14ac:dyDescent="0.25">
      <c r="A5" s="12" t="s">
        <v>3222</v>
      </c>
      <c r="B5" s="12" t="s">
        <v>3198</v>
      </c>
      <c r="C5" s="12" t="s">
        <v>2694</v>
      </c>
      <c r="D5" s="17" t="s">
        <v>3226</v>
      </c>
      <c r="E5" s="12" t="s">
        <v>3227</v>
      </c>
    </row>
    <row r="6" spans="1:5" ht="18" customHeight="1" x14ac:dyDescent="0.25">
      <c r="A6" s="12" t="s">
        <v>3222</v>
      </c>
      <c r="B6" s="12" t="s">
        <v>3198</v>
      </c>
      <c r="C6" s="12" t="s">
        <v>2719</v>
      </c>
      <c r="D6" s="12" t="s">
        <v>3206</v>
      </c>
      <c r="E6" s="12" t="s">
        <v>3207</v>
      </c>
    </row>
    <row r="7" spans="1:5" ht="18" customHeight="1" x14ac:dyDescent="0.25">
      <c r="A7" s="12" t="s">
        <v>3222</v>
      </c>
      <c r="B7" s="12" t="s">
        <v>3208</v>
      </c>
      <c r="C7" s="12" t="s">
        <v>2700</v>
      </c>
      <c r="D7" s="12" t="s">
        <v>3228</v>
      </c>
      <c r="E7" s="12" t="s">
        <v>3229</v>
      </c>
    </row>
    <row r="8" spans="1:5" ht="18" customHeight="1" x14ac:dyDescent="0.25">
      <c r="A8" s="12" t="s">
        <v>3222</v>
      </c>
      <c r="B8" s="12" t="s">
        <v>3208</v>
      </c>
      <c r="C8" s="12" t="s">
        <v>42</v>
      </c>
      <c r="D8" s="12" t="s">
        <v>3211</v>
      </c>
      <c r="E8" s="12" t="s">
        <v>3212</v>
      </c>
    </row>
    <row r="9" spans="1:5" ht="18" customHeight="1" x14ac:dyDescent="0.25">
      <c r="A9" s="12" t="s">
        <v>3222</v>
      </c>
      <c r="B9" s="12" t="s">
        <v>3208</v>
      </c>
      <c r="C9" s="12" t="s">
        <v>2795</v>
      </c>
      <c r="D9" s="12" t="s">
        <v>3230</v>
      </c>
      <c r="E9" s="17" t="s">
        <v>3231</v>
      </c>
    </row>
    <row r="10" spans="1:5" ht="18" customHeight="1" x14ac:dyDescent="0.25">
      <c r="A10" s="12" t="s">
        <v>3222</v>
      </c>
      <c r="B10" s="12" t="s">
        <v>3232</v>
      </c>
      <c r="C10" s="12" t="s">
        <v>3190</v>
      </c>
      <c r="D10" s="12" t="s">
        <v>3233</v>
      </c>
      <c r="E10" s="17" t="s">
        <v>3234</v>
      </c>
    </row>
    <row r="11" spans="1:5" ht="18" customHeight="1" x14ac:dyDescent="0.25">
      <c r="A11" s="12" t="s">
        <v>3222</v>
      </c>
      <c r="B11" s="12" t="s">
        <v>3232</v>
      </c>
      <c r="C11" s="12" t="s">
        <v>206</v>
      </c>
      <c r="D11" s="12" t="s">
        <v>24</v>
      </c>
      <c r="E11" s="12" t="s">
        <v>3216</v>
      </c>
    </row>
    <row r="12" spans="1:5" ht="18" customHeight="1" x14ac:dyDescent="0.25">
      <c r="A12" s="12" t="s">
        <v>3222</v>
      </c>
      <c r="B12" s="12" t="s">
        <v>3232</v>
      </c>
      <c r="C12" s="12" t="s">
        <v>371</v>
      </c>
      <c r="D12" s="12" t="s">
        <v>24</v>
      </c>
      <c r="E12" s="12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70" t="s">
        <v>3235</v>
      </c>
      <c r="B1" s="270"/>
      <c r="C1" s="270"/>
      <c r="D1" s="270"/>
      <c r="E1" s="270"/>
      <c r="F1" s="270"/>
      <c r="G1" s="270"/>
      <c r="H1" s="270"/>
    </row>
    <row r="2" spans="1:8" x14ac:dyDescent="0.25">
      <c r="A2" s="49" t="s">
        <v>3236</v>
      </c>
    </row>
    <row r="4" spans="1:8" ht="21.95" customHeight="1" x14ac:dyDescent="0.25">
      <c r="A4" s="271" t="s">
        <v>3237</v>
      </c>
      <c r="B4" s="272"/>
      <c r="D4" s="271" t="s">
        <v>3238</v>
      </c>
      <c r="E4" s="272"/>
      <c r="G4" s="271" t="s">
        <v>3239</v>
      </c>
      <c r="H4" s="272"/>
    </row>
    <row r="5" spans="1:8" ht="35.1" customHeight="1" x14ac:dyDescent="0.25">
      <c r="A5" s="275">
        <f>COUNTIF('Ações InCompany'!E:E,"*maratona*")</f>
        <v>13</v>
      </c>
      <c r="B5" s="274"/>
      <c r="D5" s="273">
        <f>SUM(H8:H100)</f>
        <v>1762</v>
      </c>
      <c r="E5" s="274"/>
      <c r="G5" s="273">
        <f>IFERROR(ROUND(D5/A5,0),"-")</f>
        <v>136</v>
      </c>
      <c r="H5" s="274"/>
    </row>
    <row r="6" spans="1:8" ht="9.9499999999999993" customHeight="1" x14ac:dyDescent="0.25"/>
    <row r="7" spans="1:8" ht="24.95" customHeight="1" thickBot="1" x14ac:dyDescent="0.3">
      <c r="A7" s="62" t="s">
        <v>3240</v>
      </c>
      <c r="B7" s="62" t="s">
        <v>3241</v>
      </c>
      <c r="C7" s="62" t="s">
        <v>1</v>
      </c>
      <c r="D7" s="62" t="s">
        <v>3242</v>
      </c>
      <c r="E7" s="62" t="s">
        <v>3243</v>
      </c>
      <c r="F7" s="62" t="s">
        <v>3076</v>
      </c>
      <c r="G7" s="62" t="s">
        <v>5</v>
      </c>
      <c r="H7" s="62" t="s">
        <v>3244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76" t="s">
        <v>3245</v>
      </c>
      <c r="B1" s="276"/>
      <c r="C1" s="276"/>
      <c r="D1" s="276"/>
      <c r="E1" s="276"/>
      <c r="F1" s="276"/>
    </row>
    <row r="2" spans="1:7" x14ac:dyDescent="0.25">
      <c r="A2" s="277" t="s">
        <v>3246</v>
      </c>
      <c r="B2" s="277"/>
      <c r="C2" s="277"/>
      <c r="D2" s="277"/>
      <c r="E2" s="277"/>
      <c r="F2" s="277"/>
    </row>
    <row r="4" spans="1:7" x14ac:dyDescent="0.25">
      <c r="A4" s="25" t="s">
        <v>19</v>
      </c>
      <c r="B4" s="25" t="s">
        <v>3146</v>
      </c>
      <c r="C4" s="25" t="s">
        <v>3147</v>
      </c>
      <c r="D4" s="25" t="s">
        <v>3247</v>
      </c>
      <c r="E4" s="25" t="s">
        <v>3148</v>
      </c>
      <c r="F4" s="25" t="s">
        <v>3248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3185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3249</v>
      </c>
      <c r="B1" s="123" t="s">
        <v>3250</v>
      </c>
      <c r="C1" s="123" t="s">
        <v>3251</v>
      </c>
      <c r="D1" s="123" t="s">
        <v>3252</v>
      </c>
      <c r="E1" s="123" t="s">
        <v>3253</v>
      </c>
      <c r="F1" s="123" t="s">
        <v>3254</v>
      </c>
      <c r="G1" s="123" t="s">
        <v>10</v>
      </c>
      <c r="H1" s="123" t="s">
        <v>3255</v>
      </c>
      <c r="I1" s="123" t="s">
        <v>3256</v>
      </c>
      <c r="J1" s="123" t="s">
        <v>3257</v>
      </c>
      <c r="K1" s="123" t="s">
        <v>3258</v>
      </c>
      <c r="L1" s="123" t="s">
        <v>3259</v>
      </c>
      <c r="N1" s="124" t="s">
        <v>3260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3261</v>
      </c>
      <c r="L2" t="str">
        <f>IF(K2="","",IFERROR(INDEX(Tabela2[Curso],MATCH(K2,Tabela2[ID],0)),""))</f>
        <v/>
      </c>
      <c r="N2" s="123" t="s">
        <v>3143</v>
      </c>
      <c r="O2" s="123" t="s">
        <v>4</v>
      </c>
      <c r="P2" s="123" t="s">
        <v>3262</v>
      </c>
      <c r="Q2" s="123" t="s">
        <v>3263</v>
      </c>
      <c r="R2" s="123" t="s">
        <v>3264</v>
      </c>
      <c r="S2" s="123" t="s">
        <v>3265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3261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3261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3261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3261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3261</v>
      </c>
      <c r="L10" t="str">
        <f>IF(K10="","",IFERROR(INDEX(Tabela2[Curso],MATCH(K10,Tabela2[ID],0)),""))</f>
        <v/>
      </c>
      <c r="N10" s="122" t="s">
        <v>3266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3261</v>
      </c>
      <c r="L11" t="str">
        <f>IF(K11="","",IFERROR(INDEX(Tabela2[Curso],MATCH(K11,Tabela2[ID],0)),""))</f>
        <v/>
      </c>
      <c r="N11" s="125" t="s">
        <v>3267</v>
      </c>
      <c r="O11" s="125" t="s">
        <v>3268</v>
      </c>
      <c r="P11" s="125" t="s">
        <v>3269</v>
      </c>
      <c r="Q11" s="125" t="s">
        <v>3252</v>
      </c>
      <c r="R11" s="125" t="s">
        <v>3253</v>
      </c>
      <c r="S11" s="125" t="s">
        <v>3270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3261</v>
      </c>
      <c r="L12" t="str">
        <f>IF(K12="","",IFERROR(INDEX(Tabela2[Curso],MATCH(K12,Tabela2[ID],0)),""))</f>
        <v/>
      </c>
      <c r="N12" t="s">
        <v>3271</v>
      </c>
      <c r="O12" t="s">
        <v>2755</v>
      </c>
      <c r="P12" t="s">
        <v>3272</v>
      </c>
      <c r="Q12">
        <v>0</v>
      </c>
      <c r="R12">
        <v>0</v>
      </c>
      <c r="S12" t="s">
        <v>3273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3261</v>
      </c>
      <c r="L13" t="str">
        <f>IF(K13="","",IFERROR(INDEX(Tabela2[Curso],MATCH(K13,Tabela2[ID],0)),""))</f>
        <v/>
      </c>
      <c r="N13" t="s">
        <v>3274</v>
      </c>
      <c r="O13" t="s">
        <v>2686</v>
      </c>
      <c r="P13" t="s">
        <v>3275</v>
      </c>
      <c r="Q13">
        <v>0</v>
      </c>
      <c r="R13">
        <v>0</v>
      </c>
      <c r="S13" t="s">
        <v>3276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3261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3261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3261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3261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3261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3261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3261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3261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3261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Ações InCompany</vt:lpstr>
      <vt:lpstr>Relatório Saúde Pública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'Relatório Saúde Pública'!Area_de_impressao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Sibele Bertoldo Guerreiro</cp:lastModifiedBy>
  <cp:revision/>
  <dcterms:created xsi:type="dcterms:W3CDTF">2024-04-02T18:43:15Z</dcterms:created>
  <dcterms:modified xsi:type="dcterms:W3CDTF">2026-08-24T17:53:36Z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