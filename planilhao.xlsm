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7" documentId="13_ncr:1_{6A2CC3E2-FAFB-4D8F-B284-5E8FB5045DFE}" xr6:coauthVersionLast="47" xr6:coauthVersionMax="47" xr10:uidLastSave="{8BCAD160-D127-434C-815C-96335BFCAD8B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57" i="23" l="1"/>
  <c r="E57" i="23"/>
  <c r="F57" i="23"/>
  <c r="C57" i="23"/>
  <c r="B57" i="23"/>
  <c r="D56" i="23"/>
  <c r="F56" i="23"/>
  <c r="C56" i="23"/>
  <c r="E56" i="23"/>
  <c r="B56" i="23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A2" i="20" l="1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<sst xmlns="http://schemas.openxmlformats.org/spreadsheetml/2006/main" count="7209" uniqueCount="3182">
  <si>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</si>
  <si>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</si>
  <si>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</si>
  <si>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</si>
  <si>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</si>
  <si>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</si>
  <si>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</si>
  <si>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</si>
  <si>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</si>
  <si>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</si>
  <si>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</si>
  <si>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</si>
  <si>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</si>
  <si>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</si>
  <si>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</si>
  <si>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</si>
  <si>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</si>
  <si>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</si>
  <si>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</si>
  <si>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</si>
  <si>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</si>
  <si>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</si>
  <si>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</si>
  <si>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</si>
  <si>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</si>
  <si>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</si>
  <si>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</si>
  <si>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</si>
  <si>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</si>
  <si>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</si>
  <si>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</si>
  <si>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</si>
  <si>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</si>
  <si>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</si>
  <si>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</si>
  <si>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</si>
  <si>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</si>
  <si>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</si>
  <si>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</si>
  <si>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</si>
  <si>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</si>
  <si>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</si>
  <si>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</si>
  <si>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</si>
  <si>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</si>
  <si>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</si>
  <si>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</si>
  <si>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</si>
  <si>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</si>
  <si>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</si>
  <si>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</si>
  <si>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</si>
  <si>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</si>
  <si>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</si>
  <si>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</si>
  <si>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</si>
  <si>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</si>
  <si>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</si>
  <si>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</si>
  <si>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</si>
  <si>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</si>
  <si>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</si>
  <si>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</si>
  <si>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</si>
  <si>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</si>
  <si>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</si>
  <si>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</si>
  <si>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</si>
  <si>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</si>
  <si>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</si>
  <si>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</si>
  <si>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</si>
  <si>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</si>
  <si>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</si>
  <si>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</si>
  <si>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</si>
  <si>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</si>
  <si>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</si>
  <si>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</si>
  <si>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</si>
  <si>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</si>
  <si>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</si>
  <si>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</si>
  <si>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</si>
  <si>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</si>
  <si>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</si>
  <si>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</si>
  <si>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</si>
  <si>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</si>
  <si>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</si>
  <si>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</si>
  <si>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</si>
  <si>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</si>
  <si>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</si>
  <si>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</si>
  <si>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</si>
  <si>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</si>
  <si>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</si>
  <si>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</si>
  <si>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</si>
  <si>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</si>
  <si>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</si>
  <si>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</si>
  <si>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</si>
  <si>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</si>
  <si>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</si>
  <si>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</si>
  <si>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</si>
  <si>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</si>
  <si>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</si>
  <si>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</si>
  <si>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</si>
  <si>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</si>
  <si>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</si>
  <si>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</si>
  <si>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</si>
  <si>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</si>
  <si>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</si>
  <si>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</si>
  <si>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</si>
  <si>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</si>
  <si>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</si>
  <si>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</si>
  <si>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</si>
  <si>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</si>
  <si>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</si>
  <si>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</si>
  <si>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</si>
  <si>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</si>
  <si>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</si>
  <si>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</si>
  <si>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</si>
  <si>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</si>
  <si>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</si>
  <si>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</si>
  <si>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</si>
  <si>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</si>
  <si>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</si>
  <si>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</si>
  <si>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</si>
  <si>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</si>
  <si>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</si>
  <si>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</si>
  <si>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</si>
  <si>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</si>
  <si>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</si>
  <si>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</si>
  <si>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</si>
  <si>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</si>
  <si>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</si>
  <si>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</si>
  <si>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</si>
  <si>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</si>
  <si>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</si>
  <si>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</si>
  <si>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</si>
  <si>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</si>
  <si>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</si>
  <si>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</si>
  <si>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</si>
  <si>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</si>
  <si>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</si>
  <si>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</si>
  <si>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</si>
  <si>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</si>
  <si>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</si>
  <si>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</si>
  <si>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</si>
  <si>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</si>
  <si>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</si>
  <si>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</si>
  <si>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</si>
  <si>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</si>
  <si>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</si>
  <si>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</si>
  <si>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</si>
  <si>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</si>
  <si>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</si>
  <si>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</si>
  <si>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</si>
  <si>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</si>
  <si>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</si>
  <si>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</si>
  <si>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</si>
  <si>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</si>
  <si>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</si>
  <si>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</si>
  <si>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</si>
  <si>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</si>
  <si>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</si>
  <si>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</si>
  <si>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</si>
  <si>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</si>
  <si>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</si>
  <si>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</si>
  <si>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</si>
  <si>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</si>
  <si>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</si>
  <si>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</si>
  <si>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</si>
  <si>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</si>
  <si>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</si>
  <si>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</si>
  <si>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</si>
  <si>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</si>
  <si>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</si>
  <si>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</si>
  <si>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</si>
  <si>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</si>
  <si>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</si>
  <si>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</si>
  <si>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</si>
  <si>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</si>
  <si>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</si>
  <si>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</si>
  <si>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</si>
  <si>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</si>
  <si>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</si>
  <si>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</si>
  <si>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</si>
  <si>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</si>
  <si>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</si>
  <si>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</si>
  <si>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</si>
  <si>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</si>
  <si>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</si>
  <si>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</si>
  <si>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</si>
  <si>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</si>
  <si>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</si>
  <si>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</si>
  <si>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</si>
  <si>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</si>
  <si>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</si>
  <si>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</si>
  <si>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</si>
  <si>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</si>
  <si>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</si>
  <si>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</si>
  <si>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</si>
  <si>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</si>
  <si>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</si>
  <si>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</si>
  <si>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</si>
  <si>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</si>
  <si>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</si>
  <si>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</si>
  <si>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</si>
  <si>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</si>
  <si>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</si>
  <si>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</si>
  <si>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</si>
  <si>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</si>
  <si>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</si>
  <si>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</si>
  <si>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</si>
  <si>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</si>
  <si>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</si>
  <si>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</si>
  <si>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</si>
  <si>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</si>
  <si>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</si>
  <si>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</si>
  <si>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</si>
  <si>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</si>
  <si>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</si>
  <si>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</si>
  <si>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</si>
  <si>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</si>
  <si>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</si>
  <si>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</si>
  <si>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</si>
  <si>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</si>
  <si>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</si>
  <si>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</si>
  <si>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</si>
  <si>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</si>
  <si>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</si>
  <si>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</si>
  <si>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</si>
  <si>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</si>
  <si>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</si>
  <si>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</si>
  <si>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</si>
  <si>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</si>
  <si>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</si>
  <si>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</si>
  <si>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</si>
  <si>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</si>
  <si>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</si>
  <si>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</si>
  <si>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</si>
  <si>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</si>
  <si>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</si>
  <si>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</si>
  <si>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</si>
  <si>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</si>
  <si>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</si>
  <si>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</si>
  <si>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</si>
  <si>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</si>
  <si>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</si>
  <si>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</si>
  <si>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</si>
  <si>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</si>
  <si>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</si>
  <si>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</si>
  <si>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</si>
  <si>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</si>
  <si>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</si>
  <si>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</si>
  <si>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</si>
  <si>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</si>
  <si>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</si>
  <si>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</si>
  <si>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</si>
  <si>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</si>
  <si>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</si>
  <si>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</si>
  <si>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</si>
  <si>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</si>
  <si>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</si>
  <si>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</si>
  <si>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</si>
  <si>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</si>
  <si>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</si>
  <si>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</si>
  <si>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</si>
  <si>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</si>
  <si>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</si>
  <si>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</si>
  <si>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</si>
  <si>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</si>
  <si>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</si>
  <si>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</si>
  <si>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</si>
  <si>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</si>
  <si>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</si>
  <si>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</si>
  <si>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</si>
  <si>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</si>
  <si>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</si>
  <si>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</si>
  <si>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</si>
  <si>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</si>
  <si>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</si>
  <si>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</si>
  <si>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</si>
  <si>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</si>
  <si>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</si>
  <si>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</si>
  <si>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</si>
  <si>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</si>
  <si>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</si>
  <si>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</si>
  <si>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</si>
  <si>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</si>
  <si>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</si>
  <si>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</si>
  <si>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</si>
  <si>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</si>
  <si>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</si>
  <si>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</si>
  <si>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</si>
  <si>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</si>
  <si>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</si>
  <si>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</si>
  <si>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</si>
  <si>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</si>
  <si>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</si>
  <si>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</si>
  <si>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</si>
  <si>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</si>
  <si>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</si>
  <si>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</si>
  <si>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</si>
  <si>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</si>
  <si>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</si>
  <si>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</si>
  <si>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</si>
  <si>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</si>
  <si>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</si>
  <si>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</si>
  <si>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</si>
  <si>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</si>
  <si>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</si>
  <si>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</si>
  <si>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</si>
  <si>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</si>
  <si>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</si>
  <si>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</si>
  <si>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</si>
  <si>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</si>
  <si>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</si>
  <si>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</si>
  <si>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</si>
  <si>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</si>
  <si>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</si>
  <si>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</si>
  <si>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</si>
  <si>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</si>
  <si>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</si>
  <si>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</si>
  <si>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</si>
  <si>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</si>
  <si>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</si>
  <si>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</si>
  <si>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</si>
  <si>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</si>
  <si>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</si>
  <si>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</si>
  <si>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</si>
  <si>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</si>
  <si>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</si>
  <si>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</si>
  <si>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</si>
  <si>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</si>
  <si>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</si>
  <si>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</si>
  <si>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</si>
  <si>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</si>
  <si>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</si>
  <si>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</si>
  <si>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</si>
  <si>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</si>
  <si>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</si>
  <si>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</si>
  <si>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</si>
  <si>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</si>
  <si>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</si>
  <si>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</si>
  <si>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</si>
  <si>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</si>
  <si>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</si>
  <si>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</si>
  <si>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</si>
  <si>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</si>
  <si>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</si>
  <si>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</si>
  <si>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</si>
  <si>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</si>
  <si>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</si>
  <si>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</si>
  <si>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</si>
  <si>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</si>
  <si>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</si>
  <si>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</si>
  <si>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</si>
  <si>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</si>
  <si>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</si>
  <si>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</si>
  <si>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</si>
  <si>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</si>
  <si>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</si>
  <si>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</si>
  <si>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</si>
  <si>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</si>
  <si>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</si>
  <si>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</si>
  <si>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</si>
  <si>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</si>
  <si>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</si>
  <si>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</si>
  <si>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</si>
  <si>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</si>
  <si>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</si>
  <si>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</si>
  <si>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</si>
  <si>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</si>
  <si>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</si>
  <si>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</si>
  <si>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</si>
  <si>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</si>
  <si>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</si>
  <si>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</si>
  <si>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</si>
  <si>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</si>
  <si>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</si>
  <si>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</si>
  <si>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</si>
  <si>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</si>
  <si>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</si>
  <si>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</si>
  <si>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</si>
  <si>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</si>
  <si>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</si>
  <si>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</si>
  <si>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</si>
  <si>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</si>
  <si>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</si>
  <si>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</si>
  <si>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</si>
  <si>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</si>
  <si>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</si>
  <si>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</si>
  <si>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</si>
  <si>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</si>
  <si>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</si>
  <si>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</si>
  <si>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</si>
  <si>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</si>
  <si>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</si>
  <si>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</si>
  <si>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</si>
  <si>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</si>
  <si>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</si>
  <si>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</si>
  <si>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</si>
  <si>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</si>
  <si>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</si>
  <si>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</si>
  <si>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</si>
  <si>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</si>
  <si>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</si>
  <si>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</si>
  <si>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</si>
  <si>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</si>
  <si>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</si>
  <si>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</si>
  <si>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</si>
  <si>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</si>
  <si>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</si>
  <si>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</si>
  <si>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</si>
  <si>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</si>
  <si>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</si>
  <si>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</si>
  <si>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</si>
  <si>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</si>
  <si>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</si>
  <si>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</si>
  <si>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</si>
  <si>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</si>
  <si>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</si>
  <si>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</si>
  <si>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</si>
  <si>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</si>
  <si>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</si>
  <si>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</si>
  <si>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</si>
  <si>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</si>
  <si>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</si>
  <si>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</si>
  <si>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</si>
  <si>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</si>
  <si>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</si>
  <si>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</si>
  <si>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</si>
  <si>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</si>
  <si>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</si>
  <si>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</si>
  <si>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</si>
  <si>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</si>
  <si>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</si>
  <si>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</si>
  <si>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</si>
  <si>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</si>
  <si>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</si>
  <si>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</si>
  <si>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</si>
  <si>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</si>
  <si>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</si>
  <si>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</si>
  <si>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</si>
  <si>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</si>
  <si>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</si>
  <si>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</si>
  <si>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</si>
  <si>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</si>
  <si>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</si>
  <si>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</si>
  <si>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</si>
  <si>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</si>
  <si>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</si>
  <si>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</si>
  <si>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</si>
  <si>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</si>
  <si>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</si>
  <si>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</si>
  <si>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</si>
  <si>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</si>
  <si>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</si>
  <si>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</si>
  <si>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</si>
  <si>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</si>
  <si>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</si>
  <si>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</si>
  <si>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</si>
  <si>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</si>
  <si>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</si>
  <si>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</si>
  <si>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</si>
  <si>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</si>
  <si>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</si>
  <si>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</si>
  <si>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</si>
  <si>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</si>
  <si>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</si>
  <si>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</si>
  <si>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</si>
  <si>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</si>
  <si>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</si>
  <si>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</si>
  <si>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</si>
  <si>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</si>
  <si>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</si>
  <si>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</si>
  <si>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</si>
  <si>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</si>
  <si>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</si>
  <si>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</si>
  <si>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</si>
  <si>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</si>
  <si>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</si>
  <si>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</si>
  <si>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</si>
  <si>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</si>
  <si>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</si>
  <si>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</si>
  <si>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</si>
  <si>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</si>
  <si>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</si>
  <si>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</si>
  <si>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</si>
  <si>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</si>
  <si>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</si>
  <si>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</si>
  <si>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</si>
  <si>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</si>
  <si>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</si>
  <si>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</si>
  <si>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</si>
  <si>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</si>
  <si>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</si>
  <si>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</si>
  <si>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</si>
  <si>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</si>
  <si>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</si>
  <si>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</si>
  <si>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</si>
  <si>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</si>
  <si>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</si>
  <si>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</si>
  <si>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</si>
  <si>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</si>
  <si>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</si>
  <si>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</si>
  <si>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</si>
  <si>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</si>
  <si>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</si>
  <si>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</si>
  <si>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</si>
  <si>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</si>
  <si>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</si>
  <si>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</si>
  <si>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</si>
  <si>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</si>
  <si>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</si>
  <si>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</si>
  <si>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</si>
  <si>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</si>
  <si>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</si>
  <si>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</si>
  <si>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</si>
  <si>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</si>
  <si>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</si>
  <si>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</si>
  <si>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</si>
  <si>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</si>
  <si>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</si>
  <si>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</si>
  <si>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</si>
  <si>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</si>
  <si>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</si>
  <si>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</si>
  <si>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</si>
  <si>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</si>
  <si>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</si>
  <si>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</si>
  <si>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</si>
  <si>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</si>
  <si>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</si>
  <si>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</si>
  <si>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</si>
  <si>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</si>
  <si>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</si>
  <si>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</si>
  <si>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</si>
  <si>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</si>
  <si>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</si>
  <si>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</si>
  <si>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</si>
  <si>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</si>
  <si>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</si>
  <si>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</si>
  <si>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</si>
  <si>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</si>
  <si>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</si>
  <si>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</si>
  <si>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</si>
  <si>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</si>
  <si>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</si>
  <si>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</si>
  <si>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</si>
  <si>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</si>
  <si>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</si>
  <si>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</si>
  <si>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</si>
  <si>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</si>
  <si>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</si>
  <si>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</si>
  <si>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</si>
  <si>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</si>
  <si>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</si>
  <si>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</si>
  <si>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</si>
  <si>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</si>
  <si>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</si>
  <si>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</si>
  <si>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</si>
  <si>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</si>
  <si>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</si>
  <si>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</si>
  <si>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</si>
  <si>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</si>
  <si>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</si>
  <si>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</si>
  <si>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</si>
  <si>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</si>
  <si>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</si>
  <si>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</si>
  <si>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</si>
  <si>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</si>
  <si>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</si>
  <si>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</si>
  <si>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</si>
  <si>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</si>
  <si>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</si>
  <si>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</si>
  <si>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</si>
  <si>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</si>
  <si>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</si>
  <si>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</si>
  <si>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</si>
  <si>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</si>
  <si>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</si>
  <si>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</si>
  <si>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</si>
  <si>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</si>
  <si>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</si>
  <si>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</si>
  <si>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</si>
  <si>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</si>
  <si>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</si>
  <si>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</si>
  <si>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</si>
  <si>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</si>
  <si>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</si>
  <si>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</si>
  <si>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</si>
  <si>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</si>
  <si>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</si>
  <si>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</si>
  <si>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</si>
  <si>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</si>
  <si>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</si>
  <si>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</si>
  <si>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</si>
  <si>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</si>
  <si>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</si>
  <si>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</si>
  <si>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</si>
  <si>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</si>
  <si>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</si>
  <si>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</si>
  <si>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</si>
  <si>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</si>
  <si>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</si>
  <si>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</si>
  <si>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</si>
  <si>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</si>
  <si>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</si>
  <si>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</si>
  <si>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</si>
  <si>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</si>
  <si>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</si>
  <si>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</si>
  <si>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</si>
  <si>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</si>
  <si>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</si>
  <si>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</si>
  <si>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</si>
  <si>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</si>
  <si>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</si>
  <si>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</si>
  <si>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</si>
  <si>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</si>
  <si>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</si>
  <si>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</si>
  <si>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</si>
  <si>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</si>
  <si>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</si>
  <si>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</si>
  <si>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</si>
  <si>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</si>
  <si>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</si>
  <si>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</si>
  <si>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</si>
  <si>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</si>
  <si>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</si>
  <si>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</si>
  <si>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</si>
  <si>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</si>
  <si>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</si>
  <si>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</si>
  <si>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</si>
  <si>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</si>
  <si>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</si>
  <si>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</si>
  <si>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</si>
  <si>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</si>
  <si>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</si>
  <si>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</si>
  <si>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</si>
  <si>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</si>
  <si>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</si>
  <si>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</si>
  <si>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</si>
  <si>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</si>
  <si>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</si>
  <si>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</si>
  <si>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</si>
  <si>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</si>
  <si>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</si>
  <si>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</si>
  <si>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</si>
  <si>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</si>
  <si>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</si>
  <si>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</si>
  <si>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</si>
  <si>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</si>
  <si>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</si>
  <si>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</si>
  <si>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</si>
  <si>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</si>
  <si>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</si>
  <si>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</si>
  <si>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</si>
  <si>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</si>
  <si>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</si>
  <si>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</si>
  <si>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</si>
  <si>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</si>
  <si>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</si>
  <si>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</si>
  <si>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</si>
  <si>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</si>
  <si>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</si>
  <si>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</si>
  <si>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</si>
  <si>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</si>
  <si>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</si>
  <si>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</si>
  <si>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</si>
  <si>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</si>
  <si>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</si>
  <si>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</si>
  <si>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</si>
  <si>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</si>
  <si>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</si>
  <si>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</si>
  <si>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</si>
  <si>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</si>
  <si>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</si>
  <si>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</si>
  <si>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</si>
  <si>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</si>
  <si>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</si>
  <si>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</si>
  <si>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</si>
  <si>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</si>
  <si>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</si>
  <si>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</si>
  <si>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</si>
  <si>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</si>
  <si>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</si>
  <si>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</si>
  <si>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</si>
  <si>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</si>
  <si>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</si>
  <si>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</si>
  <si>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</si>
  <si>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</si>
  <si>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</si>
  <si>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</si>
  <si>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</si>
  <si>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</si>
  <si>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</si>
  <si>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</si>
  <si>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</si>
  <si>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</si>
  <si>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</si>
  <si>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</si>
  <si>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</si>
  <si>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</si>
  <si>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</si>
  <si>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</si>
  <si>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</si>
  <si>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</si>
  <si>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</si>
  <si>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</si>
  <si>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</si>
  <si>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</si>
  <si>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</si>
  <si>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</si>
  <si>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</si>
  <si>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</si>
  <si>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</si>
  <si>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</si>
  <si>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</si>
  <si>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</si>
  <si>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</si>
  <si>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</si>
  <si>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</si>
  <si>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</si>
  <si>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</si>
  <si>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</si>
  <si>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</si>
  <si>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</si>
  <si>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</si>
  <si>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</si>
  <si>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</si>
  <si>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</si>
  <si>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</si>
  <si>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</si>
  <si>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</si>
  <si>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</si>
  <si>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</si>
  <si>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</si>
  <si>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</si>
  <si>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</si>
  <si>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</si>
  <si>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</si>
  <si>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</si>
  <si>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</si>
  <si>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</si>
  <si>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</si>
  <si>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</si>
  <si>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</si>
  <si>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</si>
  <si>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</si>
  <si>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</si>
  <si>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</si>
  <si>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</si>
  <si>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</si>
  <si>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</si>
  <si>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</si>
  <si>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</si>
  <si>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</si>
  <si>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</si>
  <si>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</si>
  <si>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</si>
  <si>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</si>
  <si>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</si>
  <si>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</si>
  <si>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</si>
  <si>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</si>
  <si>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</si>
  <si>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</si>
  <si>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</si>
  <si>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</si>
  <si>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</si>
  <si>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</si>
  <si>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</si>
  <si>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</si>
  <si>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</si>
  <si>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</si>
  <si>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</si>
  <si>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</si>
  <si>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</si>
  <si>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</si>
  <si>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</si>
  <si>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</si>
  <si>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</si>
  <si>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</si>
  <si>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</si>
  <si>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</si>
  <si>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</si>
  <si>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</si>
  <si>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</si>
  <si>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</si>
  <si>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</si>
  <si>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</si>
  <si>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</si>
  <si>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</si>
  <si>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</si>
  <si>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</si>
  <si>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</si>
  <si>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</si>
  <si>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</si>
  <si>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</si>
  <si>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</si>
  <si>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</si>
  <si>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</si>
  <si>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</si>
  <si>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</si>
  <si>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</si>
  <si>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</si>
  <si>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</si>
  <si>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</si>
  <si>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</si>
  <si>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</si>
  <si>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</si>
  <si>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</si>
  <si>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</si>
  <si>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</si>
  <si>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</si>
  <si>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</si>
  <si>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</si>
  <si>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</si>
  <si>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</si>
  <si>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</si>
  <si>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</si>
  <si>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</si>
  <si>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</si>
  <si>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</si>
  <si>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</si>
  <si>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</si>
  <si>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</si>
  <si>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</si>
  <si>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</si>
  <si>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</si>
  <si>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</si>
  <si>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</si>
  <si>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</si>
  <si>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</si>
  <si>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</si>
  <si>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</si>
  <si>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</si>
  <si>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</si>
  <si>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</si>
  <si>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</si>
  <si>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</si>
  <si>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</si>
  <si>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</si>
  <si>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</si>
  <si>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</si>
  <si>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</si>
  <si>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</si>
  <si>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</si>
  <si>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</si>
  <si>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</si>
  <si>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</si>
  <si>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</si>
  <si>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</si>
  <si>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</si>
  <si>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</si>
  <si>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</si>
  <si>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</si>
  <si>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</si>
  <si>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</si>
  <si>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</si>
  <si>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</si>
  <si>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</si>
  <si>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</si>
  <si>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</si>
  <si>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</si>
  <si>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</si>
  <si>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</si>
  <si>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</si>
  <si>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</si>
  <si>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</si>
  <si>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</si>
  <si>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</si>
  <si>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</si>
  <si>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</si>
  <si>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</si>
  <si>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</si>
  <si>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</si>
  <si>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</si>
  <si>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</si>
  <si>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</si>
  <si>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</si>
  <si>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</si>
  <si>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</si>
  <si>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</si>
  <si>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</si>
  <si>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</si>
  <si>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</si>
  <si>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</si>
  <si>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</si>
  <si>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</si>
  <si>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</si>
  <si>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</si>
  <si>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</si>
  <si>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</si>
  <si>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</si>
  <si>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</si>
  <si>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</si>
  <si>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</si>
  <si>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</si>
  <si>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</si>
  <si>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</si>
  <si>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</si>
  <si>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</si>
  <si>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</si>
  <si>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</si>
  <si>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</si>
  <si>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</si>
  <si>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</si>
  <si>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</si>
  <si>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</si>
  <si>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</si>
  <si>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</si>
  <si>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</si>
  <si>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</si>
  <si>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</si>
  <si>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</si>
  <si>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</si>
  <si>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</si>
  <si>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</si>
  <si>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</si>
  <si>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</si>
  <si>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</si>
  <si>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</si>
  <si>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</si>
  <si>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</si>
  <si>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</si>
  <si>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</si>
  <si>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</si>
  <si>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</si>
  <si>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</si>
  <si>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</si>
  <si>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</si>
  <si>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</si>
  <si>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</si>
  <si>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</si>
  <si>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</si>
  <si>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</si>
  <si>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</si>
  <si>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</si>
  <si>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</si>
  <si>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</si>
  <si>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</si>
  <si>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</si>
  <si>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</si>
  <si>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</si>
  <si>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</si>
  <si>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</si>
  <si>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</si>
  <si>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</si>
  <si>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</si>
  <si>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</si>
  <si>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</si>
  <si>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</si>
  <si>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</si>
  <si>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</si>
  <si>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</si>
  <si>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</si>
  <si>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</si>
  <si>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</si>
  <si>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</si>
  <si>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</si>
  <si>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</si>
  <si>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</si>
  <si>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</si>
  <si>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</si>
  <si>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</si>
  <si>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</si>
  <si>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</si>
  <si>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</si>
  <si>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</si>
  <si>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</si>
  <si>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</si>
  <si>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</si>
  <si>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</si>
  <si>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</si>
  <si>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</si>
  <si>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</si>
  <si>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</si>
  <si>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</si>
  <si>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</si>
  <si>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</si>
  <si>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</si>
  <si>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</si>
  <si>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</si>
  <si>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</si>
  <si>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</si>
  <si>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</si>
  <si>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</si>
  <si>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</si>
  <si>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</si>
  <si>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</si>
  <si>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</si>
  <si>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</si>
  <si>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</si>
  <si>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</si>
  <si>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</si>
  <si>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</si>
  <si>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</si>
  <si>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</si>
  <si>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</si>
  <si>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</si>
  <si>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</si>
  <si>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</si>
  <si>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</si>
  <si>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</si>
  <si>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</si>
  <si>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</si>
  <si>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</si>
  <si>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</si>
  <si>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</si>
  <si>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</si>
  <si>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</si>
  <si>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</si>
  <si>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</si>
  <si>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</si>
  <si>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</si>
  <si>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</si>
  <si>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</si>
  <si>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</si>
  <si>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</si>
  <si>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</si>
  <si>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</si>
  <si>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</si>
  <si>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</si>
  <si>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</si>
  <si>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</si>
  <si>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</si>
  <si>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</si>
  <si>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</si>
  <si>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</si>
  <si>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</si>
  <si>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</si>
  <si>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</si>
  <si>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</si>
  <si>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</si>
  <si>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</si>
  <si>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</si>
  <si>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</si>
  <si>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</si>
  <si>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</si>
  <si>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</si>
  <si>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</si>
  <si>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</si>
  <si>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</si>
  <si>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</si>
  <si>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</si>
  <si>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</si>
  <si>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</si>
  <si>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</si>
  <si>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</si>
  <si>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</si>
  <si>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</si>
  <si>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</si>
  <si>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</si>
  <si>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</si>
  <si>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</si>
  <si>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</si>
  <si>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</si>
  <si>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</si>
  <si>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</si>
  <si>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</si>
  <si>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</si>
  <si>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</si>
  <si>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</si>
  <si>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</si>
  <si>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</si>
  <si>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</si>
  <si>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</si>
  <si>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</si>
  <si>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</si>
  <si>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</si>
  <si>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</si>
  <si>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</si>
  <si>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</si>
  <si>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</si>
  <si>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</si>
  <si>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</si>
  <si>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</si>
  <si>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</si>
  <si>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</si>
  <si>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</si>
  <si>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</si>
  <si>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</si>
  <si>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</si>
  <si>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</si>
  <si>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</si>
  <si>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</si>
  <si>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</si>
  <si>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</si>
  <si>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</si>
  <si>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</si>
  <si>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</si>
  <si>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</si>
  <si>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</si>
  <si>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</si>
  <si>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</si>
  <si>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</si>
  <si>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</si>
  <si>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</si>
  <si>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</si>
  <si>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</si>
  <si>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</si>
  <si>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</si>
  <si>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</si>
  <si>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</si>
  <si>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</si>
  <si>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</si>
  <si>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</si>
  <si>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</si>
  <si>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</si>
  <si>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</si>
  <si>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</si>
  <si>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</si>
  <si>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</si>
  <si>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</si>
  <si>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</si>
  <si>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</si>
  <si>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</si>
  <si>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</si>
  <si>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</si>
  <si>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</si>
  <si>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</si>
  <si>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</si>
  <si>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</si>
  <si>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</si>
  <si>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</si>
  <si>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</si>
  <si>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</si>
  <si>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</si>
  <si>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</si>
  <si>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</si>
  <si>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</si>
  <si>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</si>
  <si>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</si>
  <si>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</si>
  <si>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</si>
  <si>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</si>
  <si>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</si>
  <si>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</si>
  <si>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</si>
  <si>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</si>
  <si>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</si>
  <si>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</si>
  <si>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</si>
  <si>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</si>
  <si>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</si>
  <si>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</si>
  <si>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</si>
  <si>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</si>
  <si>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</si>
  <si>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</si>
  <si>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</si>
  <si>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</si>
  <si>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</si>
  <si>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</si>
  <si>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</si>
  <si>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</si>
  <si>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</si>
  <si>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</si>
  <si>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</si>
  <si>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</si>
  <si>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</si>
  <si>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</si>
  <si>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</si>
  <si>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</si>
  <si>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</si>
  <si>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</si>
  <si>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</si>
  <si>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</si>
  <si>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</si>
  <si>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</si>
  <si>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</si>
  <si>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</si>
  <si>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</si>
  <si>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</si>
  <si>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</si>
  <si>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</si>
  <si>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</si>
  <si>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</si>
  <si>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</si>
  <si>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</si>
  <si>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</si>
  <si>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</si>
  <si>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</si>
  <si>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</si>
  <si>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</si>
  <si>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</si>
  <si>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</si>
  <si>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</si>
  <si>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</si>
  <si>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</si>
  <si>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</si>
  <si>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</si>
  <si>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</si>
  <si>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</si>
  <si>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</si>
  <si>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</si>
  <si>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</si>
  <si>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</si>
  <si>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</si>
  <si>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</si>
  <si>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</si>
  <si>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</si>
  <si>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</si>
  <si>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</si>
  <si>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</si>
  <si>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</si>
  <si>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</si>
  <si>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</si>
  <si>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</si>
  <si>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</si>
  <si>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</si>
  <si>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</si>
  <si>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</si>
  <si>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</si>
  <si>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</si>
  <si>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</si>
  <si>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</si>
  <si>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</si>
  <si>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</si>
  <si>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</si>
  <si>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</si>
  <si>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</si>
  <si>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</si>
  <si>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</si>
  <si>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</si>
  <si>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</si>
  <si>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</si>
  <si>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</si>
  <si>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</si>
  <si>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</si>
  <si>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</si>
  <si>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</si>
  <si>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</si>
  <si>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</si>
  <si>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</si>
  <si>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</si>
  <si>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</si>
  <si>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</si>
  <si>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</si>
  <si>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</si>
  <si>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</si>
  <si>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</si>
  <si>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</si>
  <si>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</si>
  <si>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</si>
  <si>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</si>
  <si>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</si>
  <si>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</si>
  <si>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</si>
  <si>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</si>
  <si>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</si>
  <si>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</si>
  <si>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</si>
  <si>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</si>
  <si>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</si>
  <si>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</si>
  <si>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</si>
  <si>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</si>
  <si>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</si>
  <si>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</si>
  <si>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</si>
  <si>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</si>
  <si>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</si>
  <si>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</si>
  <si>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</si>
  <si>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</si>
  <si>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</si>
  <si>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</si>
  <si>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</si>
  <si>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</si>
  <si>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</si>
  <si>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</si>
  <si>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</si>
  <si>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</si>
  <si>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</si>
  <si>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</si>
  <si>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</si>
  <si>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</si>
  <si>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</si>
  <si>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</si>
  <si>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</si>
  <si>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</si>
  <si>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</si>
  <si>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</si>
  <si>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</si>
  <si>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</si>
  <si>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</si>
  <si>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</si>
  <si>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</si>
  <si>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</si>
  <si>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</si>
  <si>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</si>
  <si>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</si>
  <si>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</si>
  <si>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</si>
  <si>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</si>
  <si>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</si>
  <si>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</si>
  <si>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</si>
  <si>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</si>
  <si>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</si>
  <si>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</si>
  <si>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</si>
  <si>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</si>
  <si>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</si>
  <si>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</si>
  <si>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</si>
  <si>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</si>
  <si>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</si>
  <si>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</si>
  <si>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</si>
  <si>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</si>
  <si>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</si>
  <si>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</si>
  <si>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</si>
  <si>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</si>
  <si>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</si>
  <si>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</si>
  <si>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</si>
  <si>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</si>
  <si>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</si>
  <si>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</si>
  <si>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</si>
  <si>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</si>
  <si>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</si>
  <si>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</si>
  <si>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</si>
  <si>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</si>
  <si>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</si>
  <si>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</si>
  <si>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</si>
  <si>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</si>
  <si>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</si>
  <si>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</si>
  <si>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</si>
  <si>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</si>
  <si>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</si>
  <si>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</si>
  <si>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</si>
  <si>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</si>
  <si>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</si>
  <si>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</si>
  <si>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</si>
  <si>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</si>
  <si>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</si>
  <si>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</si>
  <si>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</si>
  <si>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</si>
  <si>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</si>
  <si>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</si>
  <si>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</si>
  <si>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</si>
  <si>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</si>
  <si>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</si>
  <si>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</si>
  <si>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</si>
  <si>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</si>
  <si>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</si>
  <si>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</si>
  <si>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</si>
  <si>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</si>
  <si>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</si>
  <si>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</si>
  <si>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</si>
  <si>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</si>
  <si>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</si>
  <si>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</si>
  <si>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</si>
  <si>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</si>
  <si>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</si>
  <si>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</si>
  <si>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</si>
  <si>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</si>
  <si>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</si>
  <si>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</si>
  <si>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</si>
  <si>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</si>
  <si>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</si>
  <si>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</si>
  <si>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</si>
  <si>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</si>
  <si>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</si>
  <si>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</si>
  <si>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</si>
  <si>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</si>
  <si>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</si>
  <si>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</si>
  <si>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</si>
  <si>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</si>
  <si>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</si>
  <si>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</si>
  <si>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</si>
  <si>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</si>
  <si>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</si>
  <si>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</si>
  <si>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</si>
  <si>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</si>
  <si>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</si>
  <si>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</si>
  <si>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</si>
  <si>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</si>
  <si>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</si>
  <si>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</si>
  <si>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</si>
  <si>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</si>
  <si>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</si>
  <si>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</si>
  <si>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</si>
  <si>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</si>
  <si>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</si>
  <si>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</si>
  <si>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</si>
  <si>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</si>
  <si>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</si>
  <si>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</si>
  <si>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</si>
  <si>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</si>
  <si>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</si>
  <si>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</si>
  <si>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</si>
  <si>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</si>
  <si>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</si>
  <si>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</si>
  <si>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</si>
  <si>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</si>
  <si>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</si>
  <si>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</si>
  <si>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</si>
  <si>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</si>
  <si>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</si>
  <si>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</si>
  <si>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</si>
  <si>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</si>
  <si>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</si>
  <si>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</si>
  <si>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</si>
  <si>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</si>
  <si>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</si>
  <si>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</si>
  <si>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</si>
  <si>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</si>
  <si>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</si>
  <si>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</si>
  <si>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</si>
  <si>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</si>
  <si>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</si>
  <si>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</si>
  <si>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</si>
  <si>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</si>
  <si>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</si>
  <si>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</si>
  <si>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</si>
  <si>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</si>
  <si>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</si>
  <si>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</si>
  <si>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</si>
  <si>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</si>
  <si>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</si>
  <si>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</si>
  <si>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</si>
  <si>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</si>
  <si>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</si>
  <si>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</si>
  <si>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</si>
  <si>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</si>
  <si>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</si>
  <si>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</si>
  <si>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</si>
  <si>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</si>
  <si>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</si>
  <si>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</si>
  <si>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</si>
  <si>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</si>
  <si>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</si>
  <si>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</si>
  <si>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</si>
  <si>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</si>
  <si>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</si>
  <si>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</si>
  <si>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</si>
  <si>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</si>
  <si>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</si>
  <si>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</si>
  <si>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</si>
  <si>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</si>
  <si>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</si>
  <si>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</si>
  <si>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</si>
  <si>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</si>
  <si>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</si>
  <si>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</si>
  <si>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</si>
  <si>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</si>
  <si>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</si>
  <si>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</si>
  <si>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</si>
  <si>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</si>
  <si>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</si>
  <si>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</si>
  <si>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</si>
  <si>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</si>
  <si>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</si>
  <si>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</si>
  <si>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</si>
  <si>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</si>
  <si>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</si>
  <si>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</si>
  <si>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</si>
  <si>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</si>
  <si>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</si>
  <si>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</si>
  <si>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</si>
  <si>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</si>
  <si>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</si>
  <si>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</si>
  <si>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</si>
  <si>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</si>
  <si>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</si>
  <si>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</si>
  <si>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</si>
  <si>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</si>
  <si>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</si>
  <si>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</si>
  <si>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</si>
  <si>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</si>
  <si>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</si>
  <si>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</si>
  <si>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</si>
  <si>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</si>
  <si>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</si>
  <si>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</si>
  <si>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</si>
  <si>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</si>
  <si>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</si>
  <si>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</si>
  <si>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</si>
  <si>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</si>
  <si>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</si>
  <si>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</si>
  <si>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</si>
  <si>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</si>
  <si>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</si>
  <si>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</si>
  <si>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</si>
  <si>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</si>
  <si>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</si>
  <si>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</si>
  <si>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</si>
  <si>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</si>
  <si>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</si>
  <si>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</si>
  <si>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</si>
  <si>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</si>
  <si>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</si>
  <si>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</si>
  <si>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</si>
  <si>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</si>
  <si>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</si>
  <si>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</si>
  <si>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</si>
  <si>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</si>
  <si>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</si>
  <si>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</si>
  <si>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</si>
  <si>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</si>
  <si>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</si>
  <si>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</si>
  <si>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</si>
  <si>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</si>
  <si>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</si>
  <si>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</si>
  <si>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</si>
  <si>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</si>
  <si>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</si>
  <si>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</si>
  <si>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</si>
  <si>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</si>
  <si>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</si>
  <si>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</si>
  <si>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</si>
  <si>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</si>
  <si>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</si>
  <si>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</si>
  <si>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</si>
  <si>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</si>
  <si>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</si>
  <si>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</si>
  <si>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</si>
  <si>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</si>
  <si>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</si>
  <si>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</si>
  <si>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</si>
  <si>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</si>
  <si>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</si>
  <si>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</si>
  <si>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</si>
  <si>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</si>
  <si>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</si>
  <si>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</si>
  <si>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</si>
  <si>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</si>
  <si>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</si>
  <si>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</si>
  <si>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</si>
  <si>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</si>
  <si>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</si>
  <si>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</si>
  <si>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</si>
  <si>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</si>
  <si>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</si>
  <si>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</si>
  <si>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</si>
  <si>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</si>
  <si>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</si>
  <si>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</si>
  <si>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</si>
  <si>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</si>
  <si>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</si>
  <si>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</si>
  <si>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</si>
  <si>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</si>
  <si>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</si>
  <si>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</si>
  <si>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</si>
  <si>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</si>
  <si>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</si>
  <si>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</si>
  <si>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</si>
  <si>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</si>
  <si>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</si>
  <si>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</si>
  <si>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</si>
  <si>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</si>
  <si>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</si>
  <si>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</si>
  <si>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</si>
  <si>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</si>
  <si>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</si>
  <si>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</si>
  <si>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</si>
  <si>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</si>
  <si>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</si>
  <si>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</si>
  <si>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</si>
  <si>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</si>
  <si>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</si>
  <si>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</si>
  <si>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</si>
  <si>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</si>
  <si>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</si>
  <si>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</si>
  <si>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</si>
  <si>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</si>
  <si>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</si>
  <si>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</si>
  <si>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</si>
  <si>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</si>
  <si>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</si>
  <si>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</si>
  <si>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</si>
  <si>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</si>
  <si>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</si>
  <si>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</si>
  <si>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</si>
  <si>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</si>
  <si>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</si>
  <si>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</si>
  <si>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</si>
  <si>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</si>
  <si>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</si>
  <si>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</si>
  <si>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</si>
  <si>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</si>
  <si>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</si>
  <si>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</si>
  <si>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</si>
  <si>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</si>
  <si>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</si>
  <si>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</si>
  <si>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</si>
  <si>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</si>
  <si>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</si>
  <si>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</si>
  <si>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</si>
  <si>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</si>
  <si>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</si>
  <si>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</si>
  <si>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</si>
  <si>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</si>
  <si>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</si>
  <si>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</si>
  <si>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</si>
  <si>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</si>
  <si>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</si>
  <si>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</si>
  <si>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</si>
  <si>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</si>
  <si>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</si>
  <si>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</si>
  <si>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</si>
  <si>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</si>
  <si>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</si>
  <si>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</si>
  <si>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</si>
  <si>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</si>
  <si>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</si>
  <si>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</si>
  <si>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</si>
  <si>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</si>
  <si>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</si>
  <si>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</si>
  <si>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</si>
  <si>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</si>
  <si>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</si>
  <si>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</si>
  <si>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</si>
  <si>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</si>
  <si>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</si>
  <si>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</si>
  <si>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</si>
  <si>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</si>
  <si>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</si>
  <si>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</si>
  <si>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</si>
  <si>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</si>
  <si>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</si>
  <si>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</si>
  <si>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</si>
  <si>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</si>
  <si>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</si>
  <si>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</si>
  <si>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</si>
  <si>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</si>
  <si>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</si>
  <si>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</si>
  <si>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</si>
  <si>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</si>
  <si>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</si>
  <si>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</si>
  <si>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</si>
  <si>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</si>
  <si>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</si>
  <si>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</si>
  <si>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</si>
  <si>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</si>
  <si>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</si>
  <si>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</si>
  <si>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</si>
  <si>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</si>
  <si>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</si>
  <si>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</si>
  <si>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</si>
  <si>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</si>
  <si>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</si>
  <si>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</si>
  <si>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</si>
  <si>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</si>
  <si>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</si>
  <si>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</si>
  <si>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</si>
  <si>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</si>
  <si>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</si>
  <si>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</si>
  <si>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</si>
  <si>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</si>
  <si>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</si>
  <si>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</si>
  <si>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</si>
  <si>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</si>
  <si>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</si>
  <si>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</si>
  <si>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</si>
  <si>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</si>
  <si>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</si>
  <si>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</si>
  <si>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</si>
  <si>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</si>
  <si>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</si>
  <si>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</si>
  <si>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</si>
  <si>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</si>
  <si>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</si>
  <si>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</si>
  <si>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</si>
  <si>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</si>
  <si>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</si>
  <si>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</si>
  <si>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</si>
  <si>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</si>
  <si>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</si>
  <si>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</si>
  <si>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</si>
  <si>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</si>
  <si>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</si>
  <si>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</si>
  <si>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</si>
  <si>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</si>
  <si>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</si>
  <si>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</si>
  <si>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</si>
  <si>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</si>
  <si>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</si>
  <si>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</si>
  <si>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</si>
  <si>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</si>
  <si>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</si>
  <si>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</si>
  <si>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</si>
  <si>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</si>
  <si>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</si>
  <si>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</si>
  <si>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</si>
  <si>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</si>
  <si>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</si>
  <si>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</si>
  <si>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</si>
  <si>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</si>
  <si>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</si>
  <si>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</si>
  <si>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</si>
  <si>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</si>
  <si>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</si>
  <si>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</si>
  <si>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</si>
  <si>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</si>
  <si>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</si>
  <si>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</si>
  <si>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</si>
  <si>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</si>
  <si>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</si>
  <si>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</si>
  <si>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</si>
  <si>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</si>
  <si>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</si>
  <si>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</si>
  <si>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</si>
  <si>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</si>
  <si>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</si>
  <si>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</si>
  <si>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</si>
  <si>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</si>
  <si>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</si>
  <si>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</si>
  <si>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</si>
  <si>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</si>
  <si>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</si>
  <si>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</si>
  <si>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</si>
  <si>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</si>
  <si>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</si>
  <si>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</si>
  <si>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</si>
  <si>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</si>
  <si>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</si>
  <si>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</si>
  <si>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</si>
  <si>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</si>
  <si>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</si>
  <si>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</si>
  <si>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</si>
  <si>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</si>
  <si>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</si>
  <si>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</si>
  <si>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</si>
  <si>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</si>
  <si>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</si>
  <si>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</si>
  <si>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</si>
  <si>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</si>
  <si>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</si>
  <si>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</si>
  <si>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</si>
  <si>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</si>
  <si>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</si>
  <si>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</si>
  <si>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</si>
  <si>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</si>
  <si>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</si>
  <si>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</si>
  <si>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</si>
  <si>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</si>
  <si>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</si>
  <si>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</si>
  <si>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</si>
  <si>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</si>
  <si>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</si>
  <si>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</si>
  <si>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</si>
  <si>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</si>
  <si>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</si>
  <si>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</si>
  <si>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</si>
  <si>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</si>
  <si>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</si>
  <si>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</si>
  <si>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</si>
  <si>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</si>
  <si>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</si>
  <si>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</si>
  <si>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</si>
  <si>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</si>
  <si>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</si>
  <si>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</si>
  <si>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</si>
  <si>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</si>
  <si>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</si>
  <si>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</si>
  <si>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</si>
  <si>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</si>
  <si>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</si>
  <si>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</si>
  <si>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</si>
  <si>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</si>
  <si>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</si>
  <si>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</si>
  <si>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</si>
  <si>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</si>
  <si>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</si>
  <si>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</si>
  <si>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</si>
  <si>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</si>
  <si>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</si>
  <si>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</si>
  <si>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</si>
  <si>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</si>
  <si>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</si>
  <si>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</si>
  <si>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</si>
  <si>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</si>
  <si>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</si>
  <si>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</si>
  <si>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</si>
  <si>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</si>
  <si>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</si>
  <si>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</si>
  <si>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</si>
  <si>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</si>
  <si>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</si>
  <si>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</si>
  <si>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</si>
  <si>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</si>
  <si>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</si>
  <si>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</si>
  <si>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</si>
  <si>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</si>
  <si>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</si>
  <si>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</si>
  <si>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</si>
  <si>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</si>
  <si>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</si>
  <si>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</si>
  <si>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</si>
  <si>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</si>
  <si>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</si>
  <si>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</si>
  <si>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</si>
  <si>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</si>
  <si>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</si>
  <si>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</si>
  <si>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</si>
  <si>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</si>
  <si>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</si>
  <si>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</si>
  <si>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</si>
  <si>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</si>
  <si>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</si>
  <si>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</si>
  <si>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</si>
  <si>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</si>
  <si>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</si>
  <si>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</si>
  <si>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</si>
  <si>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</si>
  <si>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</si>
  <si>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</si>
  <si>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</si>
  <si>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</si>
  <si>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</si>
  <si>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</si>
  <si>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</si>
  <si>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</si>
  <si>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</si>
  <si>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</si>
  <si>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</si>
  <si>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</si>
  <si>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</si>
  <si>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</si>
  <si>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</si>
  <si>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</si>
  <si>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</si>
  <si>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</si>
  <si>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</si>
  <si>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</si>
  <si>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</si>
  <si>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</si>
  <si>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</si>
  <si>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</si>
  <si>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</si>
  <si>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</si>
  <si>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</si>
  <si>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</si>
  <si>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</si>
  <si>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</si>
  <si>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</si>
  <si>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</si>
  <si>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</si>
  <si>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</si>
  <si>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</si>
  <si>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</si>
  <si>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</si>
  <si>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</si>
  <si>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</si>
  <si>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</si>
  <si>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</si>
  <si>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</si>
  <si>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</si>
  <si>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</si>
  <si>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</si>
  <si>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</si>
  <si>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</si>
  <si>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</si>
  <si>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</si>
  <si>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</si>
  <si>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</si>
  <si>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</si>
  <si>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</si>
  <si>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</si>
  <si>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</si>
  <si>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</si>
  <si>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</si>
  <si>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</si>
  <si>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</si>
  <si>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</si>
  <si>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</si>
  <si>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</si>
  <si>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</si>
  <si>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</si>
  <si>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</si>
  <si>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</si>
  <si>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</si>
  <si>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</si>
  <si>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</si>
  <si>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</si>
  <si>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</si>
  <si>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</si>
  <si>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</si>
  <si>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</si>
  <si>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</si>
  <si>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</si>
  <si>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</si>
  <si>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</si>
  <si>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</si>
  <si>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</si>
  <si>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</si>
  <si>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</si>
  <si>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</si>
  <si>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</si>
  <si>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</si>
  <si>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</si>
  <si>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</si>
  <si>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</si>
  <si>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</si>
  <si>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</si>
  <si>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</si>
  <si>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</si>
  <si>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</si>
  <si>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</si>
  <si>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</si>
  <si>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</si>
  <si>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</si>
  <si>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</si>
  <si>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</si>
  <si>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</si>
  <si>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</si>
  <si>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</si>
  <si>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</si>
  <si>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</si>
  <si>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</si>
  <si>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</si>
  <si>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</si>
  <si>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</si>
  <si>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</si>
  <si>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</si>
  <si>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</si>
  <si>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</si>
  <si>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</si>
  <si>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</si>
  <si>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</si>
  <si>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</si>
  <si>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</si>
  <si>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</si>
  <si>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</si>
  <si>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</si>
  <si>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</si>
  <si>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</si>
  <si>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</si>
  <si>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</si>
  <si>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</si>
  <si>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</si>
  <si>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</si>
  <si>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</si>
  <si>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</si>
  <si>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</si>
  <si>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</si>
  <si>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</si>
  <si>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</si>
  <si>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</si>
  <si>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</si>
  <si>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</si>
  <si>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</si>
  <si>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</si>
  <si>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</si>
  <si>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</si>
  <si>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</si>
  <si>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</si>
  <si>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</si>
  <si>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</si>
  <si>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</si>
  <si>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</si>
  <si>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</si>
  <si>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</si>
  <si>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</si>
  <si>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</si>
  <si>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</si>
  <si>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</si>
  <si>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</si>
  <si>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</si>
  <si>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</si>
  <si>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</si>
  <si>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</si>
  <si>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</si>
  <si>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</si>
  <si>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</si>
  <si>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</si>
  <si>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</si>
  <si>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</si>
  <si>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</si>
  <si>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</si>
  <si>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</si>
  <si>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</si>
  <si>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</si>
  <si>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</si>
  <si>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</si>
  <si>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</si>
  <si>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</si>
  <si>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</si>
  <si>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</si>
  <si>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</si>
  <si>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</si>
  <si>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</si>
  <si>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</si>
  <si>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</si>
  <si>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</si>
  <si>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</si>
  <si>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</si>
  <si>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</si>
  <si>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</si>
  <si>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</si>
  <si>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</si>
  <si>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</si>
  <si>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</si>
  <si>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</si>
  <si>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</si>
  <si>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</si>
  <si>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</si>
  <si>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</si>
  <si>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</si>
  <si>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</si>
  <si>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</si>
  <si>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</si>
  <si>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</si>
  <si>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</si>
  <si>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</si>
  <si>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</si>
  <si>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</si>
  <si>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</si>
  <si>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</si>
  <si>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</si>
  <si>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</si>
  <si>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</si>
  <si>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</si>
  <si>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</si>
  <si>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</si>
  <si>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</si>
  <si>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</si>
  <si>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</si>
  <si>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</si>
  <si>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</si>
  <si>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</si>
  <si>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</si>
  <si>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</si>
  <si>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</si>
  <si>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</si>
  <si>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</si>
  <si>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</si>
  <si>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</si>
  <si>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</si>
  <si>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</si>
  <si>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</si>
  <si>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</si>
  <si>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</si>
  <si>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</si>
  <si>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</si>
  <si>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</si>
  <si>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</si>
  <si>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</si>
  <si>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</si>
  <si>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</si>
  <si>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</si>
  <si>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</si>
  <si>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</si>
  <si>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</si>
  <si>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</si>
  <si>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</si>
  <si>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</si>
  <si>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</si>
  <si>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</si>
  <si>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</si>
  <si>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</si>
  <si>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</si>
  <si>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</si>
  <si>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</si>
  <si>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</si>
  <si>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</si>
  <si>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</si>
  <si>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</si>
  <si>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</si>
  <si>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</si>
  <si>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</si>
  <si>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</si>
  <si>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</si>
  <si>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</si>
  <si>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</si>
  <si>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</si>
  <si>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</si>
  <si>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</si>
  <si>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</si>
  <si>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</si>
  <si>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</si>
  <si>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</si>
  <si>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</si>
  <si>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</si>
  <si>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</si>
  <si>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</si>
  <si>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</si>
  <si>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</si>
  <si>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</si>
  <si>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</si>
  <si>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</si>
  <si>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</si>
  <si>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</si>
  <si>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</si>
  <si>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</si>
  <si>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</si>
  <si>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</si>
  <si>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</si>
  <si>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</si>
  <si>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</si>
  <si>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</si>
  <si>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</si>
  <si>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</si>
  <si>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</si>
  <si>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</si>
  <si>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</si>
  <si>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</si>
  <si>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</si>
  <si>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</si>
  <si>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</si>
  <si>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</si>
  <si>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</si>
  <si>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</si>
  <si>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</si>
  <si>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</si>
  <si>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</si>
  <si>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</si>
  <si>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</si>
  <si>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</si>
  <si>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</si>
  <si>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</si>
  <si>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</si>
  <si>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</si>
  <si>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</si>
  <si>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</si>
  <si>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</si>
  <si>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</si>
  <si>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</si>
  <si>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</si>
  <si>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</si>
  <si>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</si>
  <si>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</si>
  <si>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</si>
  <si>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</si>
  <si>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</si>
  <si>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</si>
  <si>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</si>
  <si>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</si>
  <si>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</si>
  <si>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</si>
  <si>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</si>
  <si>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</si>
  <si>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</si>
  <si>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</si>
  <si>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</si>
  <si>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</si>
  <si>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</si>
  <si>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</si>
  <si>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</si>
  <si>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</si>
  <si>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</si>
  <si>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</si>
  <si>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</si>
  <si>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</si>
  <si>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</si>
  <si>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</si>
  <si>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</si>
  <si>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</si>
  <si>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</si>
  <si>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</si>
  <si>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</si>
  <si>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</si>
  <si>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</si>
  <si>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</si>
  <si>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</si>
  <si>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</si>
  <si>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</si>
  <si>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</si>
  <si>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</si>
  <si>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</si>
  <si>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</si>
  <si>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</si>
  <si>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</si>
  <si>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</si>
  <si>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</si>
  <si>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</si>
  <si>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</si>
  <si>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</si>
  <si>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</si>
  <si>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</si>
  <si>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</si>
  <si>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</si>
  <si>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</si>
  <si>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</si>
  <si>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</si>
  <si>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</si>
  <si>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</si>
  <si>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</si>
  <si>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</si>
  <si>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</si>
  <si>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</si>
  <si>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</si>
  <si>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</si>
  <si>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</si>
  <si>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</si>
  <si>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</si>
  <si>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</si>
  <si>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</si>
  <si>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</si>
  <si>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</si>
  <si>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</si>
  <si>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</si>
  <si>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</si>
  <si>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</si>
  <si>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</si>
  <si>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</si>
  <si>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</si>
  <si>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</si>
  <si>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</si>
  <si>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</si>
  <si>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</si>
  <si>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</si>
  <si>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</si>
  <si>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</si>
  <si>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</si>
  <si>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</si>
  <si>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</si>
  <si>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</si>
  <si>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</si>
  <si>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</si>
  <si>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</si>
  <si>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</si>
  <si>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</si>
  <si>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</si>
  <si>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</si>
  <si>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</si>
  <si>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</si>
  <si>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</si>
  <si>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</si>
  <si>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</si>
  <si>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</si>
  <si>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</si>
  <si>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</si>
  <si>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</si>
  <si>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</si>
  <si>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</si>
  <si>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</si>
  <si>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</si>
  <si>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</si>
  <si>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</si>
  <si>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</si>
  <si>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</si>
  <si>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</si>
  <si>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</si>
  <si>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</si>
  <si>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</si>
  <si>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</si>
  <si>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</si>
  <si>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</si>
  <si>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</si>
  <si>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</si>
  <si>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</si>
  <si>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</si>
  <si>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</si>
  <si>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</si>
  <si>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</si>
  <si>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</si>
  <si>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</si>
  <si>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</si>
  <si>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</si>
  <si>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</si>
  <si>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</si>
  <si>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</si>
  <si>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</si>
  <si>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</si>
  <si>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</si>
  <si>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</si>
  <si>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</si>
  <si>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</si>
  <si>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</si>
  <si>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</si>
  <si>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</si>
  <si>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</si>
  <si>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</si>
  <si>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</si>
  <si>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</si>
  <si>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</si>
  <si>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</si>
  <si>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</si>
  <si>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</si>
  <si>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</si>
  <si>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</si>
  <si>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</si>
  <si>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</si>
  <si>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</si>
  <si>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</si>
  <si>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</si>
  <si>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</si>
  <si>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</si>
  <si>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</si>
  <si>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</si>
  <si>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</si>
  <si>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</si>
  <si>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</si>
  <si>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</si>
  <si>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</si>
  <si>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</si>
  <si>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</si>
  <si>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</si>
  <si>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</si>
  <si>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</si>
  <si>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</si>
  <si>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</si>
  <si>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</si>
  <si>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</si>
  <si>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</si>
  <si>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</si>
  <si>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</si>
  <si>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</si>
  <si>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</si>
  <si>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</si>
  <si>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</si>
  <si>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</si>
  <si>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</si>
  <si>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</si>
  <si>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</si>
  <si>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</si>
  <si>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</si>
  <si>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</si>
  <si>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</si>
  <si>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</si>
  <si>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</si>
  <si>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</si>
  <si>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</si>
  <si>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</si>
  <si>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</si>
  <si>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</si>
  <si>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</si>
  <si>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</si>
  <si>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</si>
  <si>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</si>
  <si>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</si>
  <si>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</si>
  <si>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</si>
  <si>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</si>
  <si>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</si>
  <si>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</si>
  <si>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</si>
  <si>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</si>
  <si>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</si>
  <si>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</si>
  <si>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</si>
  <si>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</si>
  <si>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</si>
  <si>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</si>
  <si>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</si>
  <si>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</si>
  <si>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</si>
  <si>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</si>
  <si>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</si>
  <si>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</si>
  <si>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</si>
  <si>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</si>
  <si>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</si>
  <si>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</si>
  <si>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</si>
  <si>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</si>
  <si>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</si>
  <si>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</si>
  <si>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</si>
  <si>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</si>
  <si>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</si>
  <si>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</si>
  <si>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</si>
  <si>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</si>
  <si>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</si>
  <si>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</si>
  <si>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</si>
  <si>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</si>
  <si>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</si>
  <si>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</si>
  <si>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</si>
  <si>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</si>
  <si>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</si>
  <si>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</si>
  <si>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</si>
  <si>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</si>
  <si>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</si>
  <si>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</si>
  <si>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</si>
  <si>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</si>
  <si>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</si>
  <si>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</si>
  <si>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</si>
  <si>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</si>
  <si>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</si>
  <si>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</si>
  <si>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</si>
  <si>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</si>
  <si>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</si>
  <si>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</si>
  <si>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</si>
  <si>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</si>
  <si>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</si>
  <si>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</si>
  <si>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</si>
  <si>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</si>
  <si>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</si>
  <si>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</si>
  <si>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</si>
  <si>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</si>
  <si>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</si>
  <si>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</si>
  <si>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</si>
  <si>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</si>
  <si>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</si>
  <si>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</si>
  <si>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</si>
  <si>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</si>
  <si>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</si>
  <si>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</si>
  <si>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</si>
  <si>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</si>
  <si>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</si>
  <si>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</si>
  <si>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</si>
  <si>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</si>
  <si>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</si>
  <si>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</si>
  <si>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</si>
  <si>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</si>
  <si>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</si>
  <si>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</si>
  <si>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</si>
  <si>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</si>
  <si>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</si>
  <si>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</si>
  <si>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</si>
  <si>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</si>
  <si>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</si>
  <si>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</si>
  <si>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</si>
  <si>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</si>
  <si>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</si>
  <si>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</si>
  <si>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</si>
  <si>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</si>
  <si>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</si>
  <si>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</si>
  <si>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</si>
  <si>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</si>
  <si>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</si>
  <si>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</si>
  <si>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</si>
  <si>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</si>
  <si>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</si>
  <si>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</si>
  <si>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</si>
  <si>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</si>
  <si>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</si>
  <si>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</si>
  <si>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</si>
  <si>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</si>
  <si>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</si>
  <si>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</si>
  <si>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</si>
  <si>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</si>
  <si>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</si>
  <si>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</si>
  <si>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</si>
  <si>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</si>
  <si>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</si>
  <si>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</si>
  <si>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</si>
  <si>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</si>
  <si>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</si>
  <si>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</si>
  <si>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</si>
  <si>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</si>
  <si>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</si>
  <si>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</si>
  <si>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</si>
  <si>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</si>
  <si>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</si>
  <si>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</si>
  <si>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</si>
  <si>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</si>
  <si>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</si>
  <si>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</si>
  <si>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</si>
  <si>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</si>
  <si>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</si>
  <si>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</si>
  <si>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</si>
  <si>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</si>
  <si>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</si>
  <si>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</si>
  <si>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</si>
  <si>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</si>
  <si>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</si>
  <si>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</si>
  <si>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</si>
  <si>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</si>
  <si>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</si>
  <si>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</si>
  <si>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</si>
  <si>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</si>
  <si>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</si>
  <si>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</si>
  <si>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</si>
  <si>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</si>
  <si>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</si>
  <si>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</si>
  <si>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</si>
  <si>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</si>
  <si>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</si>
  <si>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</si>
  <si>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</si>
  <si>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</si>
  <si>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</si>
  <si>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</si>
  <si>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</si>
  <si>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</si>
  <si>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</si>
  <si>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</si>
  <si>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</si>
  <si>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</si>
  <si>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</si>
  <si>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</si>
  <si>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</si>
  <si>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</si>
  <si>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</si>
  <si>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</si>
  <si>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</si>
  <si>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</si>
  <si>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</si>
  <si>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</si>
  <si>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</si>
  <si>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</si>
  <si>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</si>
  <si>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</si>
  <si>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</si>
  <si>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</si>
  <si>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</si>
  <si>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</si>
  <si>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</si>
  <si>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</si>
  <si>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</si>
  <si>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</si>
  <si>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</si>
  <si>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</si>
  <si>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</si>
  <si>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</si>
  <si>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</si>
  <si>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</si>
  <si>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</si>
  <si>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</si>
  <si>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</si>
  <si>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</si>
  <si>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</si>
  <si>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</si>
  <si>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</si>
  <si>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</si>
  <si>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</si>
  <si>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</si>
  <si>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</si>
  <si>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</si>
  <si>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</si>
  <si>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</si>
  <si>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</si>
  <si>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</si>
  <si>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</si>
  <si>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</si>
  <si>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</si>
  <si>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</si>
  <si>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</si>
  <si>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</si>
  <si>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</si>
  <si>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</si>
  <si>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</si>
  <si>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</si>
  <si>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</si>
  <si>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</si>
  <si>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</si>
  <si>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</si>
  <si>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</si>
  <si>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</si>
  <si>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</si>
  <si>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</si>
  <si>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</si>
  <si>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</si>
  <si>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</si>
  <si>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</si>
  <si>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</si>
  <si>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</si>
  <si>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</si>
  <si>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</si>
  <si>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</si>
  <si>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</si>
  <si>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</si>
  <si>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</si>
  <si>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</si>
  <si>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</si>
  <si>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</si>
  <si>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</si>
  <si>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</si>
  <si>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</si>
  <si>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</si>
  <si>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</si>
  <si>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</si>
  <si>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</si>
  <si>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</si>
  <si>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</si>
  <si>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</si>
  <si>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</si>
  <si>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</si>
  <si>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</si>
  <si>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</si>
  <si>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</si>
  <si>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</si>
  <si>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</si>
  <si>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</si>
  <si>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</si>
  <si>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</si>
  <si>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</si>
  <si>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</si>
  <si>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</si>
  <si>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</si>
  <si>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</si>
  <si>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</si>
  <si>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</si>
  <si>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</si>
  <si>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</si>
  <si>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</si>
  <si>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</si>
  <si>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</si>
  <si>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</si>
  <si>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</si>
  <si>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</si>
  <si>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</si>
  <si>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</si>
  <si>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</si>
  <si>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</si>
  <si>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</si>
  <si>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</si>
  <si>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</si>
  <si>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</si>
  <si>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</si>
  <si>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</si>
  <si>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</si>
  <si>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</si>
  <si>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</si>
  <si>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</si>
  <si>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</si>
  <si>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</si>
  <si>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</si>
  <si>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</si>
  <si>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</si>
  <si>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</si>
  <si>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</si>
  <si>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</si>
  <si>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</si>
  <si>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</si>
  <si>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</si>
  <si>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</si>
  <si>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</si>
  <si>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</si>
  <si>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</si>
  <si>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</si>
  <si>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</si>
  <si>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</si>
  <si>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</si>
  <si>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</si>
  <si>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</si>
  <si>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</si>
  <si>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</si>
  <si>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</si>
  <si>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</si>
  <si>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</si>
  <si>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</si>
  <si>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</si>
  <si>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</si>
  <si>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</si>
  <si>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</si>
  <si>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</si>
  <si>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</si>
  <si>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</si>
  <si>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</si>
  <si>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</si>
  <si>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</si>
  <si>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</si>
  <si>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</si>
  <si>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</si>
  <si>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</si>
  <si>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</si>
  <si>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</si>
  <si>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</si>
  <si>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</si>
  <si>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</si>
  <si>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</si>
  <si>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</si>
  <si>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</si>
  <si>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</si>
  <si>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</si>
  <si>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</si>
  <si>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</si>
  <si>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</si>
  <si>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</si>
  <si>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</si>
  <si>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</si>
  <si>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</si>
  <si>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</si>
  <si>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</si>
  <si>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</si>
  <si>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</si>
  <si>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</si>
  <si>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</si>
  <si>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</si>
  <si>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</si>
  <si>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</si>
  <si>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</si>
  <si>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</si>
  <si>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</si>
  <si>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</si>
  <si>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</si>
  <si>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</si>
  <si>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</si>
  <si>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</si>
  <si>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</si>
  <si>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</si>
  <si>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</si>
  <si>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</si>
  <si>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</si>
  <si>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</si>
  <si>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</si>
  <si>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</si>
  <si>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</si>
  <si>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</si>
  <si>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</si>
  <si>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</si>
  <si>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</si>
  <si>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</si>
  <si>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</si>
  <si>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</si>
  <si>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</si>
  <si>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</si>
  <si>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</si>
  <si>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</si>
  <si>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</si>
  <si>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</si>
  <si>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</si>
  <si>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</si>
  <si>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</si>
  <si>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</si>
  <si>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</si>
  <si>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</si>
  <si>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</si>
  <si>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</si>
  <si>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</si>
  <si>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</si>
  <si>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</si>
  <si>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</si>
  <si>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</si>
  <si>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</si>
  <si>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</si>
  <si>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</si>
  <si>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</si>
  <si>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</si>
  <si>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</si>
  <si>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</si>
  <si>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</si>
  <si>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</si>
  <si>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</si>
  <si>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</si>
  <si>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</si>
  <si>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</si>
  <si>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</si>
  <si>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</si>
  <si>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</si>
  <si>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</si>
  <si>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</si>
  <si>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</si>
  <si>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</si>
  <si>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</si>
  <si>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</si>
  <si>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</si>
  <si>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</si>
  <si>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</si>
  <si>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</si>
  <si>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</si>
  <si>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</si>
  <si>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</si>
  <si>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</si>
  <si>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</si>
  <si>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</si>
  <si>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</si>
  <si>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</si>
  <si>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</si>
  <si>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</si>
  <si>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</si>
  <si>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</si>
  <si>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</si>
  <si>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</si>
  <si>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</si>
  <si>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</si>
  <si>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</si>
  <si>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</si>
  <si>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</si>
  <si>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</si>
  <si>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</si>
  <si>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</si>
  <si>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</si>
  <si>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</si>
  <si>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 (Fernanda e Túlio)</t>
  </si>
  <si>
    <t>UniTCDF: Gestão Pública (Passou)</t>
  </si>
  <si>
    <t>UniTCDF: Engenharia civil (Seinfra)</t>
  </si>
  <si>
    <t>UniTCDF: Engenharia civil (Adriana)</t>
  </si>
  <si>
    <t>UniTCDF: Gestão Pública (Novos)</t>
  </si>
  <si>
    <t>UniTCDF: Direito (Novos)</t>
  </si>
  <si>
    <t>Visita dos Filhos ao trabalho</t>
  </si>
  <si>
    <t>UniTCDF: Visita da FGV</t>
  </si>
  <si>
    <t>Exibição de filme: Consciência Negra</t>
  </si>
  <si>
    <t>Hackaton</t>
  </si>
  <si>
    <t>2026-074</t>
  </si>
  <si>
    <t>2026-075</t>
  </si>
  <si>
    <t>2026-076</t>
  </si>
  <si>
    <t>2026-077</t>
  </si>
  <si>
    <t>2026-078</t>
  </si>
  <si>
    <t>2026-079</t>
  </si>
  <si>
    <t>Café e Tertúlia (Passou)</t>
  </si>
  <si>
    <t>Painel Felipe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</si>
</sst>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6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8" fillId="0" borderId="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" fontId="31" fillId="0" borderId="1" xfId="0" applyNumberFormat="1" applyFont="1" applyFill="1" applyBorder="1" applyAlignment="1">
      <alignment horizontal="center" vertical="center"/>
    </xf>
    <xf numFmtId="170" fontId="31" fillId="0" borderId="1" xfId="0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Fill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164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170" fontId="31" fillId="0" borderId="2" xfId="0" applyNumberFormat="1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4" fontId="31" fillId="0" borderId="2" xfId="0" applyNumberFormat="1" applyFont="1" applyFill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alignment horizontal="left"/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7" dataDxfId="56" totalsRowDxfId="55" totalsRowBorderDxfId="54">
  <autoFilter ref="A1:T2007" xr:uid="{D1BD5F14-CD6F-4B62-85D2-128A9D3B5FF1}">
    <filterColumn colId="1">
      <filters>
        <filter val="2026"/>
      </filters>
    </filterColumn>
    <filterColumn colId="2">
      <filters>
        <filter val="A realizar"/>
      </filters>
    </filterColumn>
  </autoFilter>
  <tableColumns count="20">
    <tableColumn id="1" xr3:uid="{022FA08A-515E-453B-85A4-E200B40364EE}" name="ID" dataDxfId="52" totalsRowDxfId="53"/>
    <tableColumn id="2" xr3:uid="{19532738-24D5-4BD5-BE04-C19DCC5894A1}" name="Ano" dataDxfId="50" totalsRowDxfId="51"/>
    <tableColumn id="3" xr3:uid="{8DE0B36A-F0DC-47A1-A74E-F4BE63A4FB1D}" name="Status Evento" dataDxfId="48" totalsRowDxfId="49"/>
    <tableColumn id="4" xr3:uid="{C1159FBD-CCD0-4CA2-BB8C-598E3AB5DDD8}" name="Processo" dataDxfId="46" totalsRowDxfId="47"/>
    <tableColumn id="5" xr3:uid="{A32670A4-BE4F-480D-8DE9-8FF18024C829}" name="Curso" dataDxfId="44" totalsRowDxfId="45"/>
    <tableColumn id="8" xr3:uid="{905DEA0A-D099-47EA-972D-1012D71C7792}" name="Público-Alvo" dataDxfId="42" totalsRowDxfId="43"/>
    <tableColumn id="9" xr3:uid="{7DC0A0BE-8030-47CA-AF56-2C13C9FF7AE5}" name="Programa" dataDxfId="40" totalsRowDxfId="41"/>
    <tableColumn id="11" xr3:uid="{2B799ACD-69E4-46A5-9A4F-F7E3D7A47CE9}" name="Data TXT" dataDxfId="38" totalsRowDxfId="39"/>
    <tableColumn id="12" xr3:uid="{62016C67-3729-4C41-B72D-09D6616B7474}" name="Início" dataDxfId="36" totalsRowDxfId="37"/>
    <tableColumn id="13" xr3:uid="{E4F20518-0042-40C0-B590-B7616F2843A5}" name="Término" dataDxfId="34" totalsRowDxfId="35"/>
    <tableColumn id="14" xr3:uid="{4D6C4412-CFEE-4506-830E-F79FD008371B}" name="Modalidade" dataDxfId="32" totalsRowDxfId="33"/>
    <tableColumn id="15" xr3:uid="{12EC931A-E71B-4AEB-B20B-0F9EA63D0C71}" name="Valor instrutoria" dataDxfId="30" totalsRowDxfId="31" dataCellStyle="Moeda"/>
    <tableColumn id="17" xr3:uid="{8FCDFADA-4FA3-41E0-86FF-E623116BAFEB}" name="Nota Av. Reação" dataDxfId="28" totalsRowDxfId="29"/>
    <tableColumn id="19" xr3:uid="{316EB379-BB97-4F60-9566-576B25A26B0E}" name="Qtd Vagas" dataDxfId="26" totalsRowDxfId="27"/>
    <tableColumn id="20" xr3:uid="{59A9FB16-6726-411C-88B5-8165DD520DA3}" name="P. Servidores" dataDxfId="24" totalsRowDxfId="25"/>
    <tableColumn id="21" xr3:uid="{0246E091-ADCD-4F62-8F95-84B21E8A7BE1}" name="P. Jurisdicionados" dataDxfId="22" totalsRowDxfId="23"/>
    <tableColumn id="22" xr3:uid="{1B6DBD6D-C072-4600-81C1-69D6F4422D7D}" name="P. Sociedade" dataDxfId="20" totalsRowDxfId="21"/>
    <tableColumn id="23" xr3:uid="{109F7E4E-776C-4249-88BE-FEC3A375D7D9}" name="Total Part." dataDxfId="18" totalsRowDxfId="19"/>
    <tableColumn id="24" xr3:uid="{C67AA4C6-834C-4EBB-839B-EF0CDD50F649}" name="C.H." dataDxfId="16" totalsRowDxfId="17"/>
    <tableColumn id="26" xr3:uid="{973608F6-3E97-493C-AC61-980F73C13CD6}" name="Instrutor" dataDxfId="14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8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="120" zoomScaleNormal="120" workbookViewId="0">
      <pane ySplit="1" topLeftCell="A657" activePane="bottomLeft" state="frozen"/>
      <selection pane="bottomLeft" activeCell="C657" sqref="C657:C719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1.28515625" style="1" bestFit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2026-080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734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hidden="1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hidden="1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15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hidden="1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hidden="1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2860</v>
      </c>
      <c r="B668" s="127">
        <v>2026</v>
      </c>
      <c r="C668" s="232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15" hidden="1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hidden="1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hidden="1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hidden="1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hidden="1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34" t="s">
        <v>2745</v>
      </c>
      <c r="I675" s="236">
        <v>46120</v>
      </c>
      <c r="J675" s="236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hidden="1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hidden="1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hidden="1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hidden="1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hidden="1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35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hidden="1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hidden="1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hidden="1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hidden="1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33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30" hidden="1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hidden="1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hidden="1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hidden="1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hidden="1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hidden="1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hidden="1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>IF(B701="","",SUM(O701:Q701))</f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>IF(B702="","",SUM(O702:Q702))</f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>IF(B703="","",SUM(O703:Q703))</f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>IF(B704="","",SUM(O704:Q704))</f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>IF(B705="","",SUM(O705:Q705))</f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>IF(B706="","",SUM(O706:Q706))</f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>IF(B707="","",SUM(O707:Q707))</f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>IF(B708="","",SUM(O708:Q708))</f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>IF(B709="","",SUM(O709:Q709))</f>
        <v>0</v>
      </c>
      <c r="S709" s="183">
        <v>10</v>
      </c>
      <c r="T709" s="186" t="s">
        <v>2949</v>
      </c>
      <c r="U709" s="106"/>
    </row>
    <row r="710" spans="1:21" ht="15" hidden="1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>IF(B710="","",SUM(O710:Q710))</f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>IF(B711="","",SUM(O711:Q711))</f>
        <v>0</v>
      </c>
      <c r="S711" s="183">
        <v>1</v>
      </c>
      <c r="T711" s="186" t="s">
        <v>2959</v>
      </c>
    </row>
    <row r="712" spans="1:21" ht="15" hidden="1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>IF(B715="","",SUM(O715:Q715))</f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>IF(B716="","",SUM(O716:Q716))</f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>IF(B717="","",SUM(O717:Q717))</f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>IF(B718="","",SUM(O718:Q718))</f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>IF(B719="","",SUM(O719:Q719))</f>
        <v>0</v>
      </c>
      <c r="S719" s="183">
        <v>4</v>
      </c>
      <c r="T719" s="205"/>
    </row>
    <row r="720" spans="1:21" ht="15" hidden="1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hidden="1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hidden="1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hidden="1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2809</v>
      </c>
      <c r="B724" s="23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2964</v>
      </c>
      <c r="B725" s="183">
        <v>2026</v>
      </c>
      <c r="C725" s="183"/>
      <c r="D725" s="183"/>
      <c r="E725" s="180" t="s">
        <v>3165</v>
      </c>
      <c r="F725" s="185"/>
      <c r="G725" s="186"/>
      <c r="H725" s="191"/>
      <c r="I725" s="192"/>
      <c r="J725" s="192"/>
      <c r="K725" s="183"/>
      <c r="L725" s="187"/>
      <c r="M725" s="188"/>
      <c r="N725" s="189"/>
      <c r="O725" s="190"/>
      <c r="P725" s="190"/>
      <c r="Q725" s="190"/>
      <c r="R725" s="190"/>
      <c r="S725" s="183"/>
      <c r="T725" s="186"/>
    </row>
    <row r="726" spans="1:20" ht="15" hidden="1" x14ac:dyDescent="0.25">
      <c r="A726" s="191" t="s">
        <v>2965</v>
      </c>
      <c r="B726" s="183">
        <v>2026</v>
      </c>
      <c r="C726" s="183"/>
      <c r="D726" s="212"/>
      <c r="E726" s="180" t="s">
        <v>3166</v>
      </c>
      <c r="F726" s="185"/>
      <c r="G726" s="186"/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2966</v>
      </c>
      <c r="B727" s="183">
        <v>2026</v>
      </c>
      <c r="C727" s="183"/>
      <c r="D727" s="183"/>
      <c r="E727" s="180" t="s">
        <v>3167</v>
      </c>
      <c r="F727" s="185"/>
      <c r="G727" s="186"/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2967</v>
      </c>
      <c r="B728" s="183">
        <v>2026</v>
      </c>
      <c r="C728" s="183"/>
      <c r="D728" s="183"/>
      <c r="E728" s="180" t="s">
        <v>3164</v>
      </c>
      <c r="F728" s="185"/>
      <c r="G728" s="186"/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hidden="1" x14ac:dyDescent="0.25">
      <c r="A729" s="191" t="s">
        <v>2968</v>
      </c>
      <c r="B729" s="183">
        <v>2026</v>
      </c>
      <c r="C729" s="183"/>
      <c r="D729" s="183"/>
      <c r="E729" s="180" t="s">
        <v>3168</v>
      </c>
      <c r="F729" s="185"/>
      <c r="G729" s="186"/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3174</v>
      </c>
      <c r="B730" s="183">
        <v>2026</v>
      </c>
      <c r="C730" s="183"/>
      <c r="D730" s="183"/>
      <c r="E730" s="252" t="s">
        <v>3169</v>
      </c>
      <c r="F730" s="185"/>
      <c r="G730" s="186"/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21:R749" si="12">IF(B730="","",SUM(O730:Q730))</f>
        <v>0</v>
      </c>
      <c r="S730" s="183"/>
      <c r="T730" s="186"/>
    </row>
    <row r="731" spans="1:20" ht="15" hidden="1" x14ac:dyDescent="0.25">
      <c r="A731" s="191" t="s">
        <v>3175</v>
      </c>
      <c r="B731" s="183">
        <v>2026</v>
      </c>
      <c r="C731" s="183"/>
      <c r="D731" s="183"/>
      <c r="E731" s="252" t="s">
        <v>3171</v>
      </c>
      <c r="F731" s="185"/>
      <c r="G731" s="186"/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2"/>
        <v>0</v>
      </c>
      <c r="S731" s="183"/>
      <c r="T731" s="186"/>
    </row>
    <row r="732" spans="1:20" ht="15" hidden="1" x14ac:dyDescent="0.25">
      <c r="A732" s="191" t="s">
        <v>3176</v>
      </c>
      <c r="B732" s="183">
        <v>2026</v>
      </c>
      <c r="C732" s="183"/>
      <c r="D732" s="183"/>
      <c r="E732" s="237" t="s">
        <v>3170</v>
      </c>
      <c r="F732" s="185"/>
      <c r="G732" s="186"/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2"/>
        <v>0</v>
      </c>
      <c r="S732" s="183"/>
      <c r="T732" s="186"/>
    </row>
    <row r="733" spans="1:20" ht="15" hidden="1" x14ac:dyDescent="0.25">
      <c r="A733" s="191" t="s">
        <v>3177</v>
      </c>
      <c r="B733" s="183">
        <v>2026</v>
      </c>
      <c r="C733" s="183"/>
      <c r="D733" s="183"/>
      <c r="E733" s="252" t="s">
        <v>3172</v>
      </c>
      <c r="F733" s="185"/>
      <c r="G733" s="186"/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2"/>
        <v>0</v>
      </c>
      <c r="S733" s="183"/>
      <c r="T733" s="186"/>
    </row>
    <row r="734" spans="1:20" ht="15" hidden="1" x14ac:dyDescent="0.25">
      <c r="A734" s="191" t="s">
        <v>3178</v>
      </c>
      <c r="B734" s="183">
        <v>2026</v>
      </c>
      <c r="C734" s="183"/>
      <c r="D734" s="183"/>
      <c r="E734" s="237" t="s">
        <v>3173</v>
      </c>
      <c r="F734" s="185"/>
      <c r="G734" s="186"/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2"/>
        <v>0</v>
      </c>
      <c r="S734" s="183"/>
      <c r="T734" s="186"/>
    </row>
    <row r="735" spans="1:20" ht="15" hidden="1" x14ac:dyDescent="0.25">
      <c r="A735" s="191" t="s">
        <v>3179</v>
      </c>
      <c r="B735" s="183">
        <v>2026</v>
      </c>
      <c r="C735" s="183"/>
      <c r="D735" s="183"/>
      <c r="E735" s="180" t="s">
        <v>3180</v>
      </c>
      <c r="F735" s="185"/>
      <c r="G735" s="186"/>
      <c r="H735" s="191"/>
      <c r="I735" s="192"/>
      <c r="J735" s="192"/>
      <c r="K735" s="183"/>
      <c r="L735" s="187"/>
      <c r="M735" s="188"/>
      <c r="N735" s="189"/>
      <c r="O735" s="190"/>
      <c r="P735" s="190"/>
      <c r="Q735" s="190"/>
      <c r="R735" s="190">
        <f t="shared" si="12"/>
        <v>0</v>
      </c>
      <c r="S735" s="183"/>
      <c r="T735" s="186"/>
    </row>
    <row r="736" spans="1:20" ht="15" hidden="1" x14ac:dyDescent="0.25">
      <c r="A736" s="191"/>
      <c r="B736" s="183"/>
      <c r="C736" s="183"/>
      <c r="D736" s="183"/>
      <c r="E736" s="180" t="s">
        <v>3181</v>
      </c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2"/>
        <v/>
      </c>
      <c r="S736" s="183"/>
      <c r="T736" s="186"/>
    </row>
    <row r="737" spans="1:20" ht="15" hidden="1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2"/>
        <v/>
      </c>
      <c r="S737" s="183"/>
      <c r="T737" s="186"/>
    </row>
    <row r="738" spans="1:20" ht="15" hidden="1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2"/>
        <v/>
      </c>
      <c r="S738" s="183"/>
      <c r="T738" s="186"/>
    </row>
    <row r="739" spans="1:20" ht="15" hidden="1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2"/>
        <v/>
      </c>
      <c r="S739" s="183"/>
      <c r="T739" s="186"/>
    </row>
    <row r="740" spans="1:20" ht="15" hidden="1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2"/>
        <v/>
      </c>
      <c r="S740" s="183"/>
      <c r="T740" s="186"/>
    </row>
    <row r="741" spans="1:20" ht="15" hidden="1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2"/>
        <v/>
      </c>
      <c r="S741" s="183"/>
      <c r="T741" s="186"/>
    </row>
    <row r="742" spans="1:20" ht="15" hidden="1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2"/>
        <v/>
      </c>
      <c r="S742" s="183"/>
      <c r="T742" s="186"/>
    </row>
    <row r="743" spans="1:20" ht="15" hidden="1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2"/>
        <v/>
      </c>
      <c r="S743" s="183"/>
      <c r="T743" s="186"/>
    </row>
    <row r="744" spans="1:20" ht="15" hidden="1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2"/>
        <v/>
      </c>
      <c r="S744" s="183"/>
      <c r="T744" s="186"/>
    </row>
    <row r="745" spans="1:20" ht="15" hidden="1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2"/>
        <v/>
      </c>
      <c r="S745" s="183"/>
      <c r="T745" s="186"/>
    </row>
    <row r="746" spans="1:20" ht="15" hidden="1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2"/>
        <v/>
      </c>
      <c r="S746" s="183"/>
      <c r="T746" s="186"/>
    </row>
    <row r="747" spans="1:20" ht="15" hidden="1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2"/>
        <v/>
      </c>
      <c r="S747" s="183"/>
      <c r="T747" s="186"/>
    </row>
    <row r="748" spans="1:20" ht="15" hidden="1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2"/>
        <v/>
      </c>
      <c r="S748" s="183"/>
      <c r="T748" s="186"/>
    </row>
    <row r="749" spans="1:20" ht="15" hidden="1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2"/>
        <v/>
      </c>
      <c r="S749" s="183"/>
      <c r="T749" s="186"/>
    </row>
    <row r="750" spans="1:20" ht="15" hidden="1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50"/>
      <c r="C2002" s="251"/>
      <c r="D2002" s="251"/>
      <c r="E2002" s="237"/>
      <c r="F2002" s="253"/>
      <c r="G2002" s="254"/>
      <c r="H2002" s="255"/>
      <c r="I2002" s="256"/>
      <c r="J2002" s="256"/>
      <c r="K2002" s="257"/>
      <c r="L2002" s="258"/>
      <c r="M2002" s="259"/>
      <c r="N2002" s="260"/>
      <c r="O2002" s="249"/>
      <c r="P2002" s="249"/>
      <c r="Q2002" s="249"/>
      <c r="R2002" s="249"/>
      <c r="S2002" s="251"/>
      <c r="T2002" s="254"/>
    </row>
    <row r="2003" spans="1:20" ht="15" hidden="1" x14ac:dyDescent="0.25">
      <c r="A2003" s="175"/>
      <c r="B2003" s="250"/>
      <c r="C2003" s="251"/>
      <c r="D2003" s="251"/>
      <c r="E2003" s="237"/>
      <c r="F2003" s="253"/>
      <c r="G2003" s="254"/>
      <c r="H2003" s="255"/>
      <c r="I2003" s="256"/>
      <c r="J2003" s="256"/>
      <c r="K2003" s="257"/>
      <c r="L2003" s="258"/>
      <c r="M2003" s="259"/>
      <c r="N2003" s="260"/>
      <c r="O2003" s="249"/>
      <c r="P2003" s="249"/>
      <c r="Q2003" s="249"/>
      <c r="R2003" s="249"/>
      <c r="S2003" s="251"/>
      <c r="T2003" s="254"/>
    </row>
    <row r="2004" spans="1:20" ht="22.5" hidden="1" customHeight="1" x14ac:dyDescent="0.25">
      <c r="A2004" s="175"/>
      <c r="B2004" s="239"/>
      <c r="C2004" s="240"/>
      <c r="D2004" s="240"/>
      <c r="E2004" s="237"/>
      <c r="F2004" s="241"/>
      <c r="G2004" s="242"/>
      <c r="H2004" s="243"/>
      <c r="I2004" s="244"/>
      <c r="J2004" s="244"/>
      <c r="K2004" s="245"/>
      <c r="L2004" s="246"/>
      <c r="M2004" s="247"/>
      <c r="N2004" s="248"/>
      <c r="O2004" s="238"/>
      <c r="P2004" s="238"/>
      <c r="Q2004" s="238"/>
      <c r="R2004" s="238"/>
      <c r="S2004" s="240"/>
      <c r="T2004" s="242"/>
    </row>
    <row r="2005" spans="1:20" ht="22.5" hidden="1" customHeight="1" x14ac:dyDescent="0.25">
      <c r="A2005" s="175"/>
      <c r="B2005" s="250"/>
      <c r="C2005" s="251"/>
      <c r="D2005" s="251"/>
      <c r="E2005" s="237"/>
      <c r="F2005" s="253"/>
      <c r="G2005" s="254"/>
      <c r="H2005" s="255"/>
      <c r="I2005" s="256"/>
      <c r="J2005" s="256"/>
      <c r="K2005" s="257"/>
      <c r="L2005" s="258"/>
      <c r="M2005" s="259"/>
      <c r="N2005" s="260"/>
      <c r="O2005" s="249"/>
      <c r="P2005" s="249"/>
      <c r="Q2005" s="249"/>
      <c r="R2005" s="249"/>
      <c r="S2005" s="251"/>
      <c r="T2005" s="254"/>
    </row>
    <row r="2006" spans="1:20" ht="22.5" hidden="1" customHeight="1" x14ac:dyDescent="0.25">
      <c r="A2006" s="175"/>
      <c r="B2006" s="239"/>
      <c r="C2006" s="240"/>
      <c r="D2006" s="240"/>
      <c r="E2006" s="237"/>
      <c r="F2006" s="241"/>
      <c r="G2006" s="242"/>
      <c r="H2006" s="243"/>
      <c r="I2006" s="244"/>
      <c r="J2006" s="244"/>
      <c r="K2006" s="245"/>
      <c r="L2006" s="246"/>
      <c r="M2006" s="247"/>
      <c r="N2006" s="248"/>
      <c r="O2006" s="238"/>
      <c r="P2006" s="238"/>
      <c r="Q2006" s="238"/>
      <c r="R2006" s="238"/>
      <c r="S2006" s="240"/>
      <c r="T2006" s="242"/>
    </row>
    <row r="2007" spans="1:20" ht="22.5" hidden="1" customHeight="1" x14ac:dyDescent="0.25">
      <c r="A2007" s="249"/>
      <c r="B2007" s="250"/>
      <c r="C2007" s="251"/>
      <c r="D2007" s="251"/>
      <c r="E2007" s="252"/>
      <c r="F2007" s="253"/>
      <c r="G2007" s="254"/>
      <c r="H2007" s="255"/>
      <c r="I2007" s="256"/>
      <c r="J2007" s="256"/>
      <c r="K2007" s="257"/>
      <c r="L2007" s="258"/>
      <c r="M2007" s="259"/>
      <c r="N2007" s="260"/>
      <c r="O2007" s="249"/>
      <c r="P2007" s="249"/>
      <c r="Q2007" s="249"/>
      <c r="R2007" s="249"/>
      <c r="S2007" s="251"/>
      <c r="T2007" s="25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2:T726 A727:C727 E727:T727 A2002:A2006 E2007 A728:T2001">
    <cfRule type="expression" dxfId="1" priority="9">
      <formula>MOD(ROW(),2)=0</formula>
    </cfRule>
  </conditionalFormatting>
  <conditionalFormatting sqref="A2:T726 A727:C727 E727:T727 A2002:A2006 E2007 A728:T2001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13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3056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19" t="s">
        <v>3057</v>
      </c>
      <c r="B4" s="220"/>
      <c r="D4" s="221" t="s">
        <v>3058</v>
      </c>
      <c r="E4" s="222"/>
      <c r="G4" s="45" t="s">
        <v>3059</v>
      </c>
    </row>
    <row r="5" spans="1:7" ht="54.95" customHeight="1" thickBot="1" x14ac:dyDescent="0.75">
      <c r="A5" s="35">
        <f>COUNTIF('Ações InCompany'!B:B,2026)</f>
        <v>79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16" t="s">
        <v>3061</v>
      </c>
      <c r="B8" s="216"/>
      <c r="D8" s="216" t="s">
        <v>3062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16" t="s">
        <v>3071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3122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9" t="s">
        <v>3123</v>
      </c>
    </row>
    <row r="4" spans="1:8" ht="21.95" customHeight="1" x14ac:dyDescent="0.25">
      <c r="A4" s="224" t="s">
        <v>3124</v>
      </c>
      <c r="B4" s="225"/>
      <c r="D4" s="224" t="s">
        <v>3125</v>
      </c>
      <c r="E4" s="225"/>
      <c r="G4" s="224" t="s">
        <v>3126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3132</v>
      </c>
      <c r="B1" s="229"/>
      <c r="C1" s="229"/>
      <c r="D1" s="229"/>
      <c r="E1" s="229"/>
      <c r="F1" s="229"/>
    </row>
    <row r="2" spans="1:7" x14ac:dyDescent="0.25">
      <c r="A2" s="230" t="s">
        <v>3133</v>
      </c>
      <c r="B2" s="230"/>
      <c r="C2" s="230"/>
      <c r="D2" s="230"/>
      <c r="E2" s="230"/>
      <c r="F2" s="230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44.500000000000007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2026-08-04T21:58:12Z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