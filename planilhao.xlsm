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73" documentId="8_{454372C2-A99E-4E47-A759-72B38925853E}" xr6:coauthVersionLast="47" xr6:coauthVersionMax="47" xr10:uidLastSave="{B51EC296-DCEC-4ED7-9FA5-D9AD8B31BF15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<sst xmlns="http://schemas.openxmlformats.org/spreadsheetml/2006/main" count="7166" uniqueCount="3165">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</sst>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3" activePane="bottomLeft" state="frozen"/>
      <selection pane="bottomLeft" activeCell="T715" sqref="T71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22.5" hidden="1" customHeight="1" x14ac:dyDescent="0.25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22.5" hidden="1" customHeight="1" x14ac:dyDescent="0.25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22.5" hidden="1" customHeight="1" x14ac:dyDescent="0.25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22.5" hidden="1" customHeight="1" x14ac:dyDescent="0.25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22.5" hidden="1" customHeight="1" x14ac:dyDescent="0.25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22.5" hidden="1" customHeight="1" x14ac:dyDescent="0.25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22.5" hidden="1" customHeight="1" x14ac:dyDescent="0.25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22.5" hidden="1" customHeight="1" x14ac:dyDescent="0.25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22.5" hidden="1" customHeight="1" x14ac:dyDescent="0.25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22.5" hidden="1" customHeight="1" x14ac:dyDescent="0.25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22.5" hidden="1" customHeight="1" x14ac:dyDescent="0.25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22.5" hidden="1" customHeight="1" x14ac:dyDescent="0.25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22.5" hidden="1" customHeight="1" x14ac:dyDescent="0.25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22.5" hidden="1" customHeight="1" x14ac:dyDescent="0.25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22.5" hidden="1" customHeight="1" x14ac:dyDescent="0.25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22.5" hidden="1" customHeight="1" x14ac:dyDescent="0.25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22.5" hidden="1" customHeight="1" x14ac:dyDescent="0.25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22.5" hidden="1" customHeight="1" x14ac:dyDescent="0.25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22.5" hidden="1" customHeight="1" x14ac:dyDescent="0.25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22.5" hidden="1" customHeight="1" x14ac:dyDescent="0.25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22.5" hidden="1" customHeight="1" x14ac:dyDescent="0.25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22.5" hidden="1" customHeight="1" x14ac:dyDescent="0.25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22.5" hidden="1" customHeight="1" x14ac:dyDescent="0.25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22.5" hidden="1" customHeight="1" x14ac:dyDescent="0.25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22.5" hidden="1" customHeight="1" x14ac:dyDescent="0.25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22.5" hidden="1" customHeight="1" x14ac:dyDescent="0.25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22.5" hidden="1" customHeight="1" x14ac:dyDescent="0.25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22.5" hidden="1" customHeight="1" x14ac:dyDescent="0.25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22.5" hidden="1" customHeight="1" x14ac:dyDescent="0.25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22.5" hidden="1" customHeight="1" x14ac:dyDescent="0.25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22.5" hidden="1" customHeight="1" x14ac:dyDescent="0.25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22.5" hidden="1" customHeight="1" x14ac:dyDescent="0.25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22.5" hidden="1" customHeight="1" x14ac:dyDescent="0.25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22.5" hidden="1" customHeight="1" x14ac:dyDescent="0.25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22.5" hidden="1" customHeight="1" x14ac:dyDescent="0.25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22.5" hidden="1" customHeight="1" x14ac:dyDescent="0.25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22.5" hidden="1" customHeight="1" x14ac:dyDescent="0.25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22.5" hidden="1" customHeight="1" x14ac:dyDescent="0.25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22.5" hidden="1" customHeight="1" x14ac:dyDescent="0.25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22.5" hidden="1" customHeight="1" x14ac:dyDescent="0.25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22.5" hidden="1" customHeight="1" x14ac:dyDescent="0.25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22.5" hidden="1" customHeight="1" x14ac:dyDescent="0.25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22.5" hidden="1" customHeight="1" x14ac:dyDescent="0.25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22.5" hidden="1" customHeight="1" x14ac:dyDescent="0.25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22.5" hidden="1" customHeight="1" x14ac:dyDescent="0.25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22.5" hidden="1" customHeight="1" x14ac:dyDescent="0.25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22.5" hidden="1" customHeight="1" x14ac:dyDescent="0.25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22.5" hidden="1" customHeight="1" x14ac:dyDescent="0.25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22.5" hidden="1" customHeight="1" x14ac:dyDescent="0.25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22.5" hidden="1" customHeight="1" x14ac:dyDescent="0.25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22.5" hidden="1" customHeight="1" x14ac:dyDescent="0.25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22.5" hidden="1" customHeight="1" x14ac:dyDescent="0.25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22.5" hidden="1" customHeight="1" x14ac:dyDescent="0.25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22.5" hidden="1" customHeight="1" x14ac:dyDescent="0.25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22.5" hidden="1" customHeight="1" x14ac:dyDescent="0.25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22.5" hidden="1" customHeight="1" x14ac:dyDescent="0.25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22.5" hidden="1" customHeight="1" x14ac:dyDescent="0.25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22.5" hidden="1" customHeight="1" x14ac:dyDescent="0.25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22.5" hidden="1" customHeight="1" x14ac:dyDescent="0.25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22.5" hidden="1" customHeight="1" x14ac:dyDescent="0.25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22.5" hidden="1" customHeight="1" x14ac:dyDescent="0.25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22.5" hidden="1" customHeight="1" x14ac:dyDescent="0.25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22.5" hidden="1" customHeight="1" x14ac:dyDescent="0.25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22.5" hidden="1" customHeight="1" x14ac:dyDescent="0.25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22.5" hidden="1" customHeight="1" x14ac:dyDescent="0.25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22.5" hidden="1" customHeight="1" x14ac:dyDescent="0.25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22.5" hidden="1" customHeight="1" x14ac:dyDescent="0.25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22.5" hidden="1" customHeight="1" x14ac:dyDescent="0.25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22.5" hidden="1" customHeight="1" x14ac:dyDescent="0.25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22.5" hidden="1" customHeight="1" x14ac:dyDescent="0.25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22.5" hidden="1" customHeight="1" x14ac:dyDescent="0.25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22.5" hidden="1" customHeight="1" x14ac:dyDescent="0.25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22.5" hidden="1" customHeight="1" x14ac:dyDescent="0.25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22.5" hidden="1" customHeight="1" x14ac:dyDescent="0.25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22.5" hidden="1" customHeight="1" x14ac:dyDescent="0.25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22.5" hidden="1" customHeight="1" x14ac:dyDescent="0.25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22.5" hidden="1" customHeight="1" x14ac:dyDescent="0.25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22.5" hidden="1" customHeight="1" x14ac:dyDescent="0.25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22.5" hidden="1" customHeight="1" x14ac:dyDescent="0.25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22.5" hidden="1" customHeight="1" x14ac:dyDescent="0.25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22.5" hidden="1" customHeight="1" x14ac:dyDescent="0.25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22.5" hidden="1" customHeight="1" x14ac:dyDescent="0.25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22.5" hidden="1" customHeight="1" x14ac:dyDescent="0.25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22.5" hidden="1" customHeight="1" x14ac:dyDescent="0.25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22.5" hidden="1" customHeight="1" x14ac:dyDescent="0.25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22.5" hidden="1" customHeight="1" x14ac:dyDescent="0.25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22.5" hidden="1" customHeight="1" x14ac:dyDescent="0.25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22.5" hidden="1" customHeight="1" x14ac:dyDescent="0.25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22.5" hidden="1" customHeight="1" x14ac:dyDescent="0.25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22.5" hidden="1" customHeight="1" x14ac:dyDescent="0.25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22.5" hidden="1" customHeight="1" x14ac:dyDescent="0.25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22.5" hidden="1" customHeight="1" x14ac:dyDescent="0.25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22.5" hidden="1" customHeight="1" x14ac:dyDescent="0.25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22.5" hidden="1" customHeight="1" x14ac:dyDescent="0.25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22.5" hidden="1" customHeight="1" x14ac:dyDescent="0.25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22.5" hidden="1" customHeight="1" x14ac:dyDescent="0.25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22.5" hidden="1" customHeight="1" x14ac:dyDescent="0.25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22.5" hidden="1" customHeight="1" x14ac:dyDescent="0.25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22.5" hidden="1" customHeight="1" x14ac:dyDescent="0.25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22.5" hidden="1" customHeight="1" x14ac:dyDescent="0.25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22.5" hidden="1" customHeight="1" x14ac:dyDescent="0.25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22.5" hidden="1" customHeight="1" x14ac:dyDescent="0.25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22.5" hidden="1" customHeight="1" x14ac:dyDescent="0.25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22.5" hidden="1" customHeight="1" x14ac:dyDescent="0.25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22.5" hidden="1" customHeight="1" x14ac:dyDescent="0.25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22.5" hidden="1" customHeight="1" x14ac:dyDescent="0.25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22.5" hidden="1" customHeight="1" x14ac:dyDescent="0.25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22.5" hidden="1" customHeight="1" x14ac:dyDescent="0.25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22.5" hidden="1" customHeight="1" x14ac:dyDescent="0.25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22.5" hidden="1" customHeight="1" x14ac:dyDescent="0.25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23.25" hidden="1" customHeight="1" x14ac:dyDescent="0.25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22.5" customHeight="1" x14ac:dyDescent="0.25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22.5" customHeight="1" x14ac:dyDescent="0.25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22.5" customHeight="1" x14ac:dyDescent="0.25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22.5" customHeight="1" x14ac:dyDescent="0.25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2715</v>
      </c>
    </row>
    <row r="663" spans="1:20" ht="22.5" customHeight="1" x14ac:dyDescent="0.25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2724</v>
      </c>
    </row>
    <row r="665" spans="1:20" ht="22.5" customHeight="1" x14ac:dyDescent="0.25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2730</v>
      </c>
    </row>
    <row r="666" spans="1:20" ht="22.5" customHeight="1" x14ac:dyDescent="0.25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22.5" customHeight="1" x14ac:dyDescent="0.25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22.5" customHeight="1" x14ac:dyDescent="0.25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22.5" customHeight="1" x14ac:dyDescent="0.25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22.5" customHeight="1" x14ac:dyDescent="0.25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22.5" customHeight="1" x14ac:dyDescent="0.25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22.5" customHeight="1" x14ac:dyDescent="0.25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22.5" customHeight="1" x14ac:dyDescent="0.25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2787</v>
      </c>
    </row>
    <row r="679" spans="1:20" ht="22.5" customHeight="1" x14ac:dyDescent="0.25">
      <c r="A679" s="139" t="s">
        <v>2788</v>
      </c>
      <c r="B679" s="129">
        <v>2026</v>
      </c>
      <c r="C679" s="154" t="s">
        <v>22</v>
      </c>
      <c r="D679" s="154" t="s">
        <v>2765</v>
      </c>
      <c r="E679" s="155" t="s">
        <v>2789</v>
      </c>
      <c r="F679" s="131" t="s">
        <v>88</v>
      </c>
      <c r="G679" s="166" t="s">
        <v>2749</v>
      </c>
      <c r="H679" s="157" t="s">
        <v>2790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22.5" customHeight="1" x14ac:dyDescent="0.25">
      <c r="A680" s="139" t="s">
        <v>2791</v>
      </c>
      <c r="B680" s="129">
        <v>2026</v>
      </c>
      <c r="C680" s="197" t="s">
        <v>22</v>
      </c>
      <c r="D680" s="197" t="s">
        <v>2792</v>
      </c>
      <c r="E680" s="207" t="s">
        <v>2793</v>
      </c>
      <c r="F680" s="187" t="s">
        <v>24</v>
      </c>
      <c r="G680" s="188" t="s">
        <v>2728</v>
      </c>
      <c r="H680" s="199" t="s">
        <v>2794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22.5" customHeight="1" x14ac:dyDescent="0.25">
      <c r="A681" s="139" t="s">
        <v>2795</v>
      </c>
      <c r="B681" s="129">
        <v>2026</v>
      </c>
      <c r="C681" s="197" t="s">
        <v>2774</v>
      </c>
      <c r="D681" s="197" t="s">
        <v>2796</v>
      </c>
      <c r="E681" s="207" t="s">
        <v>2797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22.5" customHeight="1" x14ac:dyDescent="0.25">
      <c r="A682" s="139" t="s">
        <v>2798</v>
      </c>
      <c r="B682" s="129">
        <v>2026</v>
      </c>
      <c r="C682" s="170" t="s">
        <v>2799</v>
      </c>
      <c r="D682" s="154" t="s">
        <v>2800</v>
      </c>
      <c r="E682" s="155" t="s">
        <v>2801</v>
      </c>
      <c r="F682" s="131" t="s">
        <v>24</v>
      </c>
      <c r="G682" s="156" t="s">
        <v>2708</v>
      </c>
      <c r="H682" s="157" t="s">
        <v>2802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23.25" customHeight="1" x14ac:dyDescent="0.25">
      <c r="A683" s="139" t="s">
        <v>2803</v>
      </c>
      <c r="B683" s="129">
        <v>2026</v>
      </c>
      <c r="C683" s="197" t="s">
        <v>22</v>
      </c>
      <c r="D683" s="197" t="s">
        <v>2804</v>
      </c>
      <c r="E683" s="207" t="s">
        <v>2676</v>
      </c>
      <c r="F683" s="187" t="s">
        <v>24</v>
      </c>
      <c r="G683" s="188" t="s">
        <v>42</v>
      </c>
      <c r="H683" s="199" t="s">
        <v>2805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2806</v>
      </c>
      <c r="B684" s="154">
        <v>2026</v>
      </c>
      <c r="C684" s="154" t="s">
        <v>22</v>
      </c>
      <c r="D684" s="211" t="s">
        <v>2807</v>
      </c>
      <c r="E684" s="212" t="s">
        <v>2808</v>
      </c>
      <c r="F684" s="213" t="s">
        <v>24</v>
      </c>
      <c r="G684" s="214" t="s">
        <v>42</v>
      </c>
      <c r="H684" s="215" t="s">
        <v>2809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2810</v>
      </c>
      <c r="B685" s="154">
        <v>2026</v>
      </c>
      <c r="C685" s="185" t="s">
        <v>22</v>
      </c>
      <c r="D685" s="185" t="s">
        <v>2811</v>
      </c>
      <c r="E685" s="186" t="s">
        <v>2812</v>
      </c>
      <c r="F685" s="187" t="s">
        <v>88</v>
      </c>
      <c r="G685" s="188" t="s">
        <v>2749</v>
      </c>
      <c r="H685" s="195" t="s">
        <v>2813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2814</v>
      </c>
      <c r="B686" s="154">
        <v>2026</v>
      </c>
      <c r="C686" s="185" t="s">
        <v>2799</v>
      </c>
      <c r="D686" s="185" t="s">
        <v>2815</v>
      </c>
      <c r="E686" s="186" t="s">
        <v>2816</v>
      </c>
      <c r="F686" s="187" t="s">
        <v>24</v>
      </c>
      <c r="G686" s="188" t="s">
        <v>75</v>
      </c>
      <c r="H686" s="195" t="s">
        <v>2817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2818</v>
      </c>
    </row>
    <row r="687" spans="1:20" ht="22.5" customHeight="1" x14ac:dyDescent="0.25">
      <c r="A687" s="195" t="s">
        <v>2819</v>
      </c>
      <c r="B687" s="154">
        <v>2026</v>
      </c>
      <c r="C687" s="166" t="s">
        <v>22</v>
      </c>
      <c r="D687" s="129" t="s">
        <v>2820</v>
      </c>
      <c r="E687" s="130" t="s">
        <v>2821</v>
      </c>
      <c r="F687" s="131" t="s">
        <v>24</v>
      </c>
      <c r="G687" s="132" t="s">
        <v>25</v>
      </c>
      <c r="H687" s="177" t="s">
        <v>2822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2823</v>
      </c>
    </row>
    <row r="688" spans="1:20" ht="22.5" customHeight="1" x14ac:dyDescent="0.25">
      <c r="A688" s="195" t="s">
        <v>2824</v>
      </c>
      <c r="B688" s="154">
        <v>2026</v>
      </c>
      <c r="C688" s="129" t="s">
        <v>22</v>
      </c>
      <c r="D688" s="175" t="s">
        <v>2825</v>
      </c>
      <c r="E688" s="182" t="s">
        <v>2826</v>
      </c>
      <c r="F688" s="131" t="s">
        <v>69</v>
      </c>
      <c r="G688" s="176" t="s">
        <v>2702</v>
      </c>
      <c r="H688" s="177" t="s">
        <v>2827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22.5" customHeight="1" x14ac:dyDescent="0.25">
      <c r="A689" s="195" t="s">
        <v>2828</v>
      </c>
      <c r="B689" s="154">
        <v>2026</v>
      </c>
      <c r="C689" s="129" t="s">
        <v>22</v>
      </c>
      <c r="D689" s="175" t="s">
        <v>2825</v>
      </c>
      <c r="E689" s="221" t="s">
        <v>2829</v>
      </c>
      <c r="F689" s="131" t="s">
        <v>69</v>
      </c>
      <c r="G689" s="176" t="s">
        <v>2702</v>
      </c>
      <c r="H689" s="177" t="s">
        <v>2830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22.5" customHeight="1" x14ac:dyDescent="0.25">
      <c r="A690" s="195" t="s">
        <v>2831</v>
      </c>
      <c r="B690" s="154">
        <v>2026</v>
      </c>
      <c r="C690" s="185" t="s">
        <v>22</v>
      </c>
      <c r="D690" s="185" t="s">
        <v>2832</v>
      </c>
      <c r="E690" s="186" t="s">
        <v>2833</v>
      </c>
      <c r="F690" s="187" t="s">
        <v>24</v>
      </c>
      <c r="G690" s="188" t="s">
        <v>25</v>
      </c>
      <c r="H690" s="195" t="s">
        <v>2834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2835</v>
      </c>
    </row>
    <row r="691" spans="1:20" ht="22.5" customHeight="1" x14ac:dyDescent="0.25">
      <c r="A691" s="195" t="s">
        <v>2836</v>
      </c>
      <c r="B691" s="154">
        <v>2026</v>
      </c>
      <c r="C691" s="129" t="s">
        <v>22</v>
      </c>
      <c r="D691" s="175" t="s">
        <v>2837</v>
      </c>
      <c r="E691" s="164" t="s">
        <v>2838</v>
      </c>
      <c r="F691" s="131" t="s">
        <v>69</v>
      </c>
      <c r="G691" s="176" t="s">
        <v>2702</v>
      </c>
      <c r="H691" s="177" t="s">
        <v>2839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2840</v>
      </c>
      <c r="B692" s="154">
        <v>2026</v>
      </c>
      <c r="C692" s="185" t="s">
        <v>22</v>
      </c>
      <c r="D692" s="185" t="s">
        <v>2792</v>
      </c>
      <c r="E692" s="186" t="s">
        <v>2841</v>
      </c>
      <c r="F692" s="187" t="s">
        <v>24</v>
      </c>
      <c r="G692" s="188" t="s">
        <v>2728</v>
      </c>
      <c r="H692" s="195" t="s">
        <v>2842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22.5" customHeight="1" x14ac:dyDescent="0.25">
      <c r="A693" s="195" t="s">
        <v>2843</v>
      </c>
      <c r="B693" s="154">
        <v>2026</v>
      </c>
      <c r="C693" s="185" t="s">
        <v>22</v>
      </c>
      <c r="D693" s="185" t="s">
        <v>2844</v>
      </c>
      <c r="E693" s="186" t="s">
        <v>2845</v>
      </c>
      <c r="F693" s="187" t="s">
        <v>69</v>
      </c>
      <c r="G693" s="188" t="s">
        <v>79</v>
      </c>
      <c r="H693" s="195" t="s">
        <v>2846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22.5" customHeight="1" x14ac:dyDescent="0.25">
      <c r="A694" s="195" t="s">
        <v>2847</v>
      </c>
      <c r="B694" s="154">
        <v>2026</v>
      </c>
      <c r="C694" s="185" t="s">
        <v>2774</v>
      </c>
      <c r="D694" s="185" t="s">
        <v>2848</v>
      </c>
      <c r="E694" s="186" t="s">
        <v>2849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2850</v>
      </c>
      <c r="B695" s="154">
        <v>2026</v>
      </c>
      <c r="C695" s="185" t="s">
        <v>22</v>
      </c>
      <c r="D695" s="185" t="s">
        <v>2851</v>
      </c>
      <c r="E695" s="186" t="s">
        <v>2852</v>
      </c>
      <c r="F695" s="187" t="s">
        <v>88</v>
      </c>
      <c r="G695" s="188" t="s">
        <v>2749</v>
      </c>
      <c r="H695" s="195" t="s">
        <v>2853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22.5" customHeight="1" x14ac:dyDescent="0.25">
      <c r="A696" s="195" t="s">
        <v>2854</v>
      </c>
      <c r="B696" s="154">
        <v>2026</v>
      </c>
      <c r="C696" s="166" t="s">
        <v>22</v>
      </c>
      <c r="D696" s="129" t="s">
        <v>2800</v>
      </c>
      <c r="E696" s="130" t="s">
        <v>2855</v>
      </c>
      <c r="F696" s="131" t="s">
        <v>24</v>
      </c>
      <c r="G696" s="132" t="s">
        <v>2708</v>
      </c>
      <c r="H696" s="133" t="s">
        <v>2856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22.5" customHeight="1" x14ac:dyDescent="0.25">
      <c r="A697" s="195" t="s">
        <v>2857</v>
      </c>
      <c r="B697" s="154">
        <v>2026</v>
      </c>
      <c r="C697" s="185" t="s">
        <v>2566</v>
      </c>
      <c r="D697" s="185" t="s">
        <v>2858</v>
      </c>
      <c r="E697" s="186" t="s">
        <v>2859</v>
      </c>
      <c r="F697" s="187" t="s">
        <v>24</v>
      </c>
      <c r="G697" s="188" t="s">
        <v>75</v>
      </c>
      <c r="H697" s="195" t="s">
        <v>2860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2823</v>
      </c>
    </row>
    <row r="698" spans="1:20" ht="22.5" customHeight="1" x14ac:dyDescent="0.25">
      <c r="A698" s="195" t="s">
        <v>2861</v>
      </c>
      <c r="B698" s="154">
        <v>2026</v>
      </c>
      <c r="C698" s="185" t="s">
        <v>22</v>
      </c>
      <c r="D698" s="185" t="s">
        <v>2862</v>
      </c>
      <c r="E698" s="186" t="s">
        <v>2863</v>
      </c>
      <c r="F698" s="187" t="s">
        <v>88</v>
      </c>
      <c r="G698" s="188" t="s">
        <v>2749</v>
      </c>
      <c r="H698" s="195" t="s">
        <v>2864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2865</v>
      </c>
      <c r="B699" s="154">
        <v>2026</v>
      </c>
      <c r="C699" s="185" t="s">
        <v>22</v>
      </c>
      <c r="D699" s="185" t="s">
        <v>2866</v>
      </c>
      <c r="E699" s="186" t="s">
        <v>2867</v>
      </c>
      <c r="F699" s="187" t="s">
        <v>69</v>
      </c>
      <c r="G699" s="188" t="s">
        <v>79</v>
      </c>
      <c r="H699" s="195" t="s">
        <v>2868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2869</v>
      </c>
      <c r="B700" s="154">
        <v>2026</v>
      </c>
      <c r="C700" s="185" t="s">
        <v>2774</v>
      </c>
      <c r="D700" s="185" t="s">
        <v>2870</v>
      </c>
      <c r="E700" s="186" t="s">
        <v>2871</v>
      </c>
      <c r="F700" s="187" t="s">
        <v>69</v>
      </c>
      <c r="G700" s="188" t="s">
        <v>79</v>
      </c>
      <c r="H700" s="195" t="s">
        <v>2872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2873</v>
      </c>
    </row>
    <row r="701" spans="1:20" ht="22.5" customHeight="1" x14ac:dyDescent="0.25">
      <c r="A701" s="195" t="s">
        <v>2874</v>
      </c>
      <c r="B701" s="154">
        <v>2026</v>
      </c>
      <c r="C701" s="185" t="s">
        <v>2799</v>
      </c>
      <c r="D701" s="129" t="s">
        <v>2800</v>
      </c>
      <c r="E701" s="130" t="s">
        <v>2855</v>
      </c>
      <c r="F701" s="187" t="s">
        <v>24</v>
      </c>
      <c r="G701" s="188" t="s">
        <v>2708</v>
      </c>
      <c r="H701" s="195" t="s">
        <v>2875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2710</v>
      </c>
    </row>
    <row r="702" spans="1:20" ht="22.5" customHeight="1" x14ac:dyDescent="0.25">
      <c r="A702" s="195" t="s">
        <v>2876</v>
      </c>
      <c r="B702" s="154">
        <v>2026</v>
      </c>
      <c r="C702" s="185" t="s">
        <v>2774</v>
      </c>
      <c r="D702" s="185" t="s">
        <v>2877</v>
      </c>
      <c r="E702" s="186" t="s">
        <v>2878</v>
      </c>
      <c r="F702" s="187" t="s">
        <v>69</v>
      </c>
      <c r="G702" s="188" t="s">
        <v>79</v>
      </c>
      <c r="H702" s="195" t="s">
        <v>2879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2880</v>
      </c>
    </row>
    <row r="703" spans="1:20" ht="22.5" customHeight="1" x14ac:dyDescent="0.25">
      <c r="A703" s="195" t="s">
        <v>2881</v>
      </c>
      <c r="B703" s="154">
        <v>2026</v>
      </c>
      <c r="C703" s="185" t="s">
        <v>2774</v>
      </c>
      <c r="D703" s="185" t="s">
        <v>2882</v>
      </c>
      <c r="E703" s="186" t="s">
        <v>2883</v>
      </c>
      <c r="F703" s="187" t="s">
        <v>69</v>
      </c>
      <c r="G703" s="188" t="s">
        <v>79</v>
      </c>
      <c r="H703" s="195" t="s">
        <v>2884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2452</v>
      </c>
    </row>
    <row r="704" spans="1:20" ht="22.5" customHeight="1" x14ac:dyDescent="0.25">
      <c r="A704" s="195" t="s">
        <v>2885</v>
      </c>
      <c r="B704" s="154">
        <v>2026</v>
      </c>
      <c r="C704" s="185" t="s">
        <v>2774</v>
      </c>
      <c r="D704" s="185" t="s">
        <v>2886</v>
      </c>
      <c r="E704" s="186" t="s">
        <v>2887</v>
      </c>
      <c r="F704" s="187" t="s">
        <v>69</v>
      </c>
      <c r="G704" s="188" t="s">
        <v>79</v>
      </c>
      <c r="H704" s="195" t="s">
        <v>2884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2888</v>
      </c>
    </row>
    <row r="705" spans="1:21" ht="22.5" customHeight="1" x14ac:dyDescent="0.25">
      <c r="A705" s="195" t="s">
        <v>2889</v>
      </c>
      <c r="B705" s="154">
        <v>2026</v>
      </c>
      <c r="C705" s="185" t="s">
        <v>2774</v>
      </c>
      <c r="D705" s="185" t="s">
        <v>2890</v>
      </c>
      <c r="E705" s="186" t="s">
        <v>2891</v>
      </c>
      <c r="F705" s="187" t="s">
        <v>69</v>
      </c>
      <c r="G705" s="188" t="s">
        <v>79</v>
      </c>
      <c r="H705" s="195" t="s">
        <v>2892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2462</v>
      </c>
    </row>
    <row r="706" spans="1:21" ht="22.5" customHeight="1" x14ac:dyDescent="0.25">
      <c r="A706" s="195" t="s">
        <v>2893</v>
      </c>
      <c r="B706" s="154">
        <v>2026</v>
      </c>
      <c r="C706" s="185" t="s">
        <v>2774</v>
      </c>
      <c r="D706" s="185" t="s">
        <v>2894</v>
      </c>
      <c r="E706" s="186" t="s">
        <v>2895</v>
      </c>
      <c r="F706" s="187" t="s">
        <v>69</v>
      </c>
      <c r="G706" s="188" t="s">
        <v>79</v>
      </c>
      <c r="H706" s="195" t="s">
        <v>2896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1958</v>
      </c>
    </row>
    <row r="707" spans="1:21" ht="22.5" customHeight="1" x14ac:dyDescent="0.25">
      <c r="A707" s="195" t="s">
        <v>2897</v>
      </c>
      <c r="B707" s="154">
        <v>2026</v>
      </c>
      <c r="C707" s="185" t="s">
        <v>2774</v>
      </c>
      <c r="D707" s="185" t="s">
        <v>2898</v>
      </c>
      <c r="E707" s="186" t="s">
        <v>2899</v>
      </c>
      <c r="F707" s="187" t="s">
        <v>69</v>
      </c>
      <c r="G707" s="188" t="s">
        <v>79</v>
      </c>
      <c r="H707" s="195" t="s">
        <v>2896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2900</v>
      </c>
    </row>
    <row r="708" spans="1:21" ht="22.5" customHeight="1" x14ac:dyDescent="0.25">
      <c r="A708" s="195" t="s">
        <v>2901</v>
      </c>
      <c r="B708" s="154">
        <v>2026</v>
      </c>
      <c r="C708" s="185" t="s">
        <v>2774</v>
      </c>
      <c r="D708" s="185" t="s">
        <v>2902</v>
      </c>
      <c r="E708" s="186" t="s">
        <v>2903</v>
      </c>
      <c r="F708" s="187" t="s">
        <v>69</v>
      </c>
      <c r="G708" s="188" t="s">
        <v>79</v>
      </c>
      <c r="H708" s="195" t="s">
        <v>2904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2905</v>
      </c>
    </row>
    <row r="709" spans="1:21" ht="22.5" customHeight="1" x14ac:dyDescent="0.25">
      <c r="A709" s="195" t="s">
        <v>2906</v>
      </c>
      <c r="B709" s="154">
        <v>2026</v>
      </c>
      <c r="C709" s="185" t="s">
        <v>2774</v>
      </c>
      <c r="D709" s="185" t="s">
        <v>2907</v>
      </c>
      <c r="E709" s="186" t="s">
        <v>2908</v>
      </c>
      <c r="F709" s="187" t="s">
        <v>69</v>
      </c>
      <c r="G709" s="188" t="s">
        <v>79</v>
      </c>
      <c r="H709" s="195" t="s">
        <v>2904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2909</v>
      </c>
      <c r="U709" s="108"/>
    </row>
    <row r="710" spans="1:21" ht="22.5" customHeight="1" x14ac:dyDescent="0.25">
      <c r="A710" s="195" t="s">
        <v>2910</v>
      </c>
      <c r="B710" s="154">
        <v>2026</v>
      </c>
      <c r="C710" s="185" t="s">
        <v>2774</v>
      </c>
      <c r="D710" s="185" t="s">
        <v>2911</v>
      </c>
      <c r="E710" s="186" t="s">
        <v>2912</v>
      </c>
      <c r="F710" s="187" t="s">
        <v>24</v>
      </c>
      <c r="G710" s="188" t="s">
        <v>206</v>
      </c>
      <c r="H710" s="195" t="s">
        <v>2913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2914</v>
      </c>
    </row>
    <row r="711" spans="1:21" ht="22.5" customHeight="1" x14ac:dyDescent="0.25">
      <c r="A711" s="195" t="s">
        <v>2915</v>
      </c>
      <c r="B711" s="154">
        <v>2026</v>
      </c>
      <c r="C711" s="185" t="s">
        <v>2774</v>
      </c>
      <c r="D711" s="185" t="s">
        <v>2765</v>
      </c>
      <c r="E711" s="186" t="s">
        <v>2916</v>
      </c>
      <c r="F711" s="187" t="s">
        <v>88</v>
      </c>
      <c r="G711" s="188" t="s">
        <v>2749</v>
      </c>
      <c r="H711" s="195" t="s">
        <v>2917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2918</v>
      </c>
      <c r="B712" s="154">
        <v>2026</v>
      </c>
      <c r="C712" s="185" t="s">
        <v>2774</v>
      </c>
      <c r="D712" s="185" t="s">
        <v>2765</v>
      </c>
      <c r="E712" s="186" t="s">
        <v>2916</v>
      </c>
      <c r="F712" s="187" t="s">
        <v>88</v>
      </c>
      <c r="G712" s="188" t="s">
        <v>2749</v>
      </c>
      <c r="H712" s="195" t="s">
        <v>2919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2920</v>
      </c>
      <c r="B713" s="154">
        <v>2026</v>
      </c>
      <c r="C713" s="185" t="s">
        <v>2774</v>
      </c>
      <c r="D713" s="185" t="s">
        <v>2921</v>
      </c>
      <c r="E713" s="186" t="s">
        <v>2922</v>
      </c>
      <c r="F713" s="187" t="s">
        <v>69</v>
      </c>
      <c r="G713" s="188" t="s">
        <v>79</v>
      </c>
      <c r="H713" s="222" t="s">
        <v>2923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2924</v>
      </c>
    </row>
    <row r="714" spans="1:21" ht="22.5" customHeight="1" x14ac:dyDescent="0.25">
      <c r="A714" s="195" t="s">
        <v>2925</v>
      </c>
      <c r="B714" s="154">
        <v>2026</v>
      </c>
      <c r="C714" s="166" t="s">
        <v>2774</v>
      </c>
      <c r="D714" s="129" t="s">
        <v>2926</v>
      </c>
      <c r="E714" s="164" t="s">
        <v>2927</v>
      </c>
      <c r="F714" s="131" t="s">
        <v>88</v>
      </c>
      <c r="G714" s="132" t="s">
        <v>2749</v>
      </c>
      <c r="H714" s="133" t="s">
        <v>2928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2929</v>
      </c>
    </row>
    <row r="715" spans="1:21" ht="22.5" customHeight="1" x14ac:dyDescent="0.25">
      <c r="A715" s="195" t="s">
        <v>2930</v>
      </c>
      <c r="B715" s="154">
        <v>2026</v>
      </c>
      <c r="C715" s="185" t="s">
        <v>2774</v>
      </c>
      <c r="D715" s="185" t="s">
        <v>2765</v>
      </c>
      <c r="E715" s="186" t="s">
        <v>2916</v>
      </c>
      <c r="F715" s="187" t="s">
        <v>88</v>
      </c>
      <c r="G715" s="188" t="s">
        <v>2749</v>
      </c>
      <c r="H715" s="195" t="s">
        <v>2931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2932</v>
      </c>
      <c r="B716" s="154">
        <v>2026</v>
      </c>
      <c r="C716" s="185" t="s">
        <v>2774</v>
      </c>
      <c r="D716" s="185" t="s">
        <v>2765</v>
      </c>
      <c r="E716" s="186" t="s">
        <v>2916</v>
      </c>
      <c r="F716" s="187" t="s">
        <v>88</v>
      </c>
      <c r="G716" s="188" t="s">
        <v>2749</v>
      </c>
      <c r="H716" s="195" t="s">
        <v>2933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2934</v>
      </c>
      <c r="B717" s="154">
        <v>2026</v>
      </c>
      <c r="C717" s="185" t="s">
        <v>2774</v>
      </c>
      <c r="D717" s="185" t="s">
        <v>2765</v>
      </c>
      <c r="E717" s="186" t="s">
        <v>2916</v>
      </c>
      <c r="F717" s="187" t="s">
        <v>88</v>
      </c>
      <c r="G717" s="188" t="s">
        <v>2749</v>
      </c>
      <c r="H717" s="195" t="s">
        <v>2935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2936</v>
      </c>
      <c r="B718" s="154">
        <v>2026</v>
      </c>
      <c r="C718" s="185" t="s">
        <v>2774</v>
      </c>
      <c r="D718" s="185" t="s">
        <v>2765</v>
      </c>
      <c r="E718" s="186" t="s">
        <v>2916</v>
      </c>
      <c r="F718" s="187" t="s">
        <v>88</v>
      </c>
      <c r="G718" s="188" t="s">
        <v>2749</v>
      </c>
      <c r="H718" s="195" t="s">
        <v>2937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2938</v>
      </c>
      <c r="B719" s="154">
        <v>2026</v>
      </c>
      <c r="C719" s="185" t="s">
        <v>2774</v>
      </c>
      <c r="D719" s="185" t="s">
        <v>2939</v>
      </c>
      <c r="E719" s="186" t="s">
        <v>2940</v>
      </c>
      <c r="F719" s="187" t="s">
        <v>69</v>
      </c>
      <c r="G719" s="188" t="s">
        <v>79</v>
      </c>
      <c r="H719" s="195" t="s">
        <v>2941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2942</v>
      </c>
      <c r="B720" s="154">
        <v>2026</v>
      </c>
      <c r="C720" s="129" t="s">
        <v>2774</v>
      </c>
      <c r="D720" s="175" t="s">
        <v>2943</v>
      </c>
      <c r="E720" s="182" t="s">
        <v>2944</v>
      </c>
      <c r="F720" s="131" t="s">
        <v>69</v>
      </c>
      <c r="G720" s="132" t="s">
        <v>79</v>
      </c>
      <c r="H720" s="177" t="s">
        <v>2945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2946</v>
      </c>
      <c r="B721" s="154">
        <v>2026</v>
      </c>
      <c r="C721" s="197" t="s">
        <v>2774</v>
      </c>
      <c r="D721" s="197" t="s">
        <v>2947</v>
      </c>
      <c r="E721" s="207" t="s">
        <v>2948</v>
      </c>
      <c r="F721" s="224" t="s">
        <v>24</v>
      </c>
      <c r="G721" s="198" t="s">
        <v>75</v>
      </c>
      <c r="H721" s="199" t="s">
        <v>2949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2950</v>
      </c>
    </row>
    <row r="722" spans="1:20" ht="22.5" customHeight="1" x14ac:dyDescent="0.25">
      <c r="A722" s="195" t="s">
        <v>2951</v>
      </c>
      <c r="B722" s="129">
        <v>2026</v>
      </c>
      <c r="C722" s="185" t="s">
        <v>2774</v>
      </c>
      <c r="D722" s="185" t="s">
        <v>2952</v>
      </c>
      <c r="E722" s="186" t="s">
        <v>2953</v>
      </c>
      <c r="F722" s="187" t="s">
        <v>69</v>
      </c>
      <c r="G722" s="188" t="s">
        <v>79</v>
      </c>
      <c r="H722" s="195" t="s">
        <v>2777</v>
      </c>
      <c r="I722" s="196" t="s">
        <v>2954</v>
      </c>
      <c r="J722" s="196" t="s">
        <v>2955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2956</v>
      </c>
    </row>
    <row r="723" spans="1:20" ht="22.5" customHeight="1" x14ac:dyDescent="0.25">
      <c r="A723" s="195" t="s">
        <v>2957</v>
      </c>
      <c r="B723" s="154">
        <v>2026</v>
      </c>
      <c r="C723" s="185" t="s">
        <v>2774</v>
      </c>
      <c r="D723" s="185" t="s">
        <v>2958</v>
      </c>
      <c r="E723" s="186" t="s">
        <v>2959</v>
      </c>
      <c r="F723" s="187" t="s">
        <v>24</v>
      </c>
      <c r="G723" s="188" t="s">
        <v>206</v>
      </c>
      <c r="H723" s="195" t="s">
        <v>2884</v>
      </c>
      <c r="I723" s="195" t="s">
        <v>2884</v>
      </c>
      <c r="J723" s="195" t="s">
        <v>2884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2960</v>
      </c>
    </row>
    <row r="724" spans="1:20" ht="22.5" customHeight="1" x14ac:dyDescent="0.25">
      <c r="A724" s="195" t="s">
        <v>2961</v>
      </c>
      <c r="B724" s="153">
        <v>2026</v>
      </c>
      <c r="C724" s="185" t="s">
        <v>2774</v>
      </c>
      <c r="D724" s="185" t="s">
        <v>2962</v>
      </c>
      <c r="E724" s="186" t="s">
        <v>2963</v>
      </c>
      <c r="F724" s="187" t="s">
        <v>69</v>
      </c>
      <c r="G724" s="188" t="s">
        <v>79</v>
      </c>
      <c r="H724" s="195" t="s">
        <v>2913</v>
      </c>
      <c r="I724" s="196" t="s">
        <v>2913</v>
      </c>
      <c r="J724" s="196" t="s">
        <v>2913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2964</v>
      </c>
    </row>
    <row r="725" spans="1:20" ht="22.5" customHeight="1" x14ac:dyDescent="0.25">
      <c r="A725" s="195" t="s">
        <v>2965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2966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2967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2968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2969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abSelected="1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2970</v>
      </c>
      <c r="F1" s="106" t="s">
        <v>2971</v>
      </c>
    </row>
    <row r="2" spans="1:6" x14ac:dyDescent="0.25">
      <c r="F2" s="107" t="s">
        <v>2972</v>
      </c>
    </row>
    <row r="3" spans="1:6" x14ac:dyDescent="0.25">
      <c r="A3" t="s">
        <v>0</v>
      </c>
      <c r="B3" t="s">
        <v>19</v>
      </c>
      <c r="C3" t="s">
        <v>2973</v>
      </c>
      <c r="D3" t="s">
        <v>2974</v>
      </c>
      <c r="F3" s="107" t="s">
        <v>2975</v>
      </c>
    </row>
    <row r="4" spans="1:6" x14ac:dyDescent="0.25">
      <c r="A4">
        <v>1</v>
      </c>
      <c r="B4" t="s">
        <v>2976</v>
      </c>
      <c r="D4" t="s">
        <v>2977</v>
      </c>
      <c r="F4" s="107" t="s">
        <v>2978</v>
      </c>
    </row>
    <row r="5" spans="1:6" x14ac:dyDescent="0.25">
      <c r="A5">
        <v>2</v>
      </c>
      <c r="B5" t="s">
        <v>2507</v>
      </c>
      <c r="D5" t="s">
        <v>2977</v>
      </c>
      <c r="F5" s="107" t="s">
        <v>2979</v>
      </c>
    </row>
    <row r="6" spans="1:6" x14ac:dyDescent="0.25">
      <c r="A6">
        <v>3</v>
      </c>
      <c r="B6" t="s">
        <v>1030</v>
      </c>
      <c r="D6" t="s">
        <v>2977</v>
      </c>
    </row>
    <row r="7" spans="1:6" x14ac:dyDescent="0.25">
      <c r="A7">
        <v>4</v>
      </c>
      <c r="B7" t="s">
        <v>2980</v>
      </c>
      <c r="D7" t="s">
        <v>2977</v>
      </c>
      <c r="F7" s="107" t="s">
        <v>2981</v>
      </c>
    </row>
    <row r="8" spans="1:6" x14ac:dyDescent="0.25">
      <c r="A8">
        <v>5</v>
      </c>
      <c r="B8" t="s">
        <v>2982</v>
      </c>
      <c r="D8" t="s">
        <v>2977</v>
      </c>
    </row>
    <row r="9" spans="1:6" x14ac:dyDescent="0.25">
      <c r="A9">
        <v>6</v>
      </c>
      <c r="B9" t="s">
        <v>2317</v>
      </c>
      <c r="D9" t="s">
        <v>2977</v>
      </c>
    </row>
    <row r="10" spans="1:6" x14ac:dyDescent="0.25">
      <c r="A10">
        <v>7</v>
      </c>
      <c r="B10" t="s">
        <v>2416</v>
      </c>
      <c r="D10" t="s">
        <v>2977</v>
      </c>
    </row>
    <row r="11" spans="1:6" x14ac:dyDescent="0.25">
      <c r="A11">
        <v>8</v>
      </c>
      <c r="B11" t="s">
        <v>2478</v>
      </c>
      <c r="D11" t="s">
        <v>2977</v>
      </c>
    </row>
    <row r="12" spans="1:6" x14ac:dyDescent="0.25">
      <c r="A12">
        <v>10</v>
      </c>
      <c r="B12" t="s">
        <v>2730</v>
      </c>
      <c r="D12" t="s">
        <v>2977</v>
      </c>
    </row>
    <row r="13" spans="1:6" x14ac:dyDescent="0.25">
      <c r="A13">
        <v>11</v>
      </c>
      <c r="B13" t="s">
        <v>2281</v>
      </c>
      <c r="D13" t="s">
        <v>2977</v>
      </c>
    </row>
    <row r="14" spans="1:6" x14ac:dyDescent="0.25">
      <c r="A14">
        <v>12</v>
      </c>
      <c r="B14" t="s">
        <v>2377</v>
      </c>
      <c r="D14" t="s">
        <v>2977</v>
      </c>
    </row>
    <row r="15" spans="1:6" x14ac:dyDescent="0.25">
      <c r="A15">
        <v>13</v>
      </c>
      <c r="B15" t="s">
        <v>2698</v>
      </c>
      <c r="D15" t="s">
        <v>2977</v>
      </c>
    </row>
    <row r="16" spans="1:6" x14ac:dyDescent="0.25">
      <c r="A16">
        <v>14</v>
      </c>
      <c r="B16" t="s">
        <v>1909</v>
      </c>
      <c r="D16" t="s">
        <v>2977</v>
      </c>
    </row>
    <row r="17" spans="1:4" x14ac:dyDescent="0.25">
      <c r="A17">
        <v>15</v>
      </c>
      <c r="B17" t="s">
        <v>578</v>
      </c>
      <c r="D17" t="s">
        <v>2977</v>
      </c>
    </row>
    <row r="18" spans="1:4" x14ac:dyDescent="0.25">
      <c r="A18">
        <v>16</v>
      </c>
      <c r="B18" t="s">
        <v>1958</v>
      </c>
      <c r="D18" t="s">
        <v>2977</v>
      </c>
    </row>
    <row r="19" spans="1:4" x14ac:dyDescent="0.25">
      <c r="A19">
        <v>17</v>
      </c>
      <c r="B19" t="s">
        <v>1792</v>
      </c>
      <c r="D19" t="s">
        <v>2977</v>
      </c>
    </row>
    <row r="20" spans="1:4" x14ac:dyDescent="0.25">
      <c r="A20">
        <v>18</v>
      </c>
      <c r="B20" t="s">
        <v>2122</v>
      </c>
      <c r="D20" t="s">
        <v>2977</v>
      </c>
    </row>
    <row r="21" spans="1:4" x14ac:dyDescent="0.25">
      <c r="A21">
        <v>19</v>
      </c>
      <c r="B21" t="s">
        <v>1350</v>
      </c>
      <c r="D21" t="s">
        <v>2977</v>
      </c>
    </row>
    <row r="22" spans="1:4" x14ac:dyDescent="0.25">
      <c r="A22">
        <v>20</v>
      </c>
      <c r="B22" t="s">
        <v>2262</v>
      </c>
      <c r="D22" t="s">
        <v>2977</v>
      </c>
    </row>
    <row r="23" spans="1:4" x14ac:dyDescent="0.25">
      <c r="A23">
        <v>21</v>
      </c>
      <c r="B23" t="s">
        <v>2983</v>
      </c>
      <c r="D23" t="s">
        <v>2977</v>
      </c>
    </row>
    <row r="24" spans="1:4" x14ac:dyDescent="0.25">
      <c r="A24">
        <v>22</v>
      </c>
      <c r="B24" t="s">
        <v>591</v>
      </c>
      <c r="D24" t="s">
        <v>2977</v>
      </c>
    </row>
    <row r="25" spans="1:4" x14ac:dyDescent="0.25">
      <c r="A25">
        <v>23</v>
      </c>
      <c r="B25" t="s">
        <v>2984</v>
      </c>
      <c r="D25" t="s">
        <v>2977</v>
      </c>
    </row>
    <row r="26" spans="1:4" x14ac:dyDescent="0.25">
      <c r="A26">
        <v>24</v>
      </c>
      <c r="B26" t="s">
        <v>2985</v>
      </c>
      <c r="D26" t="s">
        <v>2977</v>
      </c>
    </row>
    <row r="27" spans="1:4" x14ac:dyDescent="0.25">
      <c r="A27">
        <v>25</v>
      </c>
      <c r="B27" t="s">
        <v>479</v>
      </c>
      <c r="D27" t="s">
        <v>2977</v>
      </c>
    </row>
    <row r="28" spans="1:4" x14ac:dyDescent="0.25">
      <c r="A28">
        <v>26</v>
      </c>
      <c r="B28" t="s">
        <v>76</v>
      </c>
      <c r="D28" t="s">
        <v>2977</v>
      </c>
    </row>
    <row r="29" spans="1:4" x14ac:dyDescent="0.25">
      <c r="A29">
        <v>27</v>
      </c>
      <c r="B29" t="s">
        <v>2986</v>
      </c>
      <c r="D29" t="s">
        <v>2977</v>
      </c>
    </row>
    <row r="30" spans="1:4" x14ac:dyDescent="0.25">
      <c r="A30">
        <v>28</v>
      </c>
      <c r="B30" t="s">
        <v>2109</v>
      </c>
      <c r="D30" t="s">
        <v>2977</v>
      </c>
    </row>
    <row r="31" spans="1:4" x14ac:dyDescent="0.25">
      <c r="A31">
        <v>29</v>
      </c>
      <c r="B31" t="s">
        <v>2257</v>
      </c>
      <c r="D31" t="s">
        <v>2977</v>
      </c>
    </row>
    <row r="32" spans="1:4" x14ac:dyDescent="0.25">
      <c r="A32">
        <v>30</v>
      </c>
      <c r="B32" t="s">
        <v>2512</v>
      </c>
      <c r="D32" t="s">
        <v>2977</v>
      </c>
    </row>
    <row r="33" spans="1:4" x14ac:dyDescent="0.25">
      <c r="A33">
        <v>31</v>
      </c>
      <c r="B33" t="s">
        <v>2987</v>
      </c>
      <c r="D33" t="s">
        <v>2977</v>
      </c>
    </row>
    <row r="34" spans="1:4" x14ac:dyDescent="0.25">
      <c r="A34">
        <v>32</v>
      </c>
      <c r="B34" t="s">
        <v>2988</v>
      </c>
      <c r="D34" t="s">
        <v>2977</v>
      </c>
    </row>
    <row r="35" spans="1:4" x14ac:dyDescent="0.25">
      <c r="A35">
        <v>33</v>
      </c>
      <c r="B35" t="s">
        <v>1374</v>
      </c>
      <c r="D35" t="s">
        <v>2977</v>
      </c>
    </row>
    <row r="36" spans="1:4" x14ac:dyDescent="0.25">
      <c r="A36">
        <v>34</v>
      </c>
      <c r="B36" t="s">
        <v>1479</v>
      </c>
      <c r="D36" t="s">
        <v>2977</v>
      </c>
    </row>
    <row r="37" spans="1:4" x14ac:dyDescent="0.25">
      <c r="A37">
        <v>35</v>
      </c>
      <c r="B37" t="s">
        <v>556</v>
      </c>
      <c r="D37" t="s">
        <v>2977</v>
      </c>
    </row>
    <row r="38" spans="1:4" x14ac:dyDescent="0.25">
      <c r="A38">
        <v>36</v>
      </c>
      <c r="B38" t="s">
        <v>2989</v>
      </c>
      <c r="D38" t="s">
        <v>2977</v>
      </c>
    </row>
    <row r="39" spans="1:4" x14ac:dyDescent="0.25">
      <c r="A39">
        <v>37</v>
      </c>
      <c r="B39" t="s">
        <v>2154</v>
      </c>
      <c r="D39" t="s">
        <v>2977</v>
      </c>
    </row>
    <row r="40" spans="1:4" x14ac:dyDescent="0.25">
      <c r="A40">
        <v>38</v>
      </c>
      <c r="B40" t="s">
        <v>2990</v>
      </c>
      <c r="D40" t="s">
        <v>2977</v>
      </c>
    </row>
    <row r="41" spans="1:4" x14ac:dyDescent="0.25">
      <c r="A41">
        <v>39</v>
      </c>
      <c r="B41" t="s">
        <v>2583</v>
      </c>
      <c r="D41" t="s">
        <v>2977</v>
      </c>
    </row>
    <row r="42" spans="1:4" x14ac:dyDescent="0.25">
      <c r="A42">
        <v>40</v>
      </c>
      <c r="B42" t="s">
        <v>2991</v>
      </c>
      <c r="D42" t="s">
        <v>2977</v>
      </c>
    </row>
    <row r="43" spans="1:4" x14ac:dyDescent="0.25">
      <c r="A43">
        <v>41</v>
      </c>
      <c r="B43" t="s">
        <v>862</v>
      </c>
      <c r="D43" t="s">
        <v>2977</v>
      </c>
    </row>
    <row r="44" spans="1:4" x14ac:dyDescent="0.25">
      <c r="A44">
        <v>42</v>
      </c>
      <c r="B44" t="s">
        <v>717</v>
      </c>
      <c r="D44" t="s">
        <v>2977</v>
      </c>
    </row>
    <row r="45" spans="1:4" x14ac:dyDescent="0.25">
      <c r="A45">
        <v>43</v>
      </c>
      <c r="B45" t="s">
        <v>2992</v>
      </c>
      <c r="D45" t="s">
        <v>2977</v>
      </c>
    </row>
    <row r="46" spans="1:4" x14ac:dyDescent="0.25">
      <c r="A46">
        <v>44</v>
      </c>
      <c r="B46" t="s">
        <v>2161</v>
      </c>
      <c r="D46" t="s">
        <v>2977</v>
      </c>
    </row>
    <row r="47" spans="1:4" x14ac:dyDescent="0.25">
      <c r="A47">
        <v>45</v>
      </c>
      <c r="B47" t="s">
        <v>218</v>
      </c>
      <c r="D47" t="s">
        <v>2977</v>
      </c>
    </row>
    <row r="48" spans="1:4" x14ac:dyDescent="0.25">
      <c r="A48">
        <v>46</v>
      </c>
      <c r="B48" t="s">
        <v>973</v>
      </c>
      <c r="D48" t="s">
        <v>2977</v>
      </c>
    </row>
    <row r="49" spans="1:4" x14ac:dyDescent="0.25">
      <c r="A49">
        <v>47</v>
      </c>
      <c r="B49" t="s">
        <v>1407</v>
      </c>
      <c r="D49" t="s">
        <v>2977</v>
      </c>
    </row>
    <row r="50" spans="1:4" x14ac:dyDescent="0.25">
      <c r="A50">
        <v>48</v>
      </c>
      <c r="B50" t="s">
        <v>2993</v>
      </c>
      <c r="D50" t="s">
        <v>2977</v>
      </c>
    </row>
    <row r="51" spans="1:4" x14ac:dyDescent="0.25">
      <c r="A51">
        <v>49</v>
      </c>
      <c r="B51" t="s">
        <v>2929</v>
      </c>
      <c r="D51" t="s">
        <v>2977</v>
      </c>
    </row>
    <row r="52" spans="1:4" x14ac:dyDescent="0.25">
      <c r="A52">
        <v>50</v>
      </c>
      <c r="B52" t="s">
        <v>2994</v>
      </c>
      <c r="D52" t="s">
        <v>2977</v>
      </c>
    </row>
    <row r="53" spans="1:4" x14ac:dyDescent="0.25">
      <c r="A53">
        <v>51</v>
      </c>
      <c r="B53" t="s">
        <v>1062</v>
      </c>
      <c r="D53" t="s">
        <v>2977</v>
      </c>
    </row>
    <row r="54" spans="1:4" x14ac:dyDescent="0.25">
      <c r="A54">
        <v>52</v>
      </c>
      <c r="B54" t="s">
        <v>1759</v>
      </c>
      <c r="D54" t="s">
        <v>2977</v>
      </c>
    </row>
    <row r="55" spans="1:4" x14ac:dyDescent="0.25">
      <c r="A55">
        <v>53</v>
      </c>
      <c r="B55" t="s">
        <v>2995</v>
      </c>
      <c r="D55" t="s">
        <v>2977</v>
      </c>
    </row>
    <row r="56" spans="1:4" x14ac:dyDescent="0.25">
      <c r="A56">
        <v>54</v>
      </c>
      <c r="B56" t="s">
        <v>81</v>
      </c>
      <c r="D56" t="s">
        <v>2977</v>
      </c>
    </row>
    <row r="57" spans="1:4" x14ac:dyDescent="0.25">
      <c r="A57">
        <v>55</v>
      </c>
      <c r="B57" t="s">
        <v>1103</v>
      </c>
      <c r="D57" t="s">
        <v>2977</v>
      </c>
    </row>
    <row r="58" spans="1:4" x14ac:dyDescent="0.25">
      <c r="A58">
        <v>56</v>
      </c>
      <c r="B58" t="s">
        <v>2055</v>
      </c>
      <c r="D58" t="s">
        <v>2977</v>
      </c>
    </row>
    <row r="59" spans="1:4" x14ac:dyDescent="0.25">
      <c r="A59">
        <v>57</v>
      </c>
      <c r="B59" t="s">
        <v>2996</v>
      </c>
      <c r="D59" t="s">
        <v>2977</v>
      </c>
    </row>
    <row r="60" spans="1:4" x14ac:dyDescent="0.25">
      <c r="A60">
        <v>58</v>
      </c>
      <c r="B60" t="s">
        <v>1880</v>
      </c>
      <c r="D60" t="s">
        <v>2977</v>
      </c>
    </row>
    <row r="61" spans="1:4" x14ac:dyDescent="0.25">
      <c r="A61">
        <v>59</v>
      </c>
      <c r="B61" t="s">
        <v>2089</v>
      </c>
      <c r="D61" t="s">
        <v>2977</v>
      </c>
    </row>
    <row r="62" spans="1:4" x14ac:dyDescent="0.25">
      <c r="A62">
        <v>60</v>
      </c>
      <c r="B62" t="s">
        <v>2021</v>
      </c>
      <c r="D62" t="s">
        <v>2977</v>
      </c>
    </row>
    <row r="63" spans="1:4" x14ac:dyDescent="0.25">
      <c r="A63">
        <v>61</v>
      </c>
      <c r="B63" t="s">
        <v>2997</v>
      </c>
      <c r="D63" t="s">
        <v>2977</v>
      </c>
    </row>
    <row r="64" spans="1:4" x14ac:dyDescent="0.25">
      <c r="A64">
        <v>62</v>
      </c>
      <c r="B64" t="s">
        <v>2998</v>
      </c>
      <c r="D64" t="s">
        <v>2977</v>
      </c>
    </row>
    <row r="65" spans="1:4" x14ac:dyDescent="0.25">
      <c r="A65">
        <v>63</v>
      </c>
      <c r="B65" t="s">
        <v>2999</v>
      </c>
      <c r="D65" t="s">
        <v>2977</v>
      </c>
    </row>
    <row r="66" spans="1:4" x14ac:dyDescent="0.25">
      <c r="A66">
        <v>64</v>
      </c>
      <c r="B66" t="s">
        <v>3000</v>
      </c>
      <c r="D66" t="s">
        <v>2977</v>
      </c>
    </row>
    <row r="67" spans="1:4" x14ac:dyDescent="0.25">
      <c r="A67">
        <v>65</v>
      </c>
      <c r="B67" t="s">
        <v>2710</v>
      </c>
      <c r="D67" t="s">
        <v>2977</v>
      </c>
    </row>
    <row r="68" spans="1:4" x14ac:dyDescent="0.25">
      <c r="A68">
        <v>66</v>
      </c>
      <c r="B68" t="s">
        <v>2556</v>
      </c>
      <c r="D68" t="s">
        <v>2977</v>
      </c>
    </row>
    <row r="69" spans="1:4" x14ac:dyDescent="0.25">
      <c r="A69">
        <v>67</v>
      </c>
      <c r="B69" t="s">
        <v>3001</v>
      </c>
      <c r="D69" t="s">
        <v>2977</v>
      </c>
    </row>
    <row r="70" spans="1:4" x14ac:dyDescent="0.25">
      <c r="A70">
        <v>68</v>
      </c>
      <c r="B70" t="s">
        <v>3002</v>
      </c>
      <c r="D70" t="s">
        <v>2977</v>
      </c>
    </row>
    <row r="71" spans="1:4" x14ac:dyDescent="0.25">
      <c r="A71">
        <v>69</v>
      </c>
      <c r="B71" t="s">
        <v>2457</v>
      </c>
      <c r="D71" t="s">
        <v>2977</v>
      </c>
    </row>
    <row r="72" spans="1:4" x14ac:dyDescent="0.25">
      <c r="A72">
        <v>70</v>
      </c>
      <c r="B72" t="s">
        <v>3003</v>
      </c>
      <c r="D72" t="s">
        <v>2977</v>
      </c>
    </row>
    <row r="73" spans="1:4" x14ac:dyDescent="0.25">
      <c r="A73">
        <v>71</v>
      </c>
      <c r="B73" t="s">
        <v>2670</v>
      </c>
      <c r="D73" t="s">
        <v>2977</v>
      </c>
    </row>
    <row r="74" spans="1:4" x14ac:dyDescent="0.25">
      <c r="A74">
        <v>72</v>
      </c>
      <c r="B74" t="s">
        <v>2322</v>
      </c>
      <c r="D74" t="s">
        <v>2977</v>
      </c>
    </row>
    <row r="75" spans="1:4" x14ac:dyDescent="0.25">
      <c r="A75">
        <v>73</v>
      </c>
      <c r="B75" t="s">
        <v>2301</v>
      </c>
      <c r="D75" t="s">
        <v>2977</v>
      </c>
    </row>
    <row r="76" spans="1:4" x14ac:dyDescent="0.25">
      <c r="A76">
        <v>74</v>
      </c>
      <c r="B76" t="s">
        <v>3004</v>
      </c>
      <c r="D76" t="s">
        <v>2977</v>
      </c>
    </row>
    <row r="77" spans="1:4" x14ac:dyDescent="0.25">
      <c r="A77">
        <v>75</v>
      </c>
      <c r="B77" t="s">
        <v>115</v>
      </c>
      <c r="D77" t="s">
        <v>2977</v>
      </c>
    </row>
    <row r="78" spans="1:4" x14ac:dyDescent="0.25">
      <c r="A78">
        <v>76</v>
      </c>
      <c r="B78" t="s">
        <v>942</v>
      </c>
      <c r="D78" t="s">
        <v>2977</v>
      </c>
    </row>
    <row r="79" spans="1:4" x14ac:dyDescent="0.25">
      <c r="A79">
        <v>77</v>
      </c>
      <c r="B79" t="s">
        <v>803</v>
      </c>
      <c r="D79" t="s">
        <v>2977</v>
      </c>
    </row>
    <row r="80" spans="1:4" x14ac:dyDescent="0.25">
      <c r="A80">
        <v>78</v>
      </c>
      <c r="B80" t="s">
        <v>425</v>
      </c>
      <c r="D80" t="s">
        <v>2977</v>
      </c>
    </row>
    <row r="81" spans="1:4" x14ac:dyDescent="0.25">
      <c r="A81">
        <v>79</v>
      </c>
      <c r="B81" t="s">
        <v>3005</v>
      </c>
      <c r="D81" t="s">
        <v>2977</v>
      </c>
    </row>
    <row r="82" spans="1:4" x14ac:dyDescent="0.25">
      <c r="A82">
        <v>80</v>
      </c>
      <c r="B82" t="s">
        <v>3006</v>
      </c>
      <c r="D82" t="s">
        <v>2977</v>
      </c>
    </row>
    <row r="83" spans="1:4" x14ac:dyDescent="0.25">
      <c r="A83">
        <v>81</v>
      </c>
      <c r="B83" t="s">
        <v>3007</v>
      </c>
      <c r="D83" t="s">
        <v>2977</v>
      </c>
    </row>
    <row r="84" spans="1:4" x14ac:dyDescent="0.25">
      <c r="A84">
        <v>82</v>
      </c>
      <c r="B84" t="s">
        <v>3008</v>
      </c>
      <c r="D84" t="s">
        <v>2977</v>
      </c>
    </row>
    <row r="85" spans="1:4" x14ac:dyDescent="0.25">
      <c r="A85">
        <v>83</v>
      </c>
      <c r="B85" t="s">
        <v>2482</v>
      </c>
      <c r="D85" t="s">
        <v>2977</v>
      </c>
    </row>
    <row r="86" spans="1:4" x14ac:dyDescent="0.25">
      <c r="A86">
        <v>84</v>
      </c>
      <c r="B86" t="s">
        <v>3009</v>
      </c>
      <c r="D86" t="s">
        <v>2977</v>
      </c>
    </row>
    <row r="87" spans="1:4" x14ac:dyDescent="0.25">
      <c r="A87">
        <v>85</v>
      </c>
      <c r="B87" t="s">
        <v>2578</v>
      </c>
      <c r="D87" t="s">
        <v>2977</v>
      </c>
    </row>
    <row r="88" spans="1:4" x14ac:dyDescent="0.25">
      <c r="A88">
        <v>86</v>
      </c>
      <c r="B88" t="s">
        <v>3010</v>
      </c>
      <c r="D88" t="s">
        <v>2977</v>
      </c>
    </row>
    <row r="89" spans="1:4" x14ac:dyDescent="0.25">
      <c r="A89">
        <v>87</v>
      </c>
      <c r="B89" t="s">
        <v>3011</v>
      </c>
      <c r="D89" t="s">
        <v>2977</v>
      </c>
    </row>
    <row r="90" spans="1:4" x14ac:dyDescent="0.25">
      <c r="A90">
        <v>88</v>
      </c>
      <c r="B90" t="s">
        <v>3012</v>
      </c>
      <c r="D90" t="s">
        <v>2977</v>
      </c>
    </row>
    <row r="91" spans="1:4" x14ac:dyDescent="0.25">
      <c r="A91">
        <v>89</v>
      </c>
      <c r="B91" t="s">
        <v>3013</v>
      </c>
      <c r="D91" t="s">
        <v>2977</v>
      </c>
    </row>
    <row r="92" spans="1:4" x14ac:dyDescent="0.25">
      <c r="A92">
        <v>90</v>
      </c>
      <c r="B92" t="s">
        <v>3014</v>
      </c>
      <c r="D92" t="s">
        <v>2977</v>
      </c>
    </row>
    <row r="93" spans="1:4" x14ac:dyDescent="0.25">
      <c r="A93">
        <v>91</v>
      </c>
      <c r="B93" t="s">
        <v>3015</v>
      </c>
      <c r="D93" t="s">
        <v>2977</v>
      </c>
    </row>
    <row r="94" spans="1:4" x14ac:dyDescent="0.25">
      <c r="A94">
        <v>92</v>
      </c>
      <c r="B94" t="s">
        <v>3016</v>
      </c>
      <c r="D94" t="s">
        <v>2977</v>
      </c>
    </row>
    <row r="95" spans="1:4" x14ac:dyDescent="0.25">
      <c r="A95">
        <v>93</v>
      </c>
      <c r="B95" t="s">
        <v>3017</v>
      </c>
      <c r="D95" t="s">
        <v>2977</v>
      </c>
    </row>
    <row r="96" spans="1:4" x14ac:dyDescent="0.25">
      <c r="A96">
        <v>94</v>
      </c>
      <c r="B96" t="s">
        <v>3018</v>
      </c>
      <c r="D96" t="s">
        <v>2977</v>
      </c>
    </row>
    <row r="97" spans="1:4" x14ac:dyDescent="0.25">
      <c r="A97">
        <v>95</v>
      </c>
      <c r="B97" t="s">
        <v>2960</v>
      </c>
      <c r="D97" t="s">
        <v>2977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3019</v>
      </c>
      <c r="C1" s="19" t="s">
        <v>3020</v>
      </c>
      <c r="D1" s="19" t="s">
        <v>4</v>
      </c>
      <c r="E1" s="19" t="s">
        <v>3021</v>
      </c>
      <c r="F1" s="19" t="s">
        <v>19</v>
      </c>
      <c r="G1" s="19" t="s">
        <v>3022</v>
      </c>
      <c r="H1" s="19" t="s">
        <v>3023</v>
      </c>
      <c r="I1" s="19" t="s">
        <v>3024</v>
      </c>
      <c r="J1" s="19" t="s">
        <v>3025</v>
      </c>
      <c r="L1" s="114" t="s">
        <v>3026</v>
      </c>
      <c r="M1" s="23">
        <v>2026</v>
      </c>
      <c r="U1" s="80" t="s">
        <v>3027</v>
      </c>
      <c r="V1" s="79"/>
      <c r="X1" s="78" t="s">
        <v>3028</v>
      </c>
      <c r="Y1" s="27"/>
      <c r="Z1" s="27"/>
      <c r="AA1" s="27"/>
      <c r="AC1" s="100" t="s">
        <v>3029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3030</v>
      </c>
      <c r="M2" s="109" t="s">
        <v>2920</v>
      </c>
      <c r="X2" s="116" t="s">
        <v>3019</v>
      </c>
      <c r="Y2" s="116" t="s">
        <v>19</v>
      </c>
      <c r="Z2" s="116" t="s">
        <v>3031</v>
      </c>
      <c r="AA2" s="116" t="s">
        <v>3032</v>
      </c>
      <c r="AC2" s="117" t="s">
        <v>1</v>
      </c>
      <c r="AD2" s="117" t="s">
        <v>3033</v>
      </c>
      <c r="AE2" s="117" t="s">
        <v>3034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3035</v>
      </c>
      <c r="M3" s="115" t="s">
        <v>3036</v>
      </c>
      <c r="N3" s="115" t="s">
        <v>3037</v>
      </c>
      <c r="O3" s="115" t="s">
        <v>3038</v>
      </c>
      <c r="P3" s="115" t="s">
        <v>3039</v>
      </c>
      <c r="Q3" s="115" t="s">
        <v>3040</v>
      </c>
      <c r="R3" s="115" t="s">
        <v>3041</v>
      </c>
      <c r="S3" s="115" t="s">
        <v>3042</v>
      </c>
      <c r="T3" s="115" t="s">
        <v>3043</v>
      </c>
      <c r="X3" t="s">
        <v>2791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3044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3045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3047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8" t="s">
        <v>3048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3049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3050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3051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3052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2869</v>
      </c>
      <c r="Y51" t="s">
        <v>3053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2869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2869</v>
      </c>
      <c r="Y53" t="s">
        <v>3054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2869</v>
      </c>
      <c r="Y54" t="s">
        <v>3055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2901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2930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2920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2920</v>
      </c>
      <c r="Y58" s="112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2920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2920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2951</v>
      </c>
      <c r="Y65" t="s">
        <v>2880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2951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3056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3013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3010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2906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2906</v>
      </c>
      <c r="Y82" t="s">
        <v>3014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3058</v>
      </c>
      <c r="B4" s="230"/>
      <c r="D4" s="231" t="s">
        <v>3059</v>
      </c>
      <c r="E4" s="232"/>
      <c r="G4" s="45" t="s">
        <v>3060</v>
      </c>
    </row>
    <row r="5" spans="1:7" ht="54.95" customHeight="1" thickBot="1" x14ac:dyDescent="0.75">
      <c r="A5" s="35">
        <f>COUNTIF('Ações InCompany'!B:B,2026)</f>
        <v>73</v>
      </c>
      <c r="B5" s="36" t="s">
        <v>3061</v>
      </c>
      <c r="D5" s="43">
        <f>COUNTIFS('Ações InCompany'!B:B,2026,'Ações InCompany'!C:C,"Realizado")</f>
        <v>37</v>
      </c>
      <c r="E5" s="44" t="s">
        <v>3061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3062</v>
      </c>
      <c r="B8" s="226"/>
      <c r="D8" s="226" t="s">
        <v>3063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3064</v>
      </c>
      <c r="D10" s="28" t="s">
        <v>3065</v>
      </c>
      <c r="E10" s="28" t="s">
        <v>3066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3067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3069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3070</v>
      </c>
      <c r="B14" s="34">
        <f>SUM(B11:B13)</f>
        <v>37</v>
      </c>
      <c r="D14" s="33" t="s">
        <v>3071</v>
      </c>
      <c r="E14" s="34">
        <f>SUM(E11:E13)</f>
        <v>1824</v>
      </c>
    </row>
    <row r="30" spans="1:5" ht="17.25" x14ac:dyDescent="0.3">
      <c r="A30" s="226" t="s">
        <v>3072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3073</v>
      </c>
      <c r="C32" s="28" t="s">
        <v>3074</v>
      </c>
      <c r="D32" s="28" t="s">
        <v>3075</v>
      </c>
      <c r="E32" s="28" t="s">
        <v>3076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3070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 x14ac:dyDescent="0.25">
      <c r="A2" s="12" t="s">
        <v>3084</v>
      </c>
      <c r="B2" s="12" t="s">
        <v>3085</v>
      </c>
      <c r="C2" s="12" t="s">
        <v>1736</v>
      </c>
      <c r="D2" s="12" t="s">
        <v>3086</v>
      </c>
      <c r="E2" s="12" t="s">
        <v>3087</v>
      </c>
    </row>
    <row r="3" spans="1:5" ht="18" customHeight="1" x14ac:dyDescent="0.25">
      <c r="A3" s="12" t="s">
        <v>3084</v>
      </c>
      <c r="B3" s="12" t="s">
        <v>3085</v>
      </c>
      <c r="C3" s="14" t="s">
        <v>25</v>
      </c>
      <c r="D3" s="12" t="s">
        <v>3088</v>
      </c>
      <c r="E3" s="12" t="s">
        <v>3089</v>
      </c>
    </row>
    <row r="4" spans="1:5" ht="18" customHeight="1" x14ac:dyDescent="0.25">
      <c r="A4" s="12" t="s">
        <v>3084</v>
      </c>
      <c r="B4" s="12" t="s">
        <v>3085</v>
      </c>
      <c r="C4" s="12" t="s">
        <v>75</v>
      </c>
      <c r="D4" s="12" t="s">
        <v>3086</v>
      </c>
      <c r="E4" s="12" t="s">
        <v>3090</v>
      </c>
    </row>
    <row r="5" spans="1:5" ht="18" customHeight="1" x14ac:dyDescent="0.25">
      <c r="A5" s="12" t="s">
        <v>3084</v>
      </c>
      <c r="B5" s="12" t="s">
        <v>3085</v>
      </c>
      <c r="C5" s="12" t="s">
        <v>79</v>
      </c>
      <c r="D5" s="12" t="s">
        <v>3091</v>
      </c>
      <c r="E5" s="12" t="s">
        <v>3092</v>
      </c>
    </row>
    <row r="6" spans="1:5" ht="18" customHeight="1" x14ac:dyDescent="0.25">
      <c r="A6" s="12" t="s">
        <v>3084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 x14ac:dyDescent="0.25">
      <c r="A7" s="12" t="s">
        <v>3084</v>
      </c>
      <c r="B7" s="12" t="s">
        <v>3095</v>
      </c>
      <c r="C7" s="12" t="s">
        <v>36</v>
      </c>
      <c r="D7" s="12" t="s">
        <v>3096</v>
      </c>
      <c r="E7" s="12" t="s">
        <v>3097</v>
      </c>
    </row>
    <row r="8" spans="1:5" ht="18" customHeight="1" x14ac:dyDescent="0.25">
      <c r="A8" s="12" t="s">
        <v>3084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 x14ac:dyDescent="0.25">
      <c r="A9" s="12" t="s">
        <v>3084</v>
      </c>
      <c r="B9" s="12" t="s">
        <v>3100</v>
      </c>
      <c r="C9" s="12" t="s">
        <v>464</v>
      </c>
      <c r="D9" s="12" t="s">
        <v>3101</v>
      </c>
      <c r="E9" s="12" t="s">
        <v>3102</v>
      </c>
    </row>
    <row r="10" spans="1:5" ht="18" customHeight="1" x14ac:dyDescent="0.25">
      <c r="A10" s="12" t="s">
        <v>3084</v>
      </c>
      <c r="B10" s="12" t="s">
        <v>3100</v>
      </c>
      <c r="C10" s="12" t="s">
        <v>206</v>
      </c>
      <c r="D10" s="12" t="s">
        <v>24</v>
      </c>
      <c r="E10" s="12" t="s">
        <v>3103</v>
      </c>
    </row>
    <row r="11" spans="1:5" ht="18" customHeight="1" x14ac:dyDescent="0.25">
      <c r="A11" s="12" t="s">
        <v>3084</v>
      </c>
      <c r="B11" s="12" t="s">
        <v>3100</v>
      </c>
      <c r="C11" s="12" t="s">
        <v>371</v>
      </c>
      <c r="D11" s="12" t="s">
        <v>24</v>
      </c>
      <c r="E11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3105</v>
      </c>
      <c r="B1" s="5" t="s">
        <v>10</v>
      </c>
      <c r="C1" s="15" t="s">
        <v>3106</v>
      </c>
      <c r="D1" s="15" t="s">
        <v>3020</v>
      </c>
    </row>
    <row r="2" spans="1:4" ht="21" customHeight="1" x14ac:dyDescent="0.25">
      <c r="A2" s="103" t="s">
        <v>24</v>
      </c>
      <c r="B2" s="103" t="s">
        <v>38</v>
      </c>
      <c r="C2" s="12" t="s">
        <v>3107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2799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 x14ac:dyDescent="0.25">
      <c r="A2" s="12" t="s">
        <v>3110</v>
      </c>
      <c r="B2" s="12" t="s">
        <v>3085</v>
      </c>
      <c r="C2" s="14" t="s">
        <v>25</v>
      </c>
      <c r="D2" s="12" t="s">
        <v>3086</v>
      </c>
      <c r="E2" s="17" t="s">
        <v>3111</v>
      </c>
    </row>
    <row r="3" spans="1:5" ht="18" customHeight="1" x14ac:dyDescent="0.25">
      <c r="A3" s="12" t="s">
        <v>3110</v>
      </c>
      <c r="B3" s="12" t="s">
        <v>3085</v>
      </c>
      <c r="C3" s="12" t="s">
        <v>75</v>
      </c>
      <c r="D3" s="12" t="s">
        <v>3088</v>
      </c>
      <c r="E3" s="12" t="s">
        <v>3112</v>
      </c>
    </row>
    <row r="4" spans="1:5" ht="18" customHeight="1" x14ac:dyDescent="0.25">
      <c r="A4" s="12" t="s">
        <v>3110</v>
      </c>
      <c r="B4" s="12" t="s">
        <v>3085</v>
      </c>
      <c r="C4" s="12" t="s">
        <v>79</v>
      </c>
      <c r="D4" s="12" t="s">
        <v>3091</v>
      </c>
      <c r="E4" s="12" t="s">
        <v>3113</v>
      </c>
    </row>
    <row r="5" spans="1:5" ht="27.75" customHeight="1" x14ac:dyDescent="0.25">
      <c r="A5" s="12" t="s">
        <v>3110</v>
      </c>
      <c r="B5" s="12" t="s">
        <v>3085</v>
      </c>
      <c r="C5" s="12" t="s">
        <v>2702</v>
      </c>
      <c r="D5" s="17" t="s">
        <v>3114</v>
      </c>
      <c r="E5" s="12" t="s">
        <v>3115</v>
      </c>
    </row>
    <row r="6" spans="1:5" ht="18" customHeight="1" x14ac:dyDescent="0.25">
      <c r="A6" s="12" t="s">
        <v>3110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 x14ac:dyDescent="0.25">
      <c r="A7" s="12" t="s">
        <v>3110</v>
      </c>
      <c r="B7" s="12" t="s">
        <v>3095</v>
      </c>
      <c r="C7" s="12" t="s">
        <v>2728</v>
      </c>
      <c r="D7" s="12" t="s">
        <v>3116</v>
      </c>
      <c r="E7" s="12" t="s">
        <v>3117</v>
      </c>
    </row>
    <row r="8" spans="1:5" ht="18" customHeight="1" x14ac:dyDescent="0.25">
      <c r="A8" s="12" t="s">
        <v>3110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 x14ac:dyDescent="0.25">
      <c r="A9" s="12" t="s">
        <v>3110</v>
      </c>
      <c r="B9" s="12" t="s">
        <v>3095</v>
      </c>
      <c r="C9" s="12" t="s">
        <v>2708</v>
      </c>
      <c r="D9" s="12" t="s">
        <v>3118</v>
      </c>
      <c r="E9" s="17" t="s">
        <v>3119</v>
      </c>
    </row>
    <row r="10" spans="1:5" ht="18" customHeight="1" x14ac:dyDescent="0.25">
      <c r="A10" s="12" t="s">
        <v>3110</v>
      </c>
      <c r="B10" s="12" t="s">
        <v>3120</v>
      </c>
      <c r="C10" s="12" t="s">
        <v>3077</v>
      </c>
      <c r="D10" s="12" t="s">
        <v>3121</v>
      </c>
      <c r="E10" s="17" t="s">
        <v>3122</v>
      </c>
    </row>
    <row r="11" spans="1:5" ht="18" customHeight="1" x14ac:dyDescent="0.25">
      <c r="A11" s="12" t="s">
        <v>3110</v>
      </c>
      <c r="B11" s="12" t="s">
        <v>3120</v>
      </c>
      <c r="C11" s="12" t="s">
        <v>206</v>
      </c>
      <c r="D11" s="12" t="s">
        <v>24</v>
      </c>
      <c r="E11" s="12" t="s">
        <v>3103</v>
      </c>
    </row>
    <row r="12" spans="1:5" ht="18" customHeight="1" x14ac:dyDescent="0.25">
      <c r="A12" s="12" t="s">
        <v>3110</v>
      </c>
      <c r="B12" s="12" t="s">
        <v>3120</v>
      </c>
      <c r="C12" s="12" t="s">
        <v>371</v>
      </c>
      <c r="D12" s="12" t="s">
        <v>24</v>
      </c>
      <c r="E12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3124</v>
      </c>
    </row>
    <row r="4" spans="1:8" ht="21.95" customHeight="1" x14ac:dyDescent="0.25">
      <c r="A4" s="234" t="s">
        <v>3125</v>
      </c>
      <c r="B4" s="235"/>
      <c r="D4" s="234" t="s">
        <v>3126</v>
      </c>
      <c r="E4" s="235"/>
      <c r="G4" s="234" t="s">
        <v>3127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3128</v>
      </c>
      <c r="B7" s="62" t="s">
        <v>3129</v>
      </c>
      <c r="C7" s="62" t="s">
        <v>1</v>
      </c>
      <c r="D7" s="62" t="s">
        <v>3130</v>
      </c>
      <c r="E7" s="62" t="s">
        <v>3131</v>
      </c>
      <c r="F7" s="62" t="s">
        <v>3020</v>
      </c>
      <c r="G7" s="62" t="s">
        <v>5</v>
      </c>
      <c r="H7" s="62" t="s">
        <v>3132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3133</v>
      </c>
      <c r="B1" s="239"/>
      <c r="C1" s="239"/>
      <c r="D1" s="239"/>
      <c r="E1" s="239"/>
      <c r="F1" s="239"/>
    </row>
    <row r="2" spans="1:7" x14ac:dyDescent="0.25">
      <c r="A2" s="240" t="s">
        <v>3134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3023</v>
      </c>
      <c r="C4" s="25" t="s">
        <v>3024</v>
      </c>
      <c r="D4" s="25" t="s">
        <v>3135</v>
      </c>
      <c r="E4" s="25" t="s">
        <v>3025</v>
      </c>
      <c r="F4" s="25" t="s">
        <v>3136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1.2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5.2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12</v>
      </c>
      <c r="C44" s="26">
        <f>IF($A44="","",SUMIFS('GECC 2026'!I$2:I$200,'GECC 2026'!F$2:F$200,$A44))</f>
        <v>3.5999999999999996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15.600000000000001</v>
      </c>
      <c r="F44" s="24">
        <f>IF($A44="","",COUNTIFS('GECC 2026'!F$2:F$200,$A44))</f>
        <v>3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6.3000000000000007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27.299999999999997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3071</v>
      </c>
      <c r="B105" s="95">
        <f>SUM(B5:B100)</f>
        <v>672</v>
      </c>
      <c r="C105" s="95">
        <f>SUM(C5:C100)</f>
        <v>374.59999999999997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3137</v>
      </c>
      <c r="B1" s="125" t="s">
        <v>3138</v>
      </c>
      <c r="C1" s="125" t="s">
        <v>3139</v>
      </c>
      <c r="D1" s="125" t="s">
        <v>3140</v>
      </c>
      <c r="E1" s="125" t="s">
        <v>3141</v>
      </c>
      <c r="F1" s="125" t="s">
        <v>3142</v>
      </c>
      <c r="G1" s="125" t="s">
        <v>10</v>
      </c>
      <c r="H1" s="125" t="s">
        <v>3143</v>
      </c>
      <c r="I1" s="125" t="s">
        <v>3144</v>
      </c>
      <c r="J1" s="125" t="s">
        <v>3145</v>
      </c>
      <c r="K1" s="125" t="s">
        <v>3146</v>
      </c>
      <c r="L1" s="125" t="s">
        <v>3147</v>
      </c>
      <c r="N1" s="126" t="s">
        <v>3148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3149</v>
      </c>
      <c r="L2" t="str">
        <f>IF(K2="","",IFERROR(INDEX(Tabela2[Curso],MATCH(K2,Tabela2[ID],0)),""))</f>
        <v/>
      </c>
      <c r="N2" s="125" t="s">
        <v>3019</v>
      </c>
      <c r="O2" s="125" t="s">
        <v>4</v>
      </c>
      <c r="P2" s="125" t="s">
        <v>3150</v>
      </c>
      <c r="Q2" s="125" t="s">
        <v>3151</v>
      </c>
      <c r="R2" s="125" t="s">
        <v>3152</v>
      </c>
      <c r="S2" s="125" t="s">
        <v>3153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3149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3149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3149</v>
      </c>
      <c r="L5" t="str">
        <f>IF(K5="","",IFERROR(INDEX(Tabela2[Curso],MATCH(K5,Tabela2[ID],0)),""))</f>
        <v/>
      </c>
      <c r="N5" t="s">
        <v>2930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3149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3149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3149</v>
      </c>
      <c r="L10" t="str">
        <f>IF(K10="","",IFERROR(INDEX(Tabela2[Curso],MATCH(K10,Tabela2[ID],0)),""))</f>
        <v/>
      </c>
      <c r="N10" s="124" t="s">
        <v>3154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3149</v>
      </c>
      <c r="L11" t="str">
        <f>IF(K11="","",IFERROR(INDEX(Tabela2[Curso],MATCH(K11,Tabela2[ID],0)),""))</f>
        <v/>
      </c>
      <c r="N11" s="127" t="s">
        <v>3155</v>
      </c>
      <c r="O11" s="127" t="s">
        <v>3156</v>
      </c>
      <c r="P11" s="127" t="s">
        <v>3157</v>
      </c>
      <c r="Q11" s="127" t="s">
        <v>3140</v>
      </c>
      <c r="R11" s="127" t="s">
        <v>3141</v>
      </c>
      <c r="S11" s="127" t="s">
        <v>3158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3149</v>
      </c>
      <c r="L12" t="str">
        <f>IF(K12="","",IFERROR(INDEX(Tabela2[Curso],MATCH(K12,Tabela2[ID],0)),""))</f>
        <v/>
      </c>
      <c r="N12" t="s">
        <v>3159</v>
      </c>
      <c r="O12" t="s">
        <v>2778</v>
      </c>
      <c r="P12" t="s">
        <v>3160</v>
      </c>
      <c r="Q12">
        <v>0</v>
      </c>
      <c r="R12">
        <v>0</v>
      </c>
      <c r="S12" t="s">
        <v>3161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3149</v>
      </c>
      <c r="L13" t="str">
        <f>IF(K13="","",IFERROR(INDEX(Tabela2[Curso],MATCH(K13,Tabela2[ID],0)),""))</f>
        <v/>
      </c>
      <c r="N13" t="s">
        <v>3162</v>
      </c>
      <c r="O13" t="s">
        <v>2869</v>
      </c>
      <c r="P13" t="s">
        <v>3163</v>
      </c>
      <c r="Q13">
        <v>0</v>
      </c>
      <c r="R13">
        <v>0</v>
      </c>
      <c r="S13" t="s">
        <v>3164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3149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3149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3149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3149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3149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3149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3149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3149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3149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3149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2026-07-30T18:41:03Z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