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6" documentId="13_ncr:1_{6A2CC3E2-FAFB-4D8F-B284-5E8FB5045DFE}" xr6:coauthVersionLast="47" xr6:coauthVersionMax="47" xr10:uidLastSave="{4065D588-0532-43A3-9910-11067696DEB2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9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89" i="3"/>
  <c r="R700" i="3"/>
  <c r="R699" i="3"/>
  <c r="R721" i="3"/>
  <c r="R694" i="3"/>
  <c r="R678" i="3"/>
  <c r="R685" i="3"/>
  <c r="R697" i="3"/>
  <c r="R681" i="3"/>
  <c r="R677" i="3"/>
  <c r="R675" i="3"/>
  <c r="R682" i="3"/>
  <c r="R692" i="3"/>
  <c r="R680" i="3"/>
  <c r="R695" i="3"/>
  <c r="R686" i="3"/>
  <c r="R698" i="3"/>
  <c r="R719" i="3"/>
  <c r="R720" i="3"/>
  <c r="R691" i="3"/>
  <c r="R684" i="3"/>
  <c r="R688" i="3"/>
  <c r="R683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1" i="3"/>
  <c r="R660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<sst xmlns="http://schemas.openxmlformats.org/spreadsheetml/2006/main" count="7191" uniqueCount="3164">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</sst>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49" fontId="48" fillId="0" borderId="0" xfId="0" applyNumberFormat="1" applyFont="1" applyBorder="1" applyAlignment="1">
      <alignment horizontal="center" vertical="center"/>
    </xf>
    <xf numFmtId="14" fontId="48" fillId="0" borderId="0" xfId="0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topLeftCell="E1" zoomScale="120" zoomScaleNormal="120" workbookViewId="0">
      <pane ySplit="1" topLeftCell="A701" activePane="bottomLeft" state="frozen"/>
      <selection pane="bottomLeft" activeCell="I702" sqref="I702:I713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37" t="s">
        <v>2686</v>
      </c>
      <c r="B657" s="127">
        <v>2026</v>
      </c>
      <c r="C657" s="127" t="s">
        <v>22</v>
      </c>
      <c r="D657" s="127" t="s">
        <v>2687</v>
      </c>
      <c r="E657" s="128" t="s">
        <v>2138</v>
      </c>
      <c r="F657" s="129" t="s">
        <v>69</v>
      </c>
      <c r="G657" s="130" t="s">
        <v>79</v>
      </c>
      <c r="H657" s="131" t="s">
        <v>2688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15" x14ac:dyDescent="0.25">
      <c r="A658" s="137" t="s">
        <v>2689</v>
      </c>
      <c r="B658" s="127">
        <v>2026</v>
      </c>
      <c r="C658" s="127" t="s">
        <v>22</v>
      </c>
      <c r="D658" s="127" t="s">
        <v>2690</v>
      </c>
      <c r="E658" s="128" t="s">
        <v>2691</v>
      </c>
      <c r="F658" s="129" t="s">
        <v>24</v>
      </c>
      <c r="G658" s="130" t="s">
        <v>206</v>
      </c>
      <c r="H658" s="131" t="s">
        <v>2692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2693</v>
      </c>
    </row>
    <row r="659" spans="1:20" ht="15" x14ac:dyDescent="0.25">
      <c r="A659" s="137" t="s">
        <v>2694</v>
      </c>
      <c r="B659" s="127">
        <v>2026</v>
      </c>
      <c r="C659" s="127" t="s">
        <v>22</v>
      </c>
      <c r="D659" s="127" t="s">
        <v>2695</v>
      </c>
      <c r="E659" s="128" t="s">
        <v>2696</v>
      </c>
      <c r="F659" s="129" t="s">
        <v>24</v>
      </c>
      <c r="G659" s="130" t="s">
        <v>42</v>
      </c>
      <c r="H659" s="165" t="s">
        <v>2697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2698</v>
      </c>
    </row>
    <row r="660" spans="1:20" ht="15" x14ac:dyDescent="0.25">
      <c r="A660" s="137" t="s">
        <v>2705</v>
      </c>
      <c r="B660" s="127">
        <v>2026</v>
      </c>
      <c r="C660" s="127" t="s">
        <v>22</v>
      </c>
      <c r="D660" s="131" t="s">
        <v>2706</v>
      </c>
      <c r="E660" s="128" t="s">
        <v>2707</v>
      </c>
      <c r="F660" s="129" t="s">
        <v>24</v>
      </c>
      <c r="G660" s="144" t="s">
        <v>2708</v>
      </c>
      <c r="H660" s="131" t="s">
        <v>2709</v>
      </c>
      <c r="I660" s="132">
        <v>46078</v>
      </c>
      <c r="J660" s="132">
        <v>46083</v>
      </c>
      <c r="K660" s="127" t="s">
        <v>38</v>
      </c>
      <c r="L660" s="171">
        <v>0</v>
      </c>
      <c r="M660" s="134">
        <v>4.76</v>
      </c>
      <c r="N660" s="135">
        <v>20</v>
      </c>
      <c r="O660" s="136">
        <v>18</v>
      </c>
      <c r="P660" s="136">
        <v>0</v>
      </c>
      <c r="Q660" s="136">
        <v>0</v>
      </c>
      <c r="R660" s="136">
        <f>SUM(Tabela2[[#This Row],[P. Servidores]:[P. Sociedade]])</f>
        <v>18</v>
      </c>
      <c r="S660" s="127">
        <v>16</v>
      </c>
      <c r="T660" s="130" t="s">
        <v>2710</v>
      </c>
    </row>
    <row r="661" spans="1:20" ht="15" x14ac:dyDescent="0.25">
      <c r="A661" s="137" t="s">
        <v>2699</v>
      </c>
      <c r="B661" s="127">
        <v>2026</v>
      </c>
      <c r="C661" s="127" t="s">
        <v>22</v>
      </c>
      <c r="D661" s="127" t="s">
        <v>2700</v>
      </c>
      <c r="E661" s="128" t="s">
        <v>2701</v>
      </c>
      <c r="F661" s="129" t="s">
        <v>69</v>
      </c>
      <c r="G661" s="130" t="s">
        <v>2702</v>
      </c>
      <c r="H661" s="131" t="s">
        <v>2703</v>
      </c>
      <c r="I661" s="132">
        <v>46078</v>
      </c>
      <c r="J661" s="132">
        <v>46080</v>
      </c>
      <c r="K661" s="127" t="s">
        <v>38</v>
      </c>
      <c r="L661" s="171">
        <v>9211.69</v>
      </c>
      <c r="M661" s="134">
        <v>4.7699999999999996</v>
      </c>
      <c r="N661" s="135">
        <v>20</v>
      </c>
      <c r="O661" s="136">
        <v>0</v>
      </c>
      <c r="P661" s="136">
        <v>44</v>
      </c>
      <c r="Q661" s="136">
        <v>0</v>
      </c>
      <c r="R661" s="136">
        <f>SUM(Tabela2[[#This Row],[P. Servidores]:[P. Sociedade]])</f>
        <v>44</v>
      </c>
      <c r="S661" s="127">
        <v>12</v>
      </c>
      <c r="T661" s="130" t="s">
        <v>2704</v>
      </c>
    </row>
    <row r="662" spans="1:20" ht="15" x14ac:dyDescent="0.25">
      <c r="A662" s="137" t="s">
        <v>2711</v>
      </c>
      <c r="B662" s="127">
        <v>2026</v>
      </c>
      <c r="C662" s="127" t="s">
        <v>22</v>
      </c>
      <c r="D662" s="127" t="s">
        <v>2712</v>
      </c>
      <c r="E662" s="128" t="s">
        <v>2713</v>
      </c>
      <c r="F662" s="129" t="s">
        <v>69</v>
      </c>
      <c r="G662" s="130" t="s">
        <v>2702</v>
      </c>
      <c r="H662" s="172" t="s">
        <v>2714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2715</v>
      </c>
    </row>
    <row r="663" spans="1:20" ht="15" x14ac:dyDescent="0.25">
      <c r="A663" s="137" t="s">
        <v>2716</v>
      </c>
      <c r="B663" s="127">
        <v>2026</v>
      </c>
      <c r="C663" s="127" t="s">
        <v>22</v>
      </c>
      <c r="D663" s="131" t="s">
        <v>2717</v>
      </c>
      <c r="E663" s="128" t="s">
        <v>2718</v>
      </c>
      <c r="F663" s="129" t="s">
        <v>69</v>
      </c>
      <c r="G663" s="130" t="s">
        <v>79</v>
      </c>
      <c r="H663" s="131" t="s">
        <v>2719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15" x14ac:dyDescent="0.25">
      <c r="A664" s="137" t="s">
        <v>2720</v>
      </c>
      <c r="B664" s="127">
        <v>2026</v>
      </c>
      <c r="C664" s="127" t="s">
        <v>22</v>
      </c>
      <c r="D664" s="127" t="s">
        <v>2721</v>
      </c>
      <c r="E664" s="128" t="s">
        <v>2722</v>
      </c>
      <c r="F664" s="129" t="s">
        <v>24</v>
      </c>
      <c r="G664" s="144" t="s">
        <v>371</v>
      </c>
      <c r="H664" s="131" t="s">
        <v>2723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2724</v>
      </c>
    </row>
    <row r="665" spans="1:20" ht="15" x14ac:dyDescent="0.25">
      <c r="A665" s="137" t="s">
        <v>2725</v>
      </c>
      <c r="B665" s="127">
        <v>2026</v>
      </c>
      <c r="C665" s="127" t="s">
        <v>22</v>
      </c>
      <c r="D665" s="127" t="s">
        <v>2726</v>
      </c>
      <c r="E665" s="128" t="s">
        <v>2727</v>
      </c>
      <c r="F665" s="129" t="s">
        <v>24</v>
      </c>
      <c r="G665" s="144" t="s">
        <v>2728</v>
      </c>
      <c r="H665" s="131" t="s">
        <v>2729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2730</v>
      </c>
    </row>
    <row r="666" spans="1:20" ht="15" x14ac:dyDescent="0.25">
      <c r="A666" s="137" t="s">
        <v>2731</v>
      </c>
      <c r="B666" s="127">
        <v>2026</v>
      </c>
      <c r="C666" s="127" t="s">
        <v>22</v>
      </c>
      <c r="D666" s="131" t="s">
        <v>2717</v>
      </c>
      <c r="E666" s="128" t="s">
        <v>2732</v>
      </c>
      <c r="F666" s="129" t="s">
        <v>69</v>
      </c>
      <c r="G666" s="130" t="s">
        <v>79</v>
      </c>
      <c r="H666" s="131" t="s">
        <v>2733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27" t="s">
        <v>2735</v>
      </c>
      <c r="E667" s="128" t="s">
        <v>2736</v>
      </c>
      <c r="F667" s="129" t="s">
        <v>69</v>
      </c>
      <c r="G667" s="130" t="s">
        <v>79</v>
      </c>
      <c r="H667" s="127" t="s">
        <v>2737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15" x14ac:dyDescent="0.25">
      <c r="A668" s="137" t="s">
        <v>2738</v>
      </c>
      <c r="B668" s="127">
        <v>2026</v>
      </c>
      <c r="C668" s="240" t="s">
        <v>22</v>
      </c>
      <c r="D668" s="127" t="s">
        <v>2739</v>
      </c>
      <c r="E668" s="128" t="s">
        <v>2740</v>
      </c>
      <c r="F668" s="129" t="s">
        <v>69</v>
      </c>
      <c r="G668" s="130" t="s">
        <v>79</v>
      </c>
      <c r="H668" s="131" t="s">
        <v>2741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15" x14ac:dyDescent="0.25">
      <c r="A669" s="137" t="s">
        <v>2742</v>
      </c>
      <c r="B669" s="127">
        <v>2026</v>
      </c>
      <c r="C669" s="127" t="s">
        <v>22</v>
      </c>
      <c r="D669" s="173" t="s">
        <v>2743</v>
      </c>
      <c r="E669" s="128" t="s">
        <v>2744</v>
      </c>
      <c r="F669" s="129" t="s">
        <v>69</v>
      </c>
      <c r="G669" s="174" t="s">
        <v>2702</v>
      </c>
      <c r="H669" s="175" t="s">
        <v>2745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2715</v>
      </c>
    </row>
    <row r="670" spans="1:20" ht="15" x14ac:dyDescent="0.25">
      <c r="A670" s="137" t="s">
        <v>2746</v>
      </c>
      <c r="B670" s="127">
        <v>2026</v>
      </c>
      <c r="C670" s="127" t="s">
        <v>22</v>
      </c>
      <c r="D670" s="173" t="s">
        <v>2747</v>
      </c>
      <c r="E670" s="180" t="s">
        <v>2748</v>
      </c>
      <c r="F670" s="129" t="s">
        <v>88</v>
      </c>
      <c r="G670" s="130" t="s">
        <v>2749</v>
      </c>
      <c r="H670" s="175" t="s">
        <v>2750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2122</v>
      </c>
    </row>
    <row r="671" spans="1:20" ht="15" x14ac:dyDescent="0.25">
      <c r="A671" s="137" t="s">
        <v>2751</v>
      </c>
      <c r="B671" s="127">
        <v>2026</v>
      </c>
      <c r="C671" s="127" t="s">
        <v>22</v>
      </c>
      <c r="D671" s="127" t="s">
        <v>2726</v>
      </c>
      <c r="E671" s="128" t="s">
        <v>2752</v>
      </c>
      <c r="F671" s="129" t="s">
        <v>24</v>
      </c>
      <c r="G671" s="144" t="s">
        <v>2728</v>
      </c>
      <c r="H671" s="131" t="s">
        <v>2753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2754</v>
      </c>
    </row>
    <row r="672" spans="1:20" ht="15" x14ac:dyDescent="0.25">
      <c r="A672" s="137" t="s">
        <v>2755</v>
      </c>
      <c r="B672" s="127">
        <v>2026</v>
      </c>
      <c r="C672" s="127" t="s">
        <v>22</v>
      </c>
      <c r="D672" s="173" t="s">
        <v>2756</v>
      </c>
      <c r="E672" s="180" t="s">
        <v>2757</v>
      </c>
      <c r="F672" s="129" t="s">
        <v>24</v>
      </c>
      <c r="G672" s="144" t="s">
        <v>2728</v>
      </c>
      <c r="H672" s="175" t="s">
        <v>2758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2754</v>
      </c>
    </row>
    <row r="673" spans="1:20" ht="15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30" t="s">
        <v>206</v>
      </c>
      <c r="H673" s="155" t="s">
        <v>2762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2763</v>
      </c>
    </row>
    <row r="674" spans="1:20" ht="15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88</v>
      </c>
      <c r="G674" s="164" t="s">
        <v>2749</v>
      </c>
      <c r="H674" s="131" t="s">
        <v>2767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2768</v>
      </c>
    </row>
    <row r="675" spans="1:20" ht="15" x14ac:dyDescent="0.25">
      <c r="A675" s="137" t="s">
        <v>2769</v>
      </c>
      <c r="B675" s="127">
        <v>2026</v>
      </c>
      <c r="C675" s="183" t="s">
        <v>22</v>
      </c>
      <c r="D675" s="183" t="s">
        <v>2770</v>
      </c>
      <c r="E675" s="184" t="s">
        <v>2771</v>
      </c>
      <c r="F675" s="185" t="s">
        <v>24</v>
      </c>
      <c r="G675" s="186" t="s">
        <v>371</v>
      </c>
      <c r="H675" s="241" t="s">
        <v>2772</v>
      </c>
      <c r="I675" s="242">
        <v>46140</v>
      </c>
      <c r="J675" s="242">
        <v>46147</v>
      </c>
      <c r="K675" s="183" t="s">
        <v>38</v>
      </c>
      <c r="L675" s="187">
        <v>0</v>
      </c>
      <c r="M675" s="188">
        <v>4.9400000000000004</v>
      </c>
      <c r="N675" s="189">
        <v>30</v>
      </c>
      <c r="O675" s="190">
        <v>30</v>
      </c>
      <c r="P675" s="190">
        <v>0</v>
      </c>
      <c r="Q675" s="190">
        <v>0</v>
      </c>
      <c r="R675" s="190">
        <f>IF(B675="","",SUM(O675:Q675))</f>
        <v>30</v>
      </c>
      <c r="S675" s="183">
        <v>20</v>
      </c>
      <c r="T675" s="186" t="s">
        <v>479</v>
      </c>
    </row>
    <row r="676" spans="1:20" ht="15" x14ac:dyDescent="0.25">
      <c r="A676" s="137" t="s">
        <v>2773</v>
      </c>
      <c r="B676" s="127">
        <v>2026</v>
      </c>
      <c r="C676" s="183" t="s">
        <v>2774</v>
      </c>
      <c r="D676" s="183" t="s">
        <v>2775</v>
      </c>
      <c r="E676" s="184" t="s">
        <v>2776</v>
      </c>
      <c r="F676" s="185" t="s">
        <v>24</v>
      </c>
      <c r="G676" s="186" t="s">
        <v>2728</v>
      </c>
      <c r="H676" s="191" t="s">
        <v>2777</v>
      </c>
      <c r="I676" s="192">
        <v>46143</v>
      </c>
      <c r="J676" s="192"/>
      <c r="K676" s="183" t="s">
        <v>27</v>
      </c>
      <c r="L676" s="187">
        <v>203112</v>
      </c>
      <c r="M676" s="188"/>
      <c r="N676" s="189">
        <v>78</v>
      </c>
      <c r="O676" s="190">
        <v>78</v>
      </c>
      <c r="P676" s="190"/>
      <c r="Q676" s="190"/>
      <c r="R676" s="190">
        <f>IF(B676="","",SUM(O676:Q676))</f>
        <v>78</v>
      </c>
      <c r="S676" s="183"/>
      <c r="T676" s="186"/>
    </row>
    <row r="677" spans="1:20" ht="15" x14ac:dyDescent="0.25">
      <c r="A677" s="137" t="s">
        <v>2778</v>
      </c>
      <c r="B677" s="127">
        <v>2026</v>
      </c>
      <c r="C677" s="193" t="s">
        <v>22</v>
      </c>
      <c r="D677" s="193" t="s">
        <v>2779</v>
      </c>
      <c r="E677" s="184" t="s">
        <v>2780</v>
      </c>
      <c r="F677" s="185" t="s">
        <v>24</v>
      </c>
      <c r="G677" s="194" t="s">
        <v>25</v>
      </c>
      <c r="H677" s="195" t="s">
        <v>2781</v>
      </c>
      <c r="I677" s="196">
        <v>46148</v>
      </c>
      <c r="J677" s="196">
        <v>46150</v>
      </c>
      <c r="K677" s="183" t="s">
        <v>38</v>
      </c>
      <c r="L677" s="197">
        <v>9454.4</v>
      </c>
      <c r="M677" s="198">
        <v>4.9400000000000004</v>
      </c>
      <c r="N677" s="199">
        <v>30</v>
      </c>
      <c r="O677" s="200">
        <v>30</v>
      </c>
      <c r="P677" s="200">
        <v>0</v>
      </c>
      <c r="Q677" s="200">
        <v>0</v>
      </c>
      <c r="R677" s="200">
        <f>IF(B677="","",SUM(O677:Q677))</f>
        <v>30</v>
      </c>
      <c r="S677" s="193">
        <v>12</v>
      </c>
      <c r="T677" s="186" t="s">
        <v>2782</v>
      </c>
    </row>
    <row r="678" spans="1:20" ht="15" x14ac:dyDescent="0.25">
      <c r="A678" s="137" t="s">
        <v>2783</v>
      </c>
      <c r="B678" s="127">
        <v>2026</v>
      </c>
      <c r="C678" s="193" t="s">
        <v>22</v>
      </c>
      <c r="D678" s="193" t="s">
        <v>2784</v>
      </c>
      <c r="E678" s="184" t="s">
        <v>2785</v>
      </c>
      <c r="F678" s="185" t="s">
        <v>88</v>
      </c>
      <c r="G678" s="194" t="s">
        <v>2749</v>
      </c>
      <c r="H678" s="195" t="s">
        <v>2786</v>
      </c>
      <c r="I678" s="196">
        <v>46148</v>
      </c>
      <c r="J678" s="196">
        <v>46148</v>
      </c>
      <c r="K678" s="183" t="s">
        <v>38</v>
      </c>
      <c r="L678" s="187">
        <v>2342.36</v>
      </c>
      <c r="M678" s="198">
        <v>4.9000000000000004</v>
      </c>
      <c r="N678" s="199">
        <v>25</v>
      </c>
      <c r="O678" s="200"/>
      <c r="P678" s="200"/>
      <c r="Q678" s="200">
        <v>50</v>
      </c>
      <c r="R678" s="200">
        <f>IF(B678="","",SUM(O678:Q678))</f>
        <v>50</v>
      </c>
      <c r="S678" s="193">
        <v>3</v>
      </c>
      <c r="T678" s="186" t="s">
        <v>1921</v>
      </c>
    </row>
    <row r="679" spans="1:20" ht="15" x14ac:dyDescent="0.25">
      <c r="A679" s="137" t="s">
        <v>2787</v>
      </c>
      <c r="B679" s="127">
        <v>2026</v>
      </c>
      <c r="C679" s="152" t="s">
        <v>22</v>
      </c>
      <c r="D679" s="152" t="s">
        <v>2765</v>
      </c>
      <c r="E679" s="153" t="s">
        <v>2788</v>
      </c>
      <c r="F679" s="129" t="s">
        <v>88</v>
      </c>
      <c r="G679" s="164" t="s">
        <v>2749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1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2" t="s">
        <v>2768</v>
      </c>
    </row>
    <row r="680" spans="1:20" ht="15" x14ac:dyDescent="0.25">
      <c r="A680" s="137" t="s">
        <v>2790</v>
      </c>
      <c r="B680" s="127">
        <v>2026</v>
      </c>
      <c r="C680" s="193" t="s">
        <v>22</v>
      </c>
      <c r="D680" s="193" t="s">
        <v>2791</v>
      </c>
      <c r="E680" s="203" t="s">
        <v>2792</v>
      </c>
      <c r="F680" s="185" t="s">
        <v>24</v>
      </c>
      <c r="G680" s="186" t="s">
        <v>2728</v>
      </c>
      <c r="H680" s="195" t="s">
        <v>2793</v>
      </c>
      <c r="I680" s="196">
        <v>46154</v>
      </c>
      <c r="J680" s="196">
        <v>46156</v>
      </c>
      <c r="K680" s="183" t="s">
        <v>38</v>
      </c>
      <c r="L680" s="204">
        <v>6497.28</v>
      </c>
      <c r="M680" s="198">
        <v>4.88</v>
      </c>
      <c r="N680" s="199">
        <v>20</v>
      </c>
      <c r="O680" s="200">
        <v>22</v>
      </c>
      <c r="P680" s="200">
        <v>0</v>
      </c>
      <c r="Q680" s="200">
        <v>0</v>
      </c>
      <c r="R680" s="200">
        <f>IF(B680="","",SUM(O680:Q680))</f>
        <v>22</v>
      </c>
      <c r="S680" s="193">
        <v>8</v>
      </c>
      <c r="T680" s="205" t="s">
        <v>2754</v>
      </c>
    </row>
    <row r="681" spans="1:20" ht="15" x14ac:dyDescent="0.25">
      <c r="A681" s="137" t="s">
        <v>2794</v>
      </c>
      <c r="B681" s="127">
        <v>2026</v>
      </c>
      <c r="C681" s="193" t="s">
        <v>2774</v>
      </c>
      <c r="D681" s="193" t="s">
        <v>2795</v>
      </c>
      <c r="E681" s="203" t="s">
        <v>2796</v>
      </c>
      <c r="F681" s="185" t="s">
        <v>69</v>
      </c>
      <c r="G681" s="194" t="s">
        <v>2702</v>
      </c>
      <c r="H681" s="195" t="s">
        <v>2777</v>
      </c>
      <c r="I681" s="196">
        <v>46157</v>
      </c>
      <c r="J681" s="196">
        <v>46387</v>
      </c>
      <c r="K681" s="183" t="s">
        <v>38</v>
      </c>
      <c r="L681" s="197"/>
      <c r="M681" s="198"/>
      <c r="N681" s="199"/>
      <c r="O681" s="200"/>
      <c r="P681" s="200"/>
      <c r="Q681" s="200"/>
      <c r="R681" s="200">
        <f>IF(B681="","",SUM(O681:Q681))</f>
        <v>0</v>
      </c>
      <c r="S681" s="193">
        <v>65</v>
      </c>
      <c r="T681" s="186" t="s">
        <v>2704</v>
      </c>
    </row>
    <row r="682" spans="1:20" ht="15" x14ac:dyDescent="0.25">
      <c r="A682" s="137" t="s">
        <v>2802</v>
      </c>
      <c r="B682" s="127">
        <v>2026</v>
      </c>
      <c r="C682" s="193" t="s">
        <v>22</v>
      </c>
      <c r="D682" s="193" t="s">
        <v>2803</v>
      </c>
      <c r="E682" s="203" t="s">
        <v>2676</v>
      </c>
      <c r="F682" s="185" t="s">
        <v>24</v>
      </c>
      <c r="G682" s="194" t="s">
        <v>42</v>
      </c>
      <c r="H682" s="195" t="s">
        <v>2804</v>
      </c>
      <c r="I682" s="196">
        <v>46160</v>
      </c>
      <c r="J682" s="196">
        <v>46167</v>
      </c>
      <c r="K682" s="183" t="s">
        <v>38</v>
      </c>
      <c r="L682" s="197">
        <v>12221.73</v>
      </c>
      <c r="M682" s="198">
        <v>4.93</v>
      </c>
      <c r="N682" s="199">
        <v>20</v>
      </c>
      <c r="O682" s="200">
        <v>21</v>
      </c>
      <c r="P682" s="200">
        <v>0</v>
      </c>
      <c r="Q682" s="200">
        <v>0</v>
      </c>
      <c r="R682" s="200">
        <f>IF(B682="","",SUM(O682:Q682))</f>
        <v>21</v>
      </c>
      <c r="S682" s="193">
        <v>16</v>
      </c>
      <c r="T682" s="186" t="s">
        <v>1792</v>
      </c>
    </row>
    <row r="683" spans="1:20" ht="15" x14ac:dyDescent="0.25">
      <c r="A683" s="137" t="s">
        <v>2797</v>
      </c>
      <c r="B683" s="127">
        <v>2026</v>
      </c>
      <c r="C683" s="168" t="s">
        <v>2798</v>
      </c>
      <c r="D683" s="152" t="s">
        <v>2799</v>
      </c>
      <c r="E683" s="153" t="s">
        <v>2800</v>
      </c>
      <c r="F683" s="129" t="s">
        <v>24</v>
      </c>
      <c r="G683" s="130" t="s">
        <v>2708</v>
      </c>
      <c r="H683" s="155" t="s">
        <v>2801</v>
      </c>
      <c r="I683" s="156">
        <v>46160</v>
      </c>
      <c r="J683" s="156">
        <v>46163</v>
      </c>
      <c r="K683" s="127" t="s">
        <v>38</v>
      </c>
      <c r="L683" s="206">
        <v>0</v>
      </c>
      <c r="M683" s="158"/>
      <c r="N683" s="160"/>
      <c r="O683" s="160"/>
      <c r="P683" s="160"/>
      <c r="Q683" s="160"/>
      <c r="R683" s="160">
        <f>SUM(O683:Q683)</f>
        <v>0</v>
      </c>
      <c r="S683" s="152">
        <v>16</v>
      </c>
      <c r="T683" s="130" t="s">
        <v>2710</v>
      </c>
    </row>
    <row r="684" spans="1:20" ht="15" x14ac:dyDescent="0.25">
      <c r="A684" s="191" t="s">
        <v>2805</v>
      </c>
      <c r="B684" s="152">
        <v>2026</v>
      </c>
      <c r="C684" s="152" t="s">
        <v>22</v>
      </c>
      <c r="D684" s="207" t="s">
        <v>2806</v>
      </c>
      <c r="E684" s="208" t="s">
        <v>2807</v>
      </c>
      <c r="F684" s="209" t="s">
        <v>24</v>
      </c>
      <c r="G684" s="210" t="s">
        <v>42</v>
      </c>
      <c r="H684" s="211" t="s">
        <v>2808</v>
      </c>
      <c r="I684" s="212">
        <v>46163</v>
      </c>
      <c r="J684" s="212">
        <v>46164</v>
      </c>
      <c r="K684" s="207" t="s">
        <v>27</v>
      </c>
      <c r="L684" s="213">
        <v>72500</v>
      </c>
      <c r="M684" s="214"/>
      <c r="N684" s="215">
        <v>150</v>
      </c>
      <c r="O684" s="216">
        <v>72</v>
      </c>
      <c r="P684" s="216">
        <v>23</v>
      </c>
      <c r="Q684" s="216">
        <v>5</v>
      </c>
      <c r="R684" s="216">
        <f>SUM(O684:Q684)</f>
        <v>100</v>
      </c>
      <c r="S684" s="207">
        <v>8</v>
      </c>
      <c r="T684" s="210" t="s">
        <v>479</v>
      </c>
    </row>
    <row r="685" spans="1:20" ht="15" x14ac:dyDescent="0.25">
      <c r="A685" s="191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2749</v>
      </c>
      <c r="H685" s="191" t="s">
        <v>2812</v>
      </c>
      <c r="I685" s="192">
        <v>46167</v>
      </c>
      <c r="J685" s="192">
        <v>46171</v>
      </c>
      <c r="K685" s="183" t="s">
        <v>38</v>
      </c>
      <c r="L685" s="187"/>
      <c r="M685" s="188"/>
      <c r="N685" s="189"/>
      <c r="O685" s="190"/>
      <c r="P685" s="190"/>
      <c r="Q685" s="190">
        <v>25</v>
      </c>
      <c r="R685" s="190">
        <f>IF(B685="","",SUM(O685:Q685))</f>
        <v>25</v>
      </c>
      <c r="S685" s="183">
        <v>4</v>
      </c>
      <c r="T685" s="186" t="s">
        <v>1030</v>
      </c>
    </row>
    <row r="686" spans="1:20" ht="15" x14ac:dyDescent="0.25">
      <c r="A686" s="191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1" t="s">
        <v>2816</v>
      </c>
      <c r="I686" s="192">
        <v>46174</v>
      </c>
      <c r="J686" s="192">
        <v>46387</v>
      </c>
      <c r="K686" s="183" t="s">
        <v>27</v>
      </c>
      <c r="L686" s="187">
        <v>105000</v>
      </c>
      <c r="M686" s="188"/>
      <c r="N686" s="189"/>
      <c r="O686" s="190"/>
      <c r="P686" s="190"/>
      <c r="Q686" s="190"/>
      <c r="R686" s="190">
        <f>IF(B686="","",SUM(O686:Q686))</f>
        <v>0</v>
      </c>
      <c r="S686" s="183">
        <v>25</v>
      </c>
      <c r="T686" s="186" t="s">
        <v>2817</v>
      </c>
    </row>
    <row r="687" spans="1:20" ht="15" x14ac:dyDescent="0.25">
      <c r="A687" s="191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15" x14ac:dyDescent="0.25">
      <c r="A688" s="191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2702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2704</v>
      </c>
    </row>
    <row r="689" spans="1:20" ht="30" x14ac:dyDescent="0.25">
      <c r="A689" s="191" t="s">
        <v>2830</v>
      </c>
      <c r="B689" s="152">
        <v>2026</v>
      </c>
      <c r="C689" s="183" t="s">
        <v>22</v>
      </c>
      <c r="D689" s="183" t="s">
        <v>2831</v>
      </c>
      <c r="E689" s="184" t="s">
        <v>2832</v>
      </c>
      <c r="F689" s="185" t="s">
        <v>24</v>
      </c>
      <c r="G689" s="186" t="s">
        <v>25</v>
      </c>
      <c r="H689" s="191" t="s">
        <v>2833</v>
      </c>
      <c r="I689" s="192">
        <v>46189</v>
      </c>
      <c r="J689" s="192">
        <v>46191</v>
      </c>
      <c r="K689" s="183" t="s">
        <v>38</v>
      </c>
      <c r="L689" s="187">
        <v>9745.9500000000007</v>
      </c>
      <c r="M689" s="188">
        <v>4.67</v>
      </c>
      <c r="N689" s="189">
        <v>20</v>
      </c>
      <c r="O689" s="190">
        <v>20</v>
      </c>
      <c r="P689" s="190">
        <v>0</v>
      </c>
      <c r="Q689" s="190">
        <v>0</v>
      </c>
      <c r="R689" s="190">
        <f>IF(B689="","",SUM(O689:Q689))</f>
        <v>20</v>
      </c>
      <c r="S689" s="183">
        <v>12</v>
      </c>
      <c r="T689" s="186" t="s">
        <v>2834</v>
      </c>
    </row>
    <row r="690" spans="1:20" ht="15" x14ac:dyDescent="0.25">
      <c r="A690" s="191" t="s">
        <v>2827</v>
      </c>
      <c r="B690" s="152">
        <v>2026</v>
      </c>
      <c r="C690" s="127" t="s">
        <v>22</v>
      </c>
      <c r="D690" s="173" t="s">
        <v>2824</v>
      </c>
      <c r="E690" s="217" t="s">
        <v>2828</v>
      </c>
      <c r="F690" s="129" t="s">
        <v>69</v>
      </c>
      <c r="G690" s="174" t="s">
        <v>2702</v>
      </c>
      <c r="H690" s="175" t="s">
        <v>2829</v>
      </c>
      <c r="I690" s="176">
        <v>46189</v>
      </c>
      <c r="J690" s="176">
        <v>46191</v>
      </c>
      <c r="K690" s="127" t="s">
        <v>38</v>
      </c>
      <c r="L690" s="171">
        <v>9211.69</v>
      </c>
      <c r="M690" s="177">
        <v>4.84</v>
      </c>
      <c r="N690" s="178">
        <v>30</v>
      </c>
      <c r="O690" s="179">
        <v>0</v>
      </c>
      <c r="P690" s="179">
        <v>44</v>
      </c>
      <c r="Q690" s="179">
        <v>0</v>
      </c>
      <c r="R690" s="179">
        <f>SUM(O690:Q690)</f>
        <v>44</v>
      </c>
      <c r="S690" s="173">
        <v>12</v>
      </c>
      <c r="T690" s="130" t="s">
        <v>2704</v>
      </c>
    </row>
    <row r="691" spans="1:20" ht="15" x14ac:dyDescent="0.25">
      <c r="A691" s="191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2702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1" t="s">
        <v>2845</v>
      </c>
      <c r="I693" s="192">
        <v>46203</v>
      </c>
      <c r="J693" s="192">
        <v>46205</v>
      </c>
      <c r="K693" s="183" t="s">
        <v>38</v>
      </c>
      <c r="L693" s="204">
        <v>6497.28</v>
      </c>
      <c r="M693" s="188">
        <v>4.8899999999999997</v>
      </c>
      <c r="N693" s="189">
        <v>20</v>
      </c>
      <c r="O693" s="190">
        <v>2</v>
      </c>
      <c r="P693" s="190">
        <v>26</v>
      </c>
      <c r="Q693" s="190">
        <v>0</v>
      </c>
      <c r="R693" s="190">
        <f>IF(B693="","",SUM(O693:Q693))</f>
        <v>28</v>
      </c>
      <c r="S693" s="183">
        <v>8</v>
      </c>
      <c r="T693" s="205" t="s">
        <v>2754</v>
      </c>
    </row>
    <row r="694" spans="1:20" ht="15" x14ac:dyDescent="0.25">
      <c r="A694" s="191" t="s">
        <v>2846</v>
      </c>
      <c r="B694" s="152">
        <v>2026</v>
      </c>
      <c r="C694" s="183" t="s">
        <v>2774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1" t="s">
        <v>2777</v>
      </c>
      <c r="I694" s="192">
        <v>46204</v>
      </c>
      <c r="J694" s="192">
        <v>46387</v>
      </c>
      <c r="K694" s="183" t="s">
        <v>38</v>
      </c>
      <c r="L694" s="187"/>
      <c r="M694" s="188"/>
      <c r="N694" s="189"/>
      <c r="O694" s="190"/>
      <c r="P694" s="190"/>
      <c r="Q694" s="190"/>
      <c r="R694" s="190">
        <f>IF(B694="","",SUM(O694:Q694))</f>
        <v>0</v>
      </c>
      <c r="S694" s="183">
        <v>16</v>
      </c>
      <c r="T694" s="186" t="s">
        <v>556</v>
      </c>
    </row>
    <row r="695" spans="1:20" ht="15" x14ac:dyDescent="0.25">
      <c r="A695" s="191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2749</v>
      </c>
      <c r="H695" s="191" t="s">
        <v>2852</v>
      </c>
      <c r="I695" s="192">
        <v>46204</v>
      </c>
      <c r="J695" s="192">
        <v>46206</v>
      </c>
      <c r="K695" s="183" t="s">
        <v>38</v>
      </c>
      <c r="L695" s="187">
        <v>7956.94</v>
      </c>
      <c r="M695" s="188">
        <v>4.6900000000000004</v>
      </c>
      <c r="N695" s="189">
        <v>30</v>
      </c>
      <c r="O695" s="190">
        <v>0</v>
      </c>
      <c r="P695" s="190">
        <v>42</v>
      </c>
      <c r="Q695" s="190">
        <v>0</v>
      </c>
      <c r="R695" s="190">
        <f>IF(B695="","",SUM(O695:Q695))</f>
        <v>42</v>
      </c>
      <c r="S695" s="183">
        <v>12</v>
      </c>
      <c r="T695" s="186" t="s">
        <v>2452</v>
      </c>
    </row>
    <row r="696" spans="1:20" ht="15" x14ac:dyDescent="0.25">
      <c r="A696" s="191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2708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2710</v>
      </c>
    </row>
    <row r="697" spans="1:20" ht="15" x14ac:dyDescent="0.25">
      <c r="A697" s="191" t="s">
        <v>2860</v>
      </c>
      <c r="B697" s="152">
        <v>2026</v>
      </c>
      <c r="C697" s="183" t="s">
        <v>22</v>
      </c>
      <c r="D697" s="183" t="s">
        <v>2861</v>
      </c>
      <c r="E697" s="184" t="s">
        <v>2862</v>
      </c>
      <c r="F697" s="185" t="s">
        <v>88</v>
      </c>
      <c r="G697" s="186" t="s">
        <v>2749</v>
      </c>
      <c r="H697" s="191" t="s">
        <v>2863</v>
      </c>
      <c r="I697" s="192">
        <v>46223</v>
      </c>
      <c r="J697" s="192">
        <v>46227</v>
      </c>
      <c r="K697" s="183" t="s">
        <v>38</v>
      </c>
      <c r="L697" s="204">
        <v>11334.44</v>
      </c>
      <c r="M697" s="188">
        <v>4.9000000000000004</v>
      </c>
      <c r="N697" s="189">
        <v>30</v>
      </c>
      <c r="O697" s="190">
        <v>0</v>
      </c>
      <c r="P697" s="136">
        <v>0</v>
      </c>
      <c r="Q697" s="190">
        <v>48</v>
      </c>
      <c r="R697" s="190">
        <f>IF(B697="","",SUM(O697:Q697))</f>
        <v>48</v>
      </c>
      <c r="S697" s="183">
        <v>20</v>
      </c>
      <c r="T697" s="186" t="s">
        <v>425</v>
      </c>
    </row>
    <row r="698" spans="1:20" ht="15" x14ac:dyDescent="0.25">
      <c r="A698" s="191" t="s">
        <v>2856</v>
      </c>
      <c r="B698" s="152">
        <v>2026</v>
      </c>
      <c r="C698" s="183" t="s">
        <v>22</v>
      </c>
      <c r="D698" s="183" t="s">
        <v>2857</v>
      </c>
      <c r="E698" s="184" t="s">
        <v>2858</v>
      </c>
      <c r="F698" s="185" t="s">
        <v>24</v>
      </c>
      <c r="G698" s="186" t="s">
        <v>75</v>
      </c>
      <c r="H698" s="191" t="s">
        <v>2859</v>
      </c>
      <c r="I698" s="192">
        <v>46223</v>
      </c>
      <c r="J698" s="192">
        <v>46233</v>
      </c>
      <c r="K698" s="183" t="s">
        <v>38</v>
      </c>
      <c r="L698" s="187">
        <v>20061.23</v>
      </c>
      <c r="M698" s="188">
        <v>4.7699999999999996</v>
      </c>
      <c r="N698" s="189">
        <v>20</v>
      </c>
      <c r="O698" s="190">
        <v>15</v>
      </c>
      <c r="P698" s="190">
        <v>0</v>
      </c>
      <c r="Q698" s="190">
        <v>0</v>
      </c>
      <c r="R698" s="190">
        <f>IF(B698="","",SUM(O698:Q698))</f>
        <v>15</v>
      </c>
      <c r="S698" s="183">
        <v>24</v>
      </c>
      <c r="T698" s="186" t="s">
        <v>2822</v>
      </c>
    </row>
    <row r="699" spans="1:20" ht="15" x14ac:dyDescent="0.25">
      <c r="A699" s="191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1" t="s">
        <v>2867</v>
      </c>
      <c r="I699" s="192">
        <v>46223</v>
      </c>
      <c r="J699" s="192">
        <v>46223</v>
      </c>
      <c r="K699" s="183" t="s">
        <v>38</v>
      </c>
      <c r="L699" s="187">
        <v>0</v>
      </c>
      <c r="M699" s="188">
        <v>4.66</v>
      </c>
      <c r="N699" s="189">
        <v>180</v>
      </c>
      <c r="O699" s="190">
        <v>19</v>
      </c>
      <c r="P699" s="190">
        <v>179</v>
      </c>
      <c r="Q699" s="190">
        <v>22</v>
      </c>
      <c r="R699" s="190">
        <f>IF(B699="","",SUM(O699:Q699))</f>
        <v>220</v>
      </c>
      <c r="S699" s="183">
        <v>4</v>
      </c>
      <c r="T699" s="186" t="s">
        <v>479</v>
      </c>
    </row>
    <row r="700" spans="1:20" ht="15" x14ac:dyDescent="0.25">
      <c r="A700" s="191" t="s">
        <v>2868</v>
      </c>
      <c r="B700" s="152">
        <v>2026</v>
      </c>
      <c r="C700" s="183" t="s">
        <v>2774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1" t="s">
        <v>2871</v>
      </c>
      <c r="I700" s="192">
        <v>46237</v>
      </c>
      <c r="J700" s="192">
        <v>46238</v>
      </c>
      <c r="K700" s="183" t="s">
        <v>38</v>
      </c>
      <c r="L700" s="187"/>
      <c r="M700" s="188"/>
      <c r="N700" s="189">
        <v>400</v>
      </c>
      <c r="O700" s="190"/>
      <c r="P700" s="190"/>
      <c r="Q700" s="190"/>
      <c r="R700" s="190">
        <f>IF(B700="","",SUM(O700:Q700))</f>
        <v>0</v>
      </c>
      <c r="S700" s="183">
        <v>8</v>
      </c>
      <c r="T700" s="186" t="s">
        <v>2872</v>
      </c>
    </row>
    <row r="701" spans="1:20" ht="15" x14ac:dyDescent="0.25">
      <c r="A701" s="191" t="s">
        <v>2873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2708</v>
      </c>
      <c r="H701" s="191" t="s">
        <v>2874</v>
      </c>
      <c r="I701" s="192">
        <v>46237</v>
      </c>
      <c r="J701" s="192">
        <v>46239</v>
      </c>
      <c r="K701" s="183" t="s">
        <v>38</v>
      </c>
      <c r="L701" s="187">
        <v>0</v>
      </c>
      <c r="M701" s="188"/>
      <c r="N701" s="189">
        <v>15</v>
      </c>
      <c r="O701" s="190"/>
      <c r="P701" s="190"/>
      <c r="Q701" s="190"/>
      <c r="R701" s="190">
        <f>IF(B701="","",SUM(O701:Q701))</f>
        <v>0</v>
      </c>
      <c r="S701" s="183">
        <v>15</v>
      </c>
      <c r="T701" s="186" t="s">
        <v>2710</v>
      </c>
    </row>
    <row r="702" spans="1:20" ht="15" x14ac:dyDescent="0.25">
      <c r="A702" s="191" t="s">
        <v>2875</v>
      </c>
      <c r="B702" s="152">
        <v>2026</v>
      </c>
      <c r="C702" s="183" t="s">
        <v>2774</v>
      </c>
      <c r="D702" s="183" t="s">
        <v>2876</v>
      </c>
      <c r="E702" s="184" t="s">
        <v>2877</v>
      </c>
      <c r="F702" s="185" t="s">
        <v>69</v>
      </c>
      <c r="G702" s="186" t="s">
        <v>79</v>
      </c>
      <c r="H702" s="191" t="s">
        <v>2878</v>
      </c>
      <c r="I702" s="192">
        <v>46244</v>
      </c>
      <c r="J702" s="192">
        <v>46245</v>
      </c>
      <c r="K702" s="183" t="s">
        <v>38</v>
      </c>
      <c r="L702" s="187"/>
      <c r="M702" s="188"/>
      <c r="N702" s="189">
        <v>40</v>
      </c>
      <c r="O702" s="190"/>
      <c r="P702" s="190"/>
      <c r="Q702" s="190"/>
      <c r="R702" s="190">
        <f>IF(B702="","",SUM(O702:Q702))</f>
        <v>0</v>
      </c>
      <c r="S702" s="183">
        <v>8</v>
      </c>
      <c r="T702" s="205" t="s">
        <v>2879</v>
      </c>
    </row>
    <row r="703" spans="1:20" ht="15" x14ac:dyDescent="0.25">
      <c r="A703" s="191" t="s">
        <v>2880</v>
      </c>
      <c r="B703" s="152">
        <v>2026</v>
      </c>
      <c r="C703" s="183" t="s">
        <v>2774</v>
      </c>
      <c r="D703" s="183" t="s">
        <v>2881</v>
      </c>
      <c r="E703" s="184" t="s">
        <v>2882</v>
      </c>
      <c r="F703" s="185" t="s">
        <v>69</v>
      </c>
      <c r="G703" s="186" t="s">
        <v>79</v>
      </c>
      <c r="H703" s="191" t="s">
        <v>2883</v>
      </c>
      <c r="I703" s="192">
        <v>46244</v>
      </c>
      <c r="J703" s="192">
        <v>46244</v>
      </c>
      <c r="K703" s="183" t="s">
        <v>38</v>
      </c>
      <c r="L703" s="187">
        <v>1990</v>
      </c>
      <c r="M703" s="188"/>
      <c r="N703" s="189">
        <v>20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2452</v>
      </c>
    </row>
    <row r="704" spans="1:20" ht="15" x14ac:dyDescent="0.25">
      <c r="A704" s="191" t="s">
        <v>2884</v>
      </c>
      <c r="B704" s="152">
        <v>2026</v>
      </c>
      <c r="C704" s="183" t="s">
        <v>2774</v>
      </c>
      <c r="D704" s="183" t="s">
        <v>2885</v>
      </c>
      <c r="E704" s="184" t="s">
        <v>2886</v>
      </c>
      <c r="F704" s="185" t="s">
        <v>69</v>
      </c>
      <c r="G704" s="186" t="s">
        <v>79</v>
      </c>
      <c r="H704" s="191" t="s">
        <v>2883</v>
      </c>
      <c r="I704" s="192">
        <v>46244</v>
      </c>
      <c r="J704" s="192">
        <v>46244</v>
      </c>
      <c r="K704" s="183" t="s">
        <v>38</v>
      </c>
      <c r="L704" s="187">
        <v>3520</v>
      </c>
      <c r="M704" s="188"/>
      <c r="N704" s="189">
        <v>30</v>
      </c>
      <c r="O704" s="190"/>
      <c r="P704" s="190"/>
      <c r="Q704" s="190"/>
      <c r="R704" s="190">
        <f>IF(B704="","",SUM(O704:Q704))</f>
        <v>0</v>
      </c>
      <c r="S704" s="183">
        <v>4</v>
      </c>
      <c r="T704" s="186" t="s">
        <v>2887</v>
      </c>
    </row>
    <row r="705" spans="1:21" ht="15" x14ac:dyDescent="0.25">
      <c r="A705" s="191" t="s">
        <v>2888</v>
      </c>
      <c r="B705" s="152">
        <v>2026</v>
      </c>
      <c r="C705" s="183" t="s">
        <v>2774</v>
      </c>
      <c r="D705" s="183" t="s">
        <v>2889</v>
      </c>
      <c r="E705" s="184" t="s">
        <v>2890</v>
      </c>
      <c r="F705" s="185" t="s">
        <v>69</v>
      </c>
      <c r="G705" s="186" t="s">
        <v>79</v>
      </c>
      <c r="H705" s="191" t="s">
        <v>2891</v>
      </c>
      <c r="I705" s="192">
        <v>46245</v>
      </c>
      <c r="J705" s="192">
        <v>46245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2462</v>
      </c>
    </row>
    <row r="706" spans="1:21" ht="15" x14ac:dyDescent="0.25">
      <c r="A706" s="191" t="s">
        <v>2892</v>
      </c>
      <c r="B706" s="152">
        <v>2026</v>
      </c>
      <c r="C706" s="183" t="s">
        <v>2774</v>
      </c>
      <c r="D706" s="183" t="s">
        <v>2893</v>
      </c>
      <c r="E706" s="184" t="s">
        <v>2894</v>
      </c>
      <c r="F706" s="185" t="s">
        <v>69</v>
      </c>
      <c r="G706" s="186" t="s">
        <v>79</v>
      </c>
      <c r="H706" s="191" t="s">
        <v>2895</v>
      </c>
      <c r="I706" s="192">
        <v>46246</v>
      </c>
      <c r="J706" s="192">
        <v>46246</v>
      </c>
      <c r="K706" s="183" t="s">
        <v>38</v>
      </c>
      <c r="L706" s="187">
        <v>2347</v>
      </c>
      <c r="M706" s="188"/>
      <c r="N706" s="189">
        <v>50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1958</v>
      </c>
    </row>
    <row r="707" spans="1:21" ht="15" x14ac:dyDescent="0.25">
      <c r="A707" s="191" t="s">
        <v>2896</v>
      </c>
      <c r="B707" s="152">
        <v>2026</v>
      </c>
      <c r="C707" s="183" t="s">
        <v>2774</v>
      </c>
      <c r="D707" s="183" t="s">
        <v>2897</v>
      </c>
      <c r="E707" s="184" t="s">
        <v>2898</v>
      </c>
      <c r="F707" s="185" t="s">
        <v>69</v>
      </c>
      <c r="G707" s="186" t="s">
        <v>79</v>
      </c>
      <c r="H707" s="191" t="s">
        <v>2895</v>
      </c>
      <c r="I707" s="192">
        <v>46246</v>
      </c>
      <c r="J707" s="192">
        <v>46246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2899</v>
      </c>
    </row>
    <row r="708" spans="1:21" ht="15" x14ac:dyDescent="0.25">
      <c r="A708" s="191" t="s">
        <v>2900</v>
      </c>
      <c r="B708" s="152">
        <v>2026</v>
      </c>
      <c r="C708" s="183" t="s">
        <v>2774</v>
      </c>
      <c r="D708" s="183" t="s">
        <v>2901</v>
      </c>
      <c r="E708" s="184" t="s">
        <v>2902</v>
      </c>
      <c r="F708" s="185" t="s">
        <v>69</v>
      </c>
      <c r="G708" s="186" t="s">
        <v>79</v>
      </c>
      <c r="H708" s="191" t="s">
        <v>2903</v>
      </c>
      <c r="I708" s="192">
        <v>46247</v>
      </c>
      <c r="J708" s="192">
        <v>46247</v>
      </c>
      <c r="K708" s="183" t="s">
        <v>38</v>
      </c>
      <c r="L708" s="187">
        <v>1770</v>
      </c>
      <c r="M708" s="188"/>
      <c r="N708" s="189">
        <v>50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2904</v>
      </c>
    </row>
    <row r="709" spans="1:21" ht="15" x14ac:dyDescent="0.25">
      <c r="A709" s="191" t="s">
        <v>2905</v>
      </c>
      <c r="B709" s="152">
        <v>2026</v>
      </c>
      <c r="C709" s="183" t="s">
        <v>2774</v>
      </c>
      <c r="D709" s="183" t="s">
        <v>2906</v>
      </c>
      <c r="E709" s="184" t="s">
        <v>2907</v>
      </c>
      <c r="F709" s="185" t="s">
        <v>69</v>
      </c>
      <c r="G709" s="186" t="s">
        <v>79</v>
      </c>
      <c r="H709" s="191" t="s">
        <v>2903</v>
      </c>
      <c r="I709" s="192">
        <v>46247</v>
      </c>
      <c r="J709" s="192">
        <v>46247</v>
      </c>
      <c r="K709" s="183" t="s">
        <v>38</v>
      </c>
      <c r="L709" s="187">
        <v>3520</v>
      </c>
      <c r="M709" s="188"/>
      <c r="N709" s="189">
        <v>30</v>
      </c>
      <c r="O709" s="190"/>
      <c r="P709" s="190"/>
      <c r="Q709" s="190"/>
      <c r="R709" s="190">
        <f>IF(B709="","",SUM(O709:Q709))</f>
        <v>0</v>
      </c>
      <c r="S709" s="183">
        <v>4</v>
      </c>
      <c r="T709" s="186" t="s">
        <v>2908</v>
      </c>
      <c r="U709" s="106"/>
    </row>
    <row r="710" spans="1:21" ht="15" x14ac:dyDescent="0.25">
      <c r="A710" s="191" t="s">
        <v>2909</v>
      </c>
      <c r="B710" s="152">
        <v>2026</v>
      </c>
      <c r="C710" s="183" t="s">
        <v>2774</v>
      </c>
      <c r="D710" s="183" t="s">
        <v>2910</v>
      </c>
      <c r="E710" s="184" t="s">
        <v>2911</v>
      </c>
      <c r="F710" s="185" t="s">
        <v>24</v>
      </c>
      <c r="G710" s="186" t="s">
        <v>206</v>
      </c>
      <c r="H710" s="191" t="s">
        <v>2912</v>
      </c>
      <c r="I710" s="192">
        <v>46248</v>
      </c>
      <c r="J710" s="192">
        <v>46248</v>
      </c>
      <c r="K710" s="183" t="s">
        <v>38</v>
      </c>
      <c r="L710" s="187"/>
      <c r="M710" s="188"/>
      <c r="N710" s="189">
        <v>170</v>
      </c>
      <c r="O710" s="190"/>
      <c r="P710" s="190"/>
      <c r="Q710" s="190"/>
      <c r="R710" s="190">
        <f>IF(B710="","",SUM(O710:Q710))</f>
        <v>0</v>
      </c>
      <c r="S710" s="183">
        <v>2</v>
      </c>
      <c r="T710" s="205" t="s">
        <v>2913</v>
      </c>
    </row>
    <row r="711" spans="1:21" ht="15" x14ac:dyDescent="0.25">
      <c r="A711" s="191" t="s">
        <v>2914</v>
      </c>
      <c r="B711" s="152">
        <v>2026</v>
      </c>
      <c r="C711" s="183" t="s">
        <v>2774</v>
      </c>
      <c r="D711" s="183" t="s">
        <v>2765</v>
      </c>
      <c r="E711" s="184" t="s">
        <v>2915</v>
      </c>
      <c r="F711" s="185" t="s">
        <v>88</v>
      </c>
      <c r="G711" s="186" t="s">
        <v>2749</v>
      </c>
      <c r="H711" s="191" t="s">
        <v>2916</v>
      </c>
      <c r="I711" s="192">
        <v>46254</v>
      </c>
      <c r="J711" s="192">
        <v>46254</v>
      </c>
      <c r="K711" s="183" t="s">
        <v>38</v>
      </c>
      <c r="L711" s="187"/>
      <c r="M711" s="188"/>
      <c r="N711" s="189">
        <v>80</v>
      </c>
      <c r="O711" s="190"/>
      <c r="P711" s="190"/>
      <c r="Q711" s="190"/>
      <c r="R711" s="190">
        <f>IF(B711="","",SUM(O711:Q711))</f>
        <v>0</v>
      </c>
      <c r="S711" s="183">
        <v>4</v>
      </c>
      <c r="T711" s="205"/>
    </row>
    <row r="712" spans="1:21" ht="15" x14ac:dyDescent="0.25">
      <c r="A712" s="191" t="s">
        <v>2917</v>
      </c>
      <c r="B712" s="152">
        <v>2026</v>
      </c>
      <c r="C712" s="183" t="s">
        <v>2774</v>
      </c>
      <c r="D712" s="183" t="s">
        <v>2765</v>
      </c>
      <c r="E712" s="184" t="s">
        <v>2915</v>
      </c>
      <c r="F712" s="185" t="s">
        <v>88</v>
      </c>
      <c r="G712" s="186" t="s">
        <v>2749</v>
      </c>
      <c r="H712" s="191" t="s">
        <v>2918</v>
      </c>
      <c r="I712" s="192">
        <v>46255</v>
      </c>
      <c r="J712" s="192">
        <v>46255</v>
      </c>
      <c r="K712" s="183" t="s">
        <v>38</v>
      </c>
      <c r="L712" s="187"/>
      <c r="M712" s="188"/>
      <c r="N712" s="189">
        <v>80</v>
      </c>
      <c r="O712" s="190"/>
      <c r="P712" s="190"/>
      <c r="Q712" s="190"/>
      <c r="R712" s="190">
        <f>IF(B712="","",SUM(O712:Q712))</f>
        <v>0</v>
      </c>
      <c r="S712" s="183">
        <v>4</v>
      </c>
      <c r="T712" s="205"/>
    </row>
    <row r="713" spans="1:21" ht="15" x14ac:dyDescent="0.25">
      <c r="A713" s="191" t="s">
        <v>2919</v>
      </c>
      <c r="B713" s="152">
        <v>2026</v>
      </c>
      <c r="C713" s="183" t="s">
        <v>2774</v>
      </c>
      <c r="D713" s="183" t="s">
        <v>2920</v>
      </c>
      <c r="E713" s="184" t="s">
        <v>2921</v>
      </c>
      <c r="F713" s="185" t="s">
        <v>69</v>
      </c>
      <c r="G713" s="186" t="s">
        <v>79</v>
      </c>
      <c r="H713" s="218" t="s">
        <v>2922</v>
      </c>
      <c r="I713" s="192">
        <v>46259</v>
      </c>
      <c r="J713" s="192">
        <v>46268</v>
      </c>
      <c r="K713" s="183" t="s">
        <v>38</v>
      </c>
      <c r="L713" s="187"/>
      <c r="M713" s="188"/>
      <c r="N713" s="189">
        <v>30</v>
      </c>
      <c r="O713" s="190"/>
      <c r="P713" s="190"/>
      <c r="Q713" s="190"/>
      <c r="R713" s="190">
        <f>IF(B713="","",SUM(O713:Q713))</f>
        <v>0</v>
      </c>
      <c r="S713" s="183">
        <v>20</v>
      </c>
      <c r="T713" s="186" t="s">
        <v>2923</v>
      </c>
    </row>
    <row r="714" spans="1:21" ht="30" x14ac:dyDescent="0.25">
      <c r="A714" s="191" t="s">
        <v>2924</v>
      </c>
      <c r="B714" s="152">
        <v>2026</v>
      </c>
      <c r="C714" s="164" t="s">
        <v>2774</v>
      </c>
      <c r="D714" s="127" t="s">
        <v>2925</v>
      </c>
      <c r="E714" s="162" t="s">
        <v>2926</v>
      </c>
      <c r="F714" s="129" t="s">
        <v>88</v>
      </c>
      <c r="G714" s="130" t="s">
        <v>2749</v>
      </c>
      <c r="H714" s="131" t="s">
        <v>2927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2928</v>
      </c>
    </row>
    <row r="715" spans="1:21" ht="15" x14ac:dyDescent="0.25">
      <c r="A715" s="191" t="s">
        <v>2929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2930</v>
      </c>
      <c r="I715" s="192">
        <v>46289</v>
      </c>
      <c r="J715" s="192">
        <v>46289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2931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2932</v>
      </c>
      <c r="I716" s="192">
        <v>46290</v>
      </c>
      <c r="J716" s="192">
        <v>46290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2933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2934</v>
      </c>
      <c r="I717" s="192">
        <v>46303</v>
      </c>
      <c r="J717" s="192">
        <v>46303</v>
      </c>
      <c r="K717" s="183" t="s">
        <v>38</v>
      </c>
      <c r="L717" s="187"/>
      <c r="M717" s="188"/>
      <c r="N717" s="189"/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2935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2936</v>
      </c>
      <c r="I718" s="192">
        <v>46304</v>
      </c>
      <c r="J718" s="192">
        <v>46274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2937</v>
      </c>
      <c r="B719" s="152">
        <v>2026</v>
      </c>
      <c r="C719" s="183" t="s">
        <v>2774</v>
      </c>
      <c r="D719" s="183" t="s">
        <v>2938</v>
      </c>
      <c r="E719" s="184" t="s">
        <v>2939</v>
      </c>
      <c r="F719" s="185" t="s">
        <v>69</v>
      </c>
      <c r="G719" s="186" t="s">
        <v>79</v>
      </c>
      <c r="H719" s="191" t="s">
        <v>2940</v>
      </c>
      <c r="I719" s="192">
        <v>46321</v>
      </c>
      <c r="J719" s="192">
        <v>46322</v>
      </c>
      <c r="K719" s="219" t="s">
        <v>27</v>
      </c>
      <c r="L719" s="187"/>
      <c r="M719" s="188"/>
      <c r="N719" s="189">
        <v>170</v>
      </c>
      <c r="O719" s="190"/>
      <c r="P719" s="190"/>
      <c r="Q719" s="190"/>
      <c r="R719" s="190">
        <f>IF(B719="","",SUM(O719:Q719))</f>
        <v>0</v>
      </c>
      <c r="S719" s="183">
        <v>14</v>
      </c>
      <c r="T719" s="205" t="s">
        <v>479</v>
      </c>
    </row>
    <row r="720" spans="1:21" ht="15" x14ac:dyDescent="0.25">
      <c r="A720" s="191" t="s">
        <v>2941</v>
      </c>
      <c r="B720" s="152">
        <v>2026</v>
      </c>
      <c r="C720" s="127" t="s">
        <v>2774</v>
      </c>
      <c r="D720" s="173" t="s">
        <v>2942</v>
      </c>
      <c r="E720" s="180" t="s">
        <v>2943</v>
      </c>
      <c r="F720" s="129" t="s">
        <v>69</v>
      </c>
      <c r="G720" s="130" t="s">
        <v>79</v>
      </c>
      <c r="H720" s="175" t="s">
        <v>2944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15" x14ac:dyDescent="0.25">
      <c r="A721" s="191" t="s">
        <v>2945</v>
      </c>
      <c r="B721" s="152">
        <v>2026</v>
      </c>
      <c r="C721" s="193" t="s">
        <v>2774</v>
      </c>
      <c r="D721" s="193" t="s">
        <v>2946</v>
      </c>
      <c r="E721" s="203" t="s">
        <v>2947</v>
      </c>
      <c r="F721" s="220" t="s">
        <v>24</v>
      </c>
      <c r="G721" s="194" t="s">
        <v>75</v>
      </c>
      <c r="H721" s="195" t="s">
        <v>2948</v>
      </c>
      <c r="I721" s="196">
        <v>46344</v>
      </c>
      <c r="J721" s="196">
        <v>46345</v>
      </c>
      <c r="K721" s="193" t="s">
        <v>27</v>
      </c>
      <c r="L721" s="197">
        <v>13000</v>
      </c>
      <c r="M721" s="198"/>
      <c r="N721" s="199"/>
      <c r="O721" s="200"/>
      <c r="P721" s="200"/>
      <c r="Q721" s="200"/>
      <c r="R721" s="200">
        <f>IF(B721="","",SUM(O721:Q721))</f>
        <v>0</v>
      </c>
      <c r="S721" s="193">
        <v>10</v>
      </c>
      <c r="T721" s="194" t="s">
        <v>2949</v>
      </c>
    </row>
    <row r="722" spans="1:20" ht="15" x14ac:dyDescent="0.25">
      <c r="A722" s="191" t="s">
        <v>2950</v>
      </c>
      <c r="B722" s="127">
        <v>2026</v>
      </c>
      <c r="C722" s="183" t="s">
        <v>2774</v>
      </c>
      <c r="D722" s="183" t="s">
        <v>2951</v>
      </c>
      <c r="E722" s="184" t="s">
        <v>2952</v>
      </c>
      <c r="F722" s="185" t="s">
        <v>69</v>
      </c>
      <c r="G722" s="186" t="s">
        <v>79</v>
      </c>
      <c r="H722" s="191" t="s">
        <v>2777</v>
      </c>
      <c r="I722" s="192" t="s">
        <v>2953</v>
      </c>
      <c r="J722" s="192" t="s">
        <v>2954</v>
      </c>
      <c r="K722" s="183" t="s">
        <v>38</v>
      </c>
      <c r="L722" s="187"/>
      <c r="M722" s="188"/>
      <c r="N722" s="189"/>
      <c r="O722" s="190"/>
      <c r="P722" s="190"/>
      <c r="Q722" s="190"/>
      <c r="R722" s="190">
        <f>IF(B722="","",SUM(O722:Q722))</f>
        <v>0</v>
      </c>
      <c r="S722" s="183">
        <v>17.45</v>
      </c>
      <c r="T722" s="186" t="s">
        <v>2955</v>
      </c>
    </row>
    <row r="723" spans="1:20" ht="15" x14ac:dyDescent="0.25">
      <c r="A723" s="191" t="s">
        <v>2956</v>
      </c>
      <c r="B723" s="152">
        <v>2026</v>
      </c>
      <c r="C723" s="183" t="s">
        <v>2774</v>
      </c>
      <c r="D723" s="183" t="s">
        <v>2957</v>
      </c>
      <c r="E723" s="184" t="s">
        <v>2958</v>
      </c>
      <c r="F723" s="185" t="s">
        <v>24</v>
      </c>
      <c r="G723" s="186" t="s">
        <v>206</v>
      </c>
      <c r="H723" s="191" t="s">
        <v>2883</v>
      </c>
      <c r="I723" s="191" t="s">
        <v>2883</v>
      </c>
      <c r="J723" s="191" t="s">
        <v>2883</v>
      </c>
      <c r="K723" s="183" t="s">
        <v>27</v>
      </c>
      <c r="L723" s="187">
        <v>2000</v>
      </c>
      <c r="M723" s="188"/>
      <c r="N723" s="189">
        <v>170</v>
      </c>
      <c r="O723" s="190"/>
      <c r="P723" s="190"/>
      <c r="Q723" s="190"/>
      <c r="R723" s="190">
        <f>IF(B723="","",SUM(O723:Q723))</f>
        <v>0</v>
      </c>
      <c r="S723" s="183">
        <v>1</v>
      </c>
      <c r="T723" s="186" t="s">
        <v>2959</v>
      </c>
    </row>
    <row r="724" spans="1:20" ht="15" x14ac:dyDescent="0.25">
      <c r="A724" s="191" t="s">
        <v>2960</v>
      </c>
      <c r="B724" s="240">
        <v>2026</v>
      </c>
      <c r="C724" s="183" t="s">
        <v>2774</v>
      </c>
      <c r="D724" s="183" t="s">
        <v>2961</v>
      </c>
      <c r="E724" s="184" t="s">
        <v>2962</v>
      </c>
      <c r="F724" s="185" t="s">
        <v>69</v>
      </c>
      <c r="G724" s="186" t="s">
        <v>79</v>
      </c>
      <c r="H724" s="191" t="s">
        <v>2912</v>
      </c>
      <c r="I724" s="192" t="s">
        <v>2912</v>
      </c>
      <c r="J724" s="192" t="s">
        <v>2912</v>
      </c>
      <c r="K724" s="183" t="s">
        <v>38</v>
      </c>
      <c r="L724" s="187">
        <v>3520</v>
      </c>
      <c r="M724" s="188"/>
      <c r="N724" s="189">
        <v>30</v>
      </c>
      <c r="O724" s="190"/>
      <c r="P724" s="190"/>
      <c r="Q724" s="190"/>
      <c r="R724" s="190">
        <f>IF(B724="","",SUM(O724:Q724))</f>
        <v>0</v>
      </c>
      <c r="S724" s="183">
        <v>4</v>
      </c>
      <c r="T724" s="186" t="s">
        <v>2963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4"/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21"/>
      <c r="E726" s="184"/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4"/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4"/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4"/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21:R749" si="12">IF(B730="","",SUM(O730:Q730))</f>
        <v/>
      </c>
      <c r="S730" s="183"/>
      <c r="T730" s="186"/>
    </row>
    <row r="731" spans="1:20" ht="15" hidden="1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2"/>
        <v/>
      </c>
      <c r="S731" s="183"/>
      <c r="T731" s="186"/>
    </row>
    <row r="732" spans="1:20" ht="15" hidden="1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2"/>
        <v/>
      </c>
      <c r="S732" s="183"/>
      <c r="T732" s="186"/>
    </row>
    <row r="733" spans="1:20" ht="15" hidden="1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2"/>
        <v/>
      </c>
      <c r="S733" s="183"/>
      <c r="T733" s="186"/>
    </row>
    <row r="734" spans="1:20" ht="15" hidden="1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2"/>
        <v/>
      </c>
      <c r="S734" s="183"/>
      <c r="T734" s="186"/>
    </row>
    <row r="735" spans="1:20" ht="15" hidden="1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2"/>
        <v/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20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23" t="s">
        <v>2970</v>
      </c>
    </row>
    <row r="2" spans="1:8" x14ac:dyDescent="0.25">
      <c r="H2" s="222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22" t="s">
        <v>2975</v>
      </c>
    </row>
    <row r="4" spans="1:8" x14ac:dyDescent="0.25">
      <c r="A4">
        <v>1</v>
      </c>
      <c r="B4" t="s">
        <v>2976</v>
      </c>
      <c r="D4" t="s">
        <v>2977</v>
      </c>
      <c r="E4" s="22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2" t="s">
        <v>2978</v>
      </c>
    </row>
    <row r="5" spans="1:8" x14ac:dyDescent="0.25">
      <c r="A5">
        <v>2</v>
      </c>
      <c r="B5" t="s">
        <v>2507</v>
      </c>
      <c r="D5" t="s">
        <v>2977</v>
      </c>
      <c r="E5" s="22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2" t="s">
        <v>2979</v>
      </c>
    </row>
    <row r="6" spans="1:8" x14ac:dyDescent="0.25">
      <c r="A6">
        <v>3</v>
      </c>
      <c r="B6" t="s">
        <v>1030</v>
      </c>
      <c r="D6" t="s">
        <v>2977</v>
      </c>
      <c r="E6" s="22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2"/>
    </row>
    <row r="7" spans="1:8" x14ac:dyDescent="0.25">
      <c r="A7">
        <v>4</v>
      </c>
      <c r="B7" t="s">
        <v>2980</v>
      </c>
      <c r="D7" t="s">
        <v>2977</v>
      </c>
      <c r="E7" s="22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3" t="s">
        <v>2981</v>
      </c>
    </row>
    <row r="8" spans="1:8" x14ac:dyDescent="0.25">
      <c r="A8">
        <v>5</v>
      </c>
      <c r="B8" t="s">
        <v>2982</v>
      </c>
      <c r="D8" t="s">
        <v>2977</v>
      </c>
      <c r="E8" s="22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2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2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2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2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2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2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2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2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2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2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2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2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2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2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2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2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2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2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2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2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2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2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2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2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2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2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2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2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2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2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2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2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2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2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2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2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2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2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2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2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2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2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2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2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2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2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2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2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2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2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2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2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2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2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2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2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2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2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2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2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2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2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2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2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2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2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2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2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2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2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2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2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2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2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2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2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2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2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2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2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2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2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2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2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2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2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2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2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2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2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2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2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2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2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2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2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2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2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2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2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2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2026-005</v>
      </c>
      <c r="N6" t="str">
        <v>Realizado</v>
      </c>
      <c r="O6" t="str">
        <v>FIT1: Treinamento e Desenvolvimento (T&amp;D)</v>
      </c>
      <c r="P6">
        <v>16</v>
      </c>
      <c r="Q6" t="str">
        <v>Paulo José Góes Daltro</v>
      </c>
      <c r="R6">
        <v>1</v>
      </c>
      <c r="S6">
        <v>7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2026-004</v>
      </c>
      <c r="N7" t="str">
        <v>Realizado</v>
      </c>
      <c r="O7" t="str">
        <v>Gestão e Fiscalização de Contratos de Equipamentos Médico Hospitalares e Serviços de Manutenção</v>
      </c>
      <c r="P7">
        <v>12</v>
      </c>
      <c r="Q7" t="str">
        <v>Tarsila Firmino Ely; Luciana Alvim</v>
      </c>
      <c r="R7">
        <v>2</v>
      </c>
      <c r="S7">
        <v>9</v>
      </c>
      <c r="T7">
        <v>7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2026-005</v>
      </c>
      <c r="C8" s="21" t="str">
        <v>Realizado</v>
      </c>
      <c r="D8" s="18" t="str">
        <v>FIT1: Treinamento e Desenvolvimento (T&amp;D)</v>
      </c>
      <c r="E8" s="20">
        <v>16</v>
      </c>
      <c r="F8" s="18" t="str">
        <v>Paulo José Góes Daltro</v>
      </c>
      <c r="G8" s="20">
        <v>1</v>
      </c>
      <c r="H8" s="22">
        <v>0</v>
      </c>
      <c r="I8" s="22">
        <v>0</v>
      </c>
      <c r="J8" s="22">
        <v>0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Tarsila Firmino Ely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2026-004</v>
      </c>
      <c r="C10" s="21" t="str">
        <v>Realizado</v>
      </c>
      <c r="D10" s="18" t="str">
        <v>Gestão e Fiscalização de Contratos de Equipamentos Médico Hospitalares e Serviços de Manutenção</v>
      </c>
      <c r="E10" s="20">
        <v>12</v>
      </c>
      <c r="F10" s="18" t="str">
        <v>Luciana Alvim</v>
      </c>
      <c r="G10" s="20">
        <v>2</v>
      </c>
      <c r="H10" s="22">
        <v>12</v>
      </c>
      <c r="I10" s="22">
        <v>1.7999999999999998</v>
      </c>
      <c r="J10" s="22">
        <v>13.8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2026-034</v>
      </c>
      <c r="N28" t="str">
        <v>Realizado</v>
      </c>
      <c r="O28" t="str">
        <v>Curso “Sisaudit na Prática”</v>
      </c>
      <c r="P28">
        <v>12</v>
      </c>
      <c r="Q28" t="str">
        <v>Davi Assunção Salvador Nery de Castro; David da Silva de Araújo; Hamilton de Jesus Lopes Neto</v>
      </c>
      <c r="R28">
        <v>3</v>
      </c>
      <c r="S28">
        <v>54</v>
      </c>
      <c r="T28">
        <v>51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56</v>
      </c>
      <c r="T29">
        <v>54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2026-042</v>
      </c>
      <c r="N35" t="str">
        <v>Realizado</v>
      </c>
      <c r="O35" t="str">
        <v>Curso de Formação para Conselheiros de Saúde do DF</v>
      </c>
      <c r="P35">
        <v>20</v>
      </c>
      <c r="Q35" t="str">
        <v>Tarsila Firmino Ely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Realizado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“Sisaudit na Prática”</v>
      </c>
      <c r="E53">
        <v>12</v>
      </c>
      <c r="F53" t="str">
        <v>Davi Assunção Salvador Nery de Castro</v>
      </c>
      <c r="G53">
        <v>3</v>
      </c>
      <c r="H53">
        <v>12</v>
      </c>
      <c r="I53">
        <v>1.2</v>
      </c>
      <c r="J53">
        <v>13.2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2026-034</v>
      </c>
      <c r="C54" t="str">
        <v>Realizado</v>
      </c>
      <c r="D54" t="str">
        <v>Curso “Sisaudit na Prática”</v>
      </c>
      <c r="E54">
        <v>12</v>
      </c>
      <c r="F54" t="str">
        <v>David da Silva de Araújo</v>
      </c>
      <c r="G54">
        <v>3</v>
      </c>
      <c r="H54">
        <v>12</v>
      </c>
      <c r="I54">
        <v>1.2</v>
      </c>
      <c r="J54">
        <v>13.2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Hamilton de Jesus Lopes Neto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2026-033</v>
      </c>
      <c r="C56" t="str">
        <v>Realizado</v>
      </c>
      <c r="D56" t="str">
        <v>Curso de formação para gestores e fiscais de Contrato em equipamentos nas unidades hospitalares - T3</v>
      </c>
      <c r="E56">
        <v>12</v>
      </c>
      <c r="F56" t="str">
        <v>Tarsila Firmino Ely</v>
      </c>
      <c r="G56">
        <v>2</v>
      </c>
      <c r="H56">
        <v>12</v>
      </c>
      <c r="I56">
        <v>1.7999999999999998</v>
      </c>
      <c r="J56">
        <v>13.8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2026-033</v>
      </c>
      <c r="C57" t="str">
        <v>Realizado</v>
      </c>
      <c r="D57" t="str">
        <v>Curso de formação para gestores e fiscais de Contrato em equipamentos nas unidades hospitalares - T3</v>
      </c>
      <c r="E57">
        <v>12</v>
      </c>
      <c r="F57" t="str">
        <v>Luciana Alvim</v>
      </c>
      <c r="G57">
        <v>2</v>
      </c>
      <c r="H57">
        <v>12</v>
      </c>
      <c r="I57">
        <v>1.7999999999999998</v>
      </c>
      <c r="J57">
        <v>13.8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2026-042</v>
      </c>
      <c r="C66" t="str">
        <v>Realizado</v>
      </c>
      <c r="D66" t="str">
        <v>Curso de Formação para Conselheiros de Saúde do DF</v>
      </c>
      <c r="E66">
        <v>20</v>
      </c>
      <c r="F66" t="str">
        <v>Tarsila Firmino Ely</v>
      </c>
      <c r="G66">
        <v>1</v>
      </c>
      <c r="H66">
        <v>20</v>
      </c>
      <c r="I66">
        <v>6</v>
      </c>
      <c r="J66">
        <v>26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Realizado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Realizado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7" t="s">
        <v>3056</v>
      </c>
      <c r="B1" s="227"/>
      <c r="C1" s="227"/>
      <c r="D1" s="227"/>
      <c r="E1" s="227"/>
      <c r="F1" s="227"/>
      <c r="G1" s="227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8" t="s">
        <v>3057</v>
      </c>
      <c r="B4" s="229"/>
      <c r="D4" s="230" t="s">
        <v>3058</v>
      </c>
      <c r="E4" s="231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5" t="s">
        <v>3061</v>
      </c>
      <c r="B8" s="225"/>
      <c r="D8" s="225" t="s">
        <v>3062</v>
      </c>
      <c r="E8" s="225"/>
    </row>
    <row r="9" spans="1:7" ht="5.0999999999999996" customHeight="1" x14ac:dyDescent="0.25">
      <c r="A9" s="226"/>
      <c r="B9" s="226"/>
      <c r="D9" s="226"/>
      <c r="E9" s="226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25" t="s">
        <v>3071</v>
      </c>
      <c r="B30" s="225"/>
      <c r="C30" s="225"/>
      <c r="D30" s="225"/>
      <c r="E30" s="225"/>
    </row>
    <row r="31" spans="1:5" ht="5.0999999999999996" customHeight="1" x14ac:dyDescent="0.25">
      <c r="A31" s="226"/>
      <c r="B31" s="226"/>
      <c r="C31" s="226"/>
      <c r="D31" s="226"/>
      <c r="E31" s="226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2" t="s">
        <v>3122</v>
      </c>
      <c r="B1" s="232"/>
      <c r="C1" s="232"/>
      <c r="D1" s="232"/>
      <c r="E1" s="232"/>
      <c r="F1" s="232"/>
      <c r="G1" s="232"/>
      <c r="H1" s="232"/>
    </row>
    <row r="2" spans="1:8" x14ac:dyDescent="0.25">
      <c r="A2" s="49" t="s">
        <v>3123</v>
      </c>
    </row>
    <row r="4" spans="1:8" ht="21.95" customHeight="1" x14ac:dyDescent="0.25">
      <c r="A4" s="233" t="s">
        <v>3124</v>
      </c>
      <c r="B4" s="234"/>
      <c r="D4" s="233" t="s">
        <v>3125</v>
      </c>
      <c r="E4" s="234"/>
      <c r="G4" s="233" t="s">
        <v>3126</v>
      </c>
      <c r="H4" s="234"/>
    </row>
    <row r="5" spans="1:8" ht="35.1" customHeight="1" x14ac:dyDescent="0.25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8" t="s">
        <v>3132</v>
      </c>
      <c r="B1" s="238"/>
      <c r="C1" s="238"/>
      <c r="D1" s="238"/>
      <c r="E1" s="238"/>
      <c r="F1" s="238"/>
    </row>
    <row r="2" spans="1:7" x14ac:dyDescent="0.25">
      <c r="A2" s="239" t="s">
        <v>3133</v>
      </c>
      <c r="B2" s="239"/>
      <c r="C2" s="239"/>
      <c r="D2" s="239"/>
      <c r="E2" s="239"/>
      <c r="F2" s="239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2026-08-04T20:26:32Z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