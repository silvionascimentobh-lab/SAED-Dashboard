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78" documentId="13_ncr:1_{6A2CC3E2-FAFB-4D8F-B284-5E8FB5045DFE}" xr6:coauthVersionLast="47" xr6:coauthVersionMax="47" xr10:uidLastSave="{8BFB699F-3448-4A52-B539-41BC040D2122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6" i="29" l="1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l="1" a="1"/>
  <c r="A5" i="23" s="1" a="1"/>
  <c r="A2" i="20" l="1"/>
  <c r="E105" i="23"/>
  <c r="F6" i="23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<sst xmlns="http://schemas.openxmlformats.org/spreadsheetml/2006/main" count="7202" uniqueCount="3173">
  <si>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</si>
  <si>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</si>
  <si>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</si>
  <si>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</si>
  <si>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</si>
  <si>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</si>
  <si>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</si>
  <si>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</si>
  <si>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</si>
  <si>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</si>
  <si>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</si>
  <si>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</si>
  <si>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</si>
  <si>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</si>
  <si>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</si>
  <si>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</si>
  <si>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</si>
  <si>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</si>
  <si>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</si>
  <si>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</si>
  <si>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</si>
  <si>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</si>
  <si>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</si>
  <si>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</si>
  <si>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</si>
  <si>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</si>
  <si>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</si>
  <si>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</si>
  <si>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</si>
  <si>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</si>
  <si>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</si>
  <si>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</si>
  <si>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</si>
  <si>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</si>
  <si>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</si>
  <si>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</si>
  <si>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</si>
  <si>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</si>
  <si>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</si>
  <si>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</si>
  <si>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</si>
  <si>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</si>
  <si>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</si>
  <si>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</si>
  <si>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</si>
  <si>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</si>
  <si>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</si>
  <si>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</si>
  <si>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</si>
  <si>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</si>
  <si>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</si>
  <si>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</si>
  <si>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</si>
  <si>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</si>
  <si>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</si>
  <si>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</si>
  <si>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</si>
  <si>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</si>
  <si>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</si>
  <si>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</si>
  <si>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</si>
  <si>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</si>
  <si>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</si>
  <si>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</si>
  <si>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</si>
  <si>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</si>
  <si>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</si>
  <si>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</si>
  <si>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</si>
  <si>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</si>
  <si>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</si>
  <si>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</si>
  <si>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</si>
  <si>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</si>
  <si>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</si>
  <si>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</si>
  <si>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</si>
  <si>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</si>
  <si>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</si>
  <si>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</si>
  <si>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</si>
  <si>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</si>
  <si>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</si>
  <si>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</si>
  <si>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</si>
  <si>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</si>
  <si>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</si>
  <si>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</si>
  <si>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</si>
  <si>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</si>
  <si>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</si>
  <si>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</si>
  <si>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</si>
  <si>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</si>
  <si>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</si>
  <si>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</si>
  <si>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</si>
  <si>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</si>
  <si>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</si>
  <si>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</si>
  <si>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</si>
  <si>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</si>
  <si>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</si>
  <si>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</si>
  <si>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</si>
  <si>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</si>
  <si>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</si>
  <si>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</si>
  <si>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</si>
  <si>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</si>
  <si>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</si>
  <si>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</si>
  <si>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</si>
  <si>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</si>
  <si>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</si>
  <si>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</si>
  <si>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</si>
  <si>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</si>
  <si>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</si>
  <si>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</si>
  <si>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</si>
  <si>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</si>
  <si>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</si>
  <si>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</si>
  <si>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</si>
  <si>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</si>
  <si>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</si>
  <si>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</si>
  <si>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</si>
  <si>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</si>
  <si>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</si>
  <si>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</si>
  <si>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</si>
  <si>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</si>
  <si>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</si>
  <si>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</si>
  <si>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</si>
  <si>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</si>
  <si>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</si>
  <si>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</si>
  <si>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</si>
  <si>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</si>
  <si>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</si>
  <si>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</si>
  <si>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</si>
  <si>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</si>
  <si>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</si>
  <si>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</si>
  <si>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</si>
  <si>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</si>
  <si>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</si>
  <si>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</si>
  <si>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</si>
  <si>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</si>
  <si>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</si>
  <si>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</si>
  <si>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</si>
  <si>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</si>
  <si>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</si>
  <si>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</si>
  <si>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</si>
  <si>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</si>
  <si>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</si>
  <si>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</si>
  <si>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</si>
  <si>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</si>
  <si>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</si>
  <si>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</si>
  <si>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</si>
  <si>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</si>
  <si>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</si>
  <si>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</si>
  <si>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</si>
  <si>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</si>
  <si>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</si>
  <si>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</si>
  <si>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</si>
  <si>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</si>
  <si>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</si>
  <si>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</si>
  <si>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</si>
  <si>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</si>
  <si>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</si>
  <si>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</si>
  <si>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</si>
  <si>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</si>
  <si>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</si>
  <si>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</si>
  <si>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</si>
  <si>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</si>
  <si>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</si>
  <si>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</si>
  <si>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</si>
  <si>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</si>
  <si>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</si>
  <si>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</si>
  <si>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</si>
  <si>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</si>
  <si>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</si>
  <si>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</si>
  <si>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</si>
  <si>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</si>
  <si>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</si>
  <si>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</si>
  <si>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</si>
  <si>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</si>
  <si>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</si>
  <si>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</si>
  <si>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</si>
  <si>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</si>
  <si>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</si>
  <si>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</si>
  <si>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</si>
  <si>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</si>
  <si>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</si>
  <si>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</si>
  <si>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</si>
  <si>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</si>
  <si>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</si>
  <si>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</si>
  <si>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</si>
  <si>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</si>
  <si>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</si>
  <si>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</si>
  <si>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</si>
  <si>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</si>
  <si>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</si>
  <si>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</si>
  <si>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</si>
  <si>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</si>
  <si>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</si>
  <si>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</si>
  <si>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</si>
  <si>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</si>
  <si>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</si>
  <si>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</si>
  <si>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</si>
  <si>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</si>
  <si>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</si>
  <si>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</si>
  <si>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</si>
  <si>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</si>
  <si>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</si>
  <si>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</si>
  <si>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</si>
  <si>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</si>
  <si>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</si>
  <si>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</si>
  <si>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</si>
  <si>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</si>
  <si>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</si>
  <si>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</si>
  <si>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</si>
  <si>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</si>
  <si>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</si>
  <si>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</si>
  <si>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</si>
  <si>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</si>
  <si>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</si>
  <si>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</si>
  <si>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</si>
  <si>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</si>
  <si>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</si>
  <si>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</si>
  <si>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</si>
  <si>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</si>
  <si>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</si>
  <si>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</si>
  <si>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</si>
  <si>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</si>
  <si>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</si>
  <si>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</si>
  <si>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</si>
  <si>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</si>
  <si>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</si>
  <si>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</si>
  <si>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</si>
  <si>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</si>
  <si>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</si>
  <si>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</si>
  <si>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</si>
  <si>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</si>
  <si>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</si>
  <si>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</si>
  <si>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</si>
  <si>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</si>
  <si>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</si>
  <si>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</si>
  <si>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</si>
  <si>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</si>
  <si>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</si>
  <si>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</si>
  <si>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</si>
  <si>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</si>
  <si>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</si>
  <si>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</si>
  <si>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</si>
  <si>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</si>
  <si>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</si>
  <si>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</si>
  <si>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</si>
  <si>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</si>
  <si>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</si>
  <si>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</si>
  <si>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</si>
  <si>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</si>
  <si>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</si>
  <si>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</si>
  <si>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</si>
  <si>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</si>
  <si>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</si>
  <si>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</si>
  <si>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</si>
  <si>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</si>
  <si>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</si>
  <si>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</si>
  <si>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</si>
  <si>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</si>
  <si>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</si>
  <si>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</si>
  <si>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</si>
  <si>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</si>
  <si>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</si>
  <si>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</si>
  <si>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</si>
  <si>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</si>
  <si>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</si>
  <si>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</si>
  <si>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</si>
  <si>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</si>
  <si>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</si>
  <si>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</si>
  <si>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</si>
  <si>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</si>
  <si>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</si>
  <si>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</si>
  <si>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</si>
  <si>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</si>
  <si>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</si>
  <si>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</si>
  <si>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</si>
  <si>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</si>
  <si>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</si>
  <si>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</si>
  <si>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</si>
  <si>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</si>
  <si>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</si>
  <si>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</si>
  <si>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</si>
  <si>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</si>
  <si>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</si>
  <si>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</si>
  <si>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</si>
  <si>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</si>
  <si>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</si>
  <si>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</si>
  <si>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</si>
  <si>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</si>
  <si>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</si>
  <si>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</si>
  <si>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</si>
  <si>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</si>
  <si>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</si>
  <si>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</si>
  <si>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</si>
  <si>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</si>
  <si>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</si>
  <si>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</si>
  <si>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</si>
  <si>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</si>
  <si>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</si>
  <si>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</si>
  <si>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</si>
  <si>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</si>
  <si>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</si>
  <si>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</si>
  <si>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</si>
  <si>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</si>
  <si>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</si>
  <si>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</si>
  <si>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</si>
  <si>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</si>
  <si>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</si>
  <si>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</si>
  <si>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</si>
  <si>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</si>
  <si>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</si>
  <si>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</si>
  <si>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</si>
  <si>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</si>
  <si>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</si>
  <si>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</si>
  <si>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</si>
  <si>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</si>
  <si>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</si>
  <si>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</si>
  <si>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</si>
  <si>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</si>
  <si>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</si>
  <si>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</si>
  <si>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</si>
  <si>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</si>
  <si>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</si>
  <si>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</si>
  <si>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</si>
  <si>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</si>
  <si>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</si>
  <si>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</si>
  <si>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</si>
  <si>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</si>
  <si>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</si>
  <si>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</si>
  <si>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</si>
  <si>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</si>
  <si>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</si>
  <si>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</si>
  <si>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</si>
  <si>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</si>
  <si>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</si>
  <si>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</si>
  <si>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</si>
  <si>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</si>
  <si>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</si>
  <si>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</si>
  <si>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</si>
  <si>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</si>
  <si>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</si>
  <si>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</si>
  <si>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</si>
  <si>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</si>
  <si>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</si>
  <si>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</si>
  <si>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</si>
  <si>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</si>
  <si>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</si>
  <si>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</si>
  <si>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</si>
  <si>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</si>
  <si>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</si>
  <si>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</si>
  <si>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</si>
  <si>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</si>
  <si>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</si>
  <si>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</si>
  <si>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</si>
  <si>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</si>
  <si>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</si>
  <si>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</si>
  <si>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</si>
  <si>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</si>
  <si>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</si>
  <si>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</si>
  <si>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</si>
  <si>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</si>
  <si>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</si>
  <si>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</si>
  <si>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</si>
  <si>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</si>
  <si>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</si>
  <si>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</si>
  <si>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</si>
  <si>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</si>
  <si>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</si>
  <si>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</si>
  <si>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</si>
  <si>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</si>
  <si>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</si>
  <si>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</si>
  <si>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</si>
  <si>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</si>
  <si>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</si>
  <si>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</si>
  <si>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</si>
  <si>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</si>
  <si>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</si>
  <si>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</si>
  <si>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</si>
  <si>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</si>
  <si>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</si>
  <si>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</si>
  <si>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</si>
  <si>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</si>
  <si>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</si>
  <si>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</si>
  <si>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</si>
  <si>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</si>
  <si>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</si>
  <si>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</si>
  <si>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</si>
  <si>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</si>
  <si>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</si>
  <si>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</si>
  <si>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</si>
  <si>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</si>
  <si>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</si>
  <si>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</si>
  <si>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</si>
  <si>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</si>
  <si>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</si>
  <si>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</si>
  <si>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</si>
  <si>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</si>
  <si>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</si>
  <si>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</si>
  <si>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</si>
  <si>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</si>
  <si>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</si>
  <si>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</si>
  <si>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</si>
  <si>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</si>
  <si>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</si>
  <si>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</si>
  <si>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</si>
  <si>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</si>
  <si>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</si>
  <si>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</si>
  <si>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</si>
  <si>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</si>
  <si>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</si>
  <si>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</si>
  <si>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</si>
  <si>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</si>
  <si>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</si>
  <si>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</si>
  <si>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</si>
  <si>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</si>
  <si>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</si>
  <si>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</si>
  <si>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</si>
  <si>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</si>
  <si>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</si>
  <si>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</si>
  <si>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</si>
  <si>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</si>
  <si>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</si>
  <si>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</si>
  <si>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</si>
  <si>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</si>
  <si>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</si>
  <si>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</si>
  <si>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</si>
  <si>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</si>
  <si>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</si>
  <si>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</si>
  <si>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</si>
  <si>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</si>
  <si>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</si>
  <si>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</si>
  <si>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</si>
  <si>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</si>
  <si>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</si>
  <si>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</si>
  <si>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</si>
  <si>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</si>
  <si>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</si>
  <si>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</si>
  <si>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</si>
  <si>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</si>
  <si>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</si>
  <si>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</si>
  <si>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</si>
  <si>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</si>
  <si>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</si>
  <si>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</si>
  <si>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</si>
  <si>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</si>
  <si>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</si>
  <si>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</si>
  <si>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</si>
  <si>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</si>
  <si>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</si>
  <si>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</si>
  <si>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</si>
  <si>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</si>
  <si>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</si>
  <si>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</si>
  <si>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</si>
  <si>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</si>
  <si>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</si>
  <si>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</si>
  <si>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</si>
  <si>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</si>
  <si>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</si>
  <si>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</si>
  <si>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</si>
  <si>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</si>
  <si>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</si>
  <si>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</si>
  <si>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</si>
  <si>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</si>
  <si>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</si>
  <si>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</si>
  <si>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</si>
  <si>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</si>
  <si>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</si>
  <si>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</si>
  <si>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</si>
  <si>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</si>
  <si>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</si>
  <si>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</si>
  <si>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</si>
  <si>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</si>
  <si>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</si>
  <si>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</si>
  <si>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</si>
  <si>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</si>
  <si>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</si>
  <si>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</si>
  <si>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</si>
  <si>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</si>
  <si>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</si>
  <si>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</si>
  <si>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</si>
  <si>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</si>
  <si>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</si>
  <si>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</si>
  <si>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</si>
  <si>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</si>
  <si>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</si>
  <si>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</si>
  <si>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</si>
  <si>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</si>
  <si>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</si>
  <si>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</si>
  <si>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</si>
  <si>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</si>
  <si>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</si>
  <si>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</si>
  <si>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</si>
  <si>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</si>
  <si>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</si>
  <si>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</si>
  <si>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</si>
  <si>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</si>
  <si>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</si>
  <si>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</si>
  <si>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</si>
  <si>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</si>
  <si>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</si>
  <si>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</si>
  <si>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</si>
  <si>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</si>
  <si>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</si>
  <si>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</si>
  <si>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</si>
  <si>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</si>
  <si>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</si>
  <si>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</si>
  <si>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</si>
  <si>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</si>
  <si>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</si>
  <si>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</si>
  <si>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</si>
  <si>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</si>
  <si>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</si>
  <si>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</si>
  <si>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</si>
  <si>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</si>
  <si>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</si>
  <si>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</si>
  <si>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</si>
  <si>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</si>
  <si>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</si>
  <si>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</si>
  <si>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</si>
  <si>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</si>
  <si>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</si>
  <si>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</si>
  <si>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</si>
  <si>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</si>
  <si>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</si>
  <si>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</si>
  <si>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</si>
  <si>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</si>
  <si>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</si>
  <si>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</si>
  <si>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</si>
  <si>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</si>
  <si>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</si>
  <si>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</si>
  <si>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</si>
  <si>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</si>
  <si>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</si>
  <si>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</si>
  <si>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</si>
  <si>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</si>
  <si>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</si>
  <si>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</si>
  <si>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</si>
  <si>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</si>
  <si>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</si>
  <si>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</si>
  <si>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</si>
  <si>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</si>
  <si>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</si>
  <si>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</si>
  <si>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</si>
  <si>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</si>
  <si>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</si>
  <si>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</si>
  <si>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</si>
  <si>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</si>
  <si>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</si>
  <si>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</si>
  <si>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</si>
  <si>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</si>
  <si>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</si>
  <si>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</si>
  <si>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</si>
  <si>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</si>
  <si>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</si>
  <si>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</si>
  <si>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</si>
  <si>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</si>
  <si>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</si>
  <si>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</si>
  <si>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</si>
  <si>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</si>
  <si>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</si>
  <si>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</si>
  <si>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</si>
  <si>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</si>
  <si>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</si>
  <si>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</si>
  <si>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</si>
  <si>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</si>
  <si>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</si>
  <si>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</si>
  <si>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</si>
  <si>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</si>
  <si>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</si>
  <si>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</si>
  <si>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</si>
  <si>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</si>
  <si>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</si>
  <si>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</si>
  <si>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</si>
  <si>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</si>
  <si>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</si>
  <si>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</si>
  <si>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</si>
  <si>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</si>
  <si>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</si>
  <si>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</si>
  <si>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</si>
  <si>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</si>
  <si>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</si>
  <si>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</si>
  <si>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</si>
  <si>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</si>
  <si>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</si>
  <si>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</si>
  <si>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</si>
  <si>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</si>
  <si>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</si>
  <si>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</si>
  <si>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</si>
  <si>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</si>
  <si>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</si>
  <si>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</si>
  <si>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</si>
  <si>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</si>
  <si>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</si>
  <si>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</si>
  <si>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</si>
  <si>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</si>
  <si>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</si>
  <si>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</si>
  <si>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</si>
  <si>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</si>
  <si>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</si>
  <si>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</si>
  <si>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</si>
  <si>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</si>
  <si>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</si>
  <si>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</si>
  <si>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</si>
  <si>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</si>
  <si>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</si>
  <si>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</si>
  <si>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</si>
  <si>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</si>
  <si>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</si>
  <si>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</si>
  <si>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</si>
  <si>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</si>
  <si>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</si>
  <si>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</si>
  <si>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</si>
  <si>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</si>
  <si>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</si>
  <si>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</si>
  <si>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</si>
  <si>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</si>
  <si>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</si>
  <si>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</si>
  <si>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</si>
  <si>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</si>
  <si>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</si>
  <si>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</si>
  <si>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</si>
  <si>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</si>
  <si>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</si>
  <si>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</si>
  <si>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</si>
  <si>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</si>
  <si>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</si>
  <si>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</si>
  <si>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</si>
  <si>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</si>
  <si>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</si>
  <si>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</si>
  <si>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</si>
  <si>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</si>
  <si>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</si>
  <si>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</si>
  <si>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</si>
  <si>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</si>
  <si>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</si>
  <si>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</si>
  <si>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</si>
  <si>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</si>
  <si>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</si>
  <si>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</si>
  <si>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</si>
  <si>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</si>
  <si>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</si>
  <si>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</si>
  <si>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</si>
  <si>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</si>
  <si>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</si>
  <si>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</si>
  <si>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</si>
  <si>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</si>
  <si>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</si>
  <si>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</si>
  <si>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</si>
  <si>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</si>
  <si>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</si>
  <si>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</si>
  <si>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</si>
  <si>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</si>
  <si>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</si>
  <si>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</si>
  <si>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</si>
  <si>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</si>
  <si>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</si>
  <si>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</si>
  <si>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</si>
  <si>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</si>
  <si>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</si>
  <si>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</si>
  <si>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</si>
  <si>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</si>
  <si>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</si>
  <si>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</si>
  <si>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</si>
  <si>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</si>
  <si>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</si>
  <si>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</si>
  <si>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</si>
  <si>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</si>
  <si>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</si>
  <si>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</si>
  <si>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</si>
  <si>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</si>
  <si>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</si>
  <si>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</si>
  <si>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</si>
  <si>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</si>
  <si>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</si>
  <si>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</si>
  <si>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</si>
  <si>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</si>
  <si>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</si>
  <si>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</si>
  <si>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</si>
  <si>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</si>
  <si>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</si>
  <si>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</si>
  <si>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</si>
  <si>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</si>
  <si>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</si>
  <si>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</si>
  <si>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</si>
  <si>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</si>
  <si>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</si>
  <si>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</si>
  <si>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</si>
  <si>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</si>
  <si>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</si>
  <si>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</si>
  <si>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</si>
  <si>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</si>
  <si>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</si>
  <si>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</si>
  <si>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</si>
  <si>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</si>
  <si>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</si>
  <si>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</si>
  <si>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</si>
  <si>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</si>
  <si>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</si>
  <si>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</si>
  <si>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</si>
  <si>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</si>
  <si>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</si>
  <si>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</si>
  <si>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</si>
  <si>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</si>
  <si>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</si>
  <si>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</si>
  <si>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</si>
  <si>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</si>
  <si>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</si>
  <si>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</si>
  <si>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</si>
  <si>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</si>
  <si>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</si>
  <si>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</si>
  <si>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</si>
  <si>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</si>
  <si>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</si>
  <si>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</si>
  <si>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</si>
  <si>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</si>
  <si>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</si>
  <si>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</si>
  <si>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</si>
  <si>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</si>
  <si>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</si>
  <si>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</si>
  <si>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</si>
  <si>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</si>
  <si>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</si>
  <si>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</si>
  <si>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</si>
  <si>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</si>
  <si>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</si>
  <si>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</si>
  <si>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</si>
  <si>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</si>
  <si>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</si>
  <si>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</si>
  <si>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</si>
  <si>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</si>
  <si>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</si>
  <si>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</si>
  <si>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</si>
  <si>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</si>
  <si>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</si>
  <si>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</si>
  <si>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</si>
  <si>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</si>
  <si>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</si>
  <si>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</si>
  <si>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</si>
  <si>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</si>
  <si>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</si>
  <si>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</si>
  <si>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</si>
  <si>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</si>
  <si>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</si>
  <si>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</si>
  <si>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</si>
  <si>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</si>
  <si>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</si>
  <si>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</si>
  <si>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</si>
  <si>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</si>
  <si>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</si>
  <si>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</si>
  <si>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</si>
  <si>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</si>
  <si>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</si>
  <si>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</si>
  <si>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</si>
  <si>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</si>
  <si>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</si>
  <si>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</si>
  <si>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</si>
  <si>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</si>
  <si>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</si>
  <si>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</si>
  <si>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</si>
  <si>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</si>
  <si>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</si>
  <si>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</si>
  <si>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</si>
  <si>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</si>
  <si>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</si>
  <si>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</si>
  <si>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</si>
  <si>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</si>
  <si>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</si>
  <si>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</si>
  <si>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</si>
  <si>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</si>
  <si>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</si>
  <si>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</si>
  <si>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</si>
  <si>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</si>
  <si>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</si>
  <si>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</si>
  <si>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</si>
  <si>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</si>
  <si>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</si>
  <si>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</si>
  <si>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</si>
  <si>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</si>
  <si>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</si>
  <si>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</si>
  <si>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</si>
  <si>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</si>
  <si>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</si>
  <si>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</si>
  <si>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</si>
  <si>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</si>
  <si>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</si>
  <si>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</si>
  <si>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</si>
  <si>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</si>
  <si>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</si>
  <si>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</si>
  <si>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</si>
  <si>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</si>
  <si>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</si>
  <si>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</si>
  <si>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</si>
  <si>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</si>
  <si>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</si>
  <si>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</si>
  <si>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</si>
  <si>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</si>
  <si>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</si>
  <si>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</si>
  <si>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</si>
  <si>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</si>
  <si>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</si>
  <si>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</si>
  <si>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</si>
  <si>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</si>
  <si>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</si>
  <si>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</si>
  <si>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</si>
  <si>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</si>
  <si>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</si>
  <si>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</si>
  <si>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</si>
  <si>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</si>
  <si>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</si>
  <si>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</si>
  <si>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</si>
  <si>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</si>
  <si>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</si>
  <si>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</si>
  <si>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</si>
  <si>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</si>
  <si>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</si>
  <si>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</si>
  <si>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</si>
  <si>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</si>
  <si>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</si>
  <si>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</si>
  <si>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</si>
  <si>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</si>
  <si>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</si>
  <si>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</si>
  <si>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</si>
  <si>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</si>
  <si>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</si>
  <si>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</si>
  <si>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</si>
  <si>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</si>
  <si>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</si>
  <si>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</si>
  <si>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</si>
  <si>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</si>
  <si>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</si>
  <si>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</si>
  <si>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</si>
  <si>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</si>
  <si>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</si>
  <si>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</si>
  <si>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</si>
  <si>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</si>
  <si>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</si>
  <si>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</si>
  <si>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</si>
  <si>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</si>
  <si>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</si>
  <si>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</si>
  <si>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</si>
  <si>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</si>
  <si>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</si>
  <si>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</si>
  <si>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</si>
  <si>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</si>
  <si>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</si>
  <si>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</si>
  <si>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</si>
  <si>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</si>
  <si>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</si>
  <si>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</si>
  <si>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</si>
  <si>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</si>
  <si>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</si>
  <si>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</si>
  <si>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</si>
  <si>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</si>
  <si>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</si>
  <si>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</si>
  <si>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</si>
  <si>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</si>
  <si>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</si>
  <si>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</si>
  <si>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</si>
  <si>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</si>
  <si>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</si>
  <si>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</si>
  <si>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</si>
  <si>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</si>
  <si>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</si>
  <si>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</si>
  <si>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</si>
  <si>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</si>
  <si>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</si>
  <si>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</si>
  <si>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</si>
  <si>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</si>
  <si>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</si>
  <si>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</si>
  <si>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</si>
  <si>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</si>
  <si>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</si>
  <si>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</si>
  <si>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</si>
  <si>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</si>
  <si>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</si>
  <si>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</si>
  <si>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</si>
  <si>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</si>
  <si>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</si>
  <si>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</si>
  <si>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</si>
  <si>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</si>
  <si>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</si>
  <si>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</si>
  <si>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</si>
  <si>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</si>
  <si>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</si>
  <si>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</si>
  <si>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</si>
  <si>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</si>
  <si>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</si>
  <si>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</si>
  <si>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</si>
  <si>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</si>
  <si>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</si>
  <si>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</si>
  <si>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</si>
  <si>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</si>
  <si>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</si>
  <si>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</si>
  <si>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</si>
  <si>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</si>
  <si>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</si>
  <si>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</si>
  <si>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</si>
  <si>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</si>
  <si>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</si>
  <si>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</si>
  <si>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</si>
  <si>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</si>
  <si>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</si>
  <si>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</si>
  <si>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</si>
  <si>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</si>
  <si>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</si>
  <si>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</si>
  <si>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</si>
  <si>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</si>
  <si>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</si>
  <si>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</si>
  <si>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</si>
  <si>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</si>
  <si>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</si>
  <si>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</si>
  <si>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</si>
  <si>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</si>
  <si>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</si>
  <si>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</si>
  <si>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</si>
  <si>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</si>
  <si>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</si>
  <si>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</si>
  <si>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</si>
  <si>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</si>
  <si>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</si>
  <si>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</si>
  <si>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</si>
  <si>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</si>
  <si>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</si>
  <si>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</si>
  <si>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</si>
  <si>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</si>
  <si>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</si>
  <si>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</si>
  <si>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</si>
  <si>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</si>
  <si>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</si>
  <si>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</si>
  <si>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</si>
  <si>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</si>
  <si>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</si>
  <si>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</si>
  <si>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</si>
  <si>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</si>
  <si>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</si>
  <si>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</si>
  <si>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</si>
  <si>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</si>
  <si>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</si>
  <si>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</si>
  <si>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</si>
  <si>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</si>
  <si>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</si>
  <si>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</si>
  <si>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</si>
  <si>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</si>
  <si>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</si>
  <si>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</si>
  <si>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</si>
  <si>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</si>
  <si>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</si>
  <si>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</si>
  <si>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</si>
  <si>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</si>
  <si>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</si>
  <si>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</si>
  <si>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</si>
  <si>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</si>
  <si>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</si>
  <si>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</si>
  <si>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</si>
  <si>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</si>
  <si>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</si>
  <si>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</si>
  <si>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</si>
  <si>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</si>
  <si>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</si>
  <si>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</si>
  <si>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</si>
  <si>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</si>
  <si>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</si>
  <si>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</si>
  <si>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</si>
  <si>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</si>
  <si>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</si>
  <si>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</si>
  <si>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</si>
  <si>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</si>
  <si>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</si>
  <si>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</si>
  <si>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</si>
  <si>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</si>
  <si>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</si>
  <si>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</si>
  <si>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</si>
  <si>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</si>
  <si>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</si>
  <si>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</si>
  <si>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</si>
  <si>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</si>
  <si>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</si>
  <si>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</si>
  <si>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</si>
  <si>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</si>
  <si>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</si>
  <si>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</si>
  <si>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</si>
  <si>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</si>
  <si>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</si>
  <si>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</si>
  <si>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</si>
  <si>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</si>
  <si>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</si>
  <si>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</si>
  <si>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</si>
  <si>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</si>
  <si>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</si>
  <si>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</si>
  <si>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</si>
  <si>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</si>
  <si>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</si>
  <si>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</si>
  <si>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</si>
  <si>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</si>
  <si>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</si>
  <si>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</si>
  <si>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</si>
  <si>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</si>
  <si>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</si>
  <si>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</si>
  <si>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</si>
  <si>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</si>
  <si>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</si>
  <si>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</si>
  <si>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</si>
  <si>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</si>
  <si>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</si>
  <si>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</si>
  <si>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</si>
  <si>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</si>
  <si>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</si>
  <si>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</si>
  <si>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</si>
  <si>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</si>
  <si>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</si>
  <si>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</si>
  <si>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</si>
  <si>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</si>
  <si>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</si>
  <si>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</si>
  <si>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</si>
  <si>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</si>
  <si>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</si>
  <si>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</si>
  <si>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</si>
  <si>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</si>
  <si>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</si>
  <si>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</si>
  <si>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</si>
  <si>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</si>
  <si>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</si>
  <si>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</si>
  <si>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</si>
  <si>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</si>
  <si>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</si>
  <si>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</si>
  <si>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</si>
  <si>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</si>
  <si>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</si>
  <si>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</si>
  <si>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</si>
  <si>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</si>
  <si>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</si>
  <si>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</si>
  <si>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</si>
  <si>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</si>
  <si>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</si>
  <si>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</si>
  <si>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</si>
  <si>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</si>
  <si>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</si>
  <si>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</si>
  <si>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</si>
  <si>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</si>
  <si>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</si>
  <si>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</si>
  <si>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</si>
  <si>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</si>
  <si>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</si>
  <si>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</si>
  <si>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</si>
  <si>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</si>
  <si>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</si>
  <si>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</si>
  <si>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</si>
  <si>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</si>
  <si>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</si>
  <si>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</si>
  <si>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</si>
  <si>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</si>
  <si>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</si>
  <si>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</si>
  <si>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</si>
  <si>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</si>
  <si>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</si>
  <si>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</si>
  <si>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</si>
  <si>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</si>
  <si>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</si>
  <si>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</si>
  <si>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</si>
  <si>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</si>
  <si>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</si>
  <si>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</si>
  <si>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</si>
  <si>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</si>
  <si>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</si>
  <si>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</si>
  <si>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</si>
  <si>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</si>
  <si>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</si>
  <si>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</si>
  <si>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</si>
  <si>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</si>
  <si>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</si>
  <si>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</si>
  <si>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</si>
  <si>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</si>
  <si>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</si>
  <si>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</si>
  <si>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</si>
  <si>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</si>
  <si>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</si>
  <si>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</si>
  <si>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</si>
  <si>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</si>
  <si>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</si>
  <si>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</si>
  <si>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</si>
  <si>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</si>
  <si>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</si>
  <si>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</si>
  <si>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</si>
  <si>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</si>
  <si>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</si>
  <si>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</si>
  <si>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</si>
  <si>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</si>
  <si>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</si>
  <si>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</si>
  <si>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</si>
  <si>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</si>
  <si>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</si>
  <si>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</si>
  <si>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</si>
  <si>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</si>
  <si>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</si>
  <si>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</si>
  <si>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</si>
  <si>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</si>
  <si>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</si>
  <si>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</si>
  <si>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</si>
  <si>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</si>
  <si>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</si>
  <si>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</si>
  <si>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</si>
  <si>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</si>
  <si>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</si>
  <si>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</si>
  <si>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</si>
  <si>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</si>
  <si>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</si>
  <si>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</si>
  <si>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</si>
  <si>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</si>
  <si>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</si>
  <si>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</si>
  <si>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</si>
  <si>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</si>
  <si>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</si>
  <si>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</si>
  <si>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</si>
  <si>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</si>
  <si>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</si>
  <si>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</si>
  <si>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</si>
  <si>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</si>
  <si>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</si>
  <si>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</si>
  <si>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</si>
  <si>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</si>
  <si>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</si>
  <si>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</si>
  <si>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</si>
  <si>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</si>
  <si>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</si>
  <si>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</si>
  <si>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</si>
  <si>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</si>
  <si>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</si>
  <si>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</si>
  <si>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</si>
  <si>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</si>
  <si>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</si>
  <si>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</si>
  <si>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</si>
  <si>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</si>
  <si>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</si>
  <si>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</si>
  <si>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</si>
  <si>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</si>
  <si>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</si>
  <si>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</si>
  <si>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</si>
  <si>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</si>
  <si>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</si>
  <si>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</si>
  <si>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</si>
  <si>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</si>
  <si>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</si>
  <si>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</si>
  <si>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</si>
  <si>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</si>
  <si>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</si>
  <si>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</si>
  <si>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</si>
  <si>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</si>
  <si>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</si>
  <si>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</si>
  <si>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</si>
  <si>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</si>
  <si>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</si>
  <si>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</si>
  <si>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</si>
  <si>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</si>
  <si>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</si>
  <si>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</si>
  <si>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</si>
  <si>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</si>
  <si>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</si>
  <si>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</si>
  <si>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</si>
  <si>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</si>
  <si>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</si>
  <si>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</si>
  <si>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</si>
  <si>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</si>
  <si>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</si>
  <si>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</si>
  <si>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</si>
  <si>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</si>
  <si>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</si>
  <si>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</si>
  <si>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</si>
  <si>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</si>
  <si>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</si>
  <si>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</si>
  <si>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</si>
  <si>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</si>
  <si>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</si>
  <si>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</si>
  <si>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</si>
  <si>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</si>
  <si>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</si>
  <si>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</si>
  <si>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</si>
  <si>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</si>
  <si>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</si>
  <si>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</si>
  <si>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</si>
  <si>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</si>
  <si>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</si>
  <si>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</si>
  <si>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</si>
  <si>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</si>
  <si>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</si>
  <si>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</si>
  <si>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</si>
  <si>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</si>
  <si>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</si>
  <si>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</si>
  <si>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</si>
  <si>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</si>
  <si>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</si>
  <si>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</si>
  <si>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</si>
  <si>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</si>
  <si>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</si>
  <si>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</si>
  <si>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</si>
  <si>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</si>
  <si>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</si>
  <si>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</si>
  <si>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</si>
  <si>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</si>
  <si>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</si>
  <si>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</si>
  <si>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</si>
  <si>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</si>
  <si>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</si>
  <si>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</si>
  <si>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</si>
  <si>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</si>
  <si>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</si>
  <si>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</si>
  <si>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</si>
  <si>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</si>
  <si>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</si>
  <si>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</si>
  <si>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</si>
  <si>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</si>
  <si>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</si>
  <si>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</si>
  <si>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</si>
  <si>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</si>
  <si>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</si>
  <si>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</si>
  <si>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</si>
  <si>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</si>
  <si>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</si>
  <si>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</si>
  <si>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</si>
  <si>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</si>
  <si>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</si>
  <si>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</si>
  <si>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</si>
  <si>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</si>
  <si>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</si>
  <si>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</si>
  <si>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</si>
  <si>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</si>
  <si>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</si>
  <si>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</si>
  <si>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</si>
  <si>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</si>
  <si>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</si>
  <si>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</si>
  <si>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</si>
  <si>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</si>
  <si>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</si>
  <si>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</si>
  <si>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</si>
  <si>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</si>
  <si>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</si>
  <si>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</si>
  <si>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</si>
  <si>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</si>
  <si>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</si>
  <si>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</si>
  <si>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</si>
  <si>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</si>
  <si>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</si>
  <si>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</si>
  <si>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</si>
  <si>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</si>
  <si>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</si>
  <si>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</si>
  <si>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</si>
  <si>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</si>
  <si>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</si>
  <si>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</si>
  <si>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</si>
  <si>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</si>
  <si>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</si>
  <si>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</si>
  <si>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</si>
  <si>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</si>
  <si>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</si>
  <si>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</si>
  <si>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</si>
  <si>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</si>
  <si>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</si>
  <si>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</si>
  <si>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</si>
  <si>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</si>
  <si>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</si>
  <si>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</si>
  <si>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</si>
  <si>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</si>
  <si>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</si>
  <si>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</si>
  <si>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</si>
  <si>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</si>
  <si>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</si>
  <si>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</si>
  <si>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</si>
  <si>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</si>
  <si>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</si>
  <si>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</si>
  <si>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</si>
  <si>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</si>
  <si>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</si>
  <si>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</si>
  <si>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</si>
  <si>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</si>
  <si>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</si>
  <si>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</si>
  <si>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</si>
  <si>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</si>
  <si>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</si>
  <si>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</si>
  <si>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</si>
  <si>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</si>
  <si>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</si>
  <si>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</si>
  <si>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</si>
  <si>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</si>
  <si>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</si>
  <si>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</si>
  <si>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</si>
  <si>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</si>
  <si>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</si>
  <si>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</si>
  <si>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</si>
  <si>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</si>
  <si>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</si>
  <si>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</si>
  <si>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</si>
  <si>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</si>
  <si>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</si>
  <si>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</si>
  <si>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</si>
  <si>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</si>
  <si>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</si>
  <si>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</si>
  <si>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</si>
  <si>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</si>
  <si>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</si>
  <si>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</si>
  <si>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</si>
  <si>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</si>
  <si>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</si>
  <si>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</si>
  <si>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</si>
  <si>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</si>
  <si>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</si>
  <si>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</si>
  <si>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</si>
  <si>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</si>
  <si>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</si>
  <si>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</si>
  <si>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</si>
  <si>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</si>
  <si>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</si>
  <si>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</si>
  <si>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</si>
  <si>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</si>
  <si>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</si>
  <si>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</si>
  <si>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</si>
  <si>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</si>
  <si>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</si>
  <si>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</si>
  <si>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</si>
  <si>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</si>
  <si>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</si>
  <si>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</si>
  <si>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</si>
  <si>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</si>
  <si>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</si>
  <si>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</si>
  <si>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</si>
  <si>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</si>
  <si>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</si>
  <si>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</si>
  <si>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</si>
  <si>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</si>
  <si>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</si>
  <si>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</si>
  <si>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</si>
  <si>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</si>
  <si>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</si>
  <si>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</si>
  <si>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</si>
  <si>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</si>
  <si>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</si>
  <si>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</si>
  <si>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</si>
  <si>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</si>
  <si>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</si>
  <si>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</si>
  <si>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</si>
  <si>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</si>
  <si>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</si>
  <si>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</si>
  <si>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</si>
  <si>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</si>
  <si>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</si>
  <si>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</si>
  <si>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</si>
  <si>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</si>
  <si>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</si>
  <si>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</si>
  <si>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</si>
  <si>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</si>
  <si>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</si>
  <si>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</si>
  <si>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</si>
  <si>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</si>
  <si>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</si>
  <si>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</si>
  <si>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</si>
  <si>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</si>
  <si>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</si>
  <si>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</si>
  <si>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</si>
  <si>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</si>
  <si>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</si>
  <si>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</si>
  <si>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</si>
  <si>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</si>
  <si>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</si>
  <si>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</si>
  <si>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</si>
  <si>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</si>
  <si>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</si>
  <si>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</si>
  <si>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</si>
  <si>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</si>
  <si>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</si>
  <si>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</si>
  <si>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</si>
  <si>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</si>
  <si>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</si>
  <si>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</si>
  <si>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</si>
  <si>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</si>
  <si>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</si>
  <si>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</si>
  <si>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</si>
  <si>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</si>
  <si>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</si>
  <si>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</si>
  <si>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</si>
  <si>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</si>
  <si>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</si>
  <si>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</si>
  <si>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</si>
  <si>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</si>
  <si>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</si>
  <si>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</si>
  <si>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</si>
  <si>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</si>
  <si>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</si>
  <si>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</si>
  <si>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</si>
  <si>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</si>
  <si>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</si>
  <si>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</si>
  <si>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</si>
  <si>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</si>
  <si>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</si>
  <si>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</si>
  <si>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</si>
  <si>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</si>
  <si>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</si>
  <si>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</si>
  <si>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</si>
  <si>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</si>
  <si>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</si>
  <si>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</si>
  <si>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</si>
  <si>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</si>
  <si>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</si>
  <si>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</si>
  <si>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</si>
  <si>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</si>
  <si>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</si>
  <si>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</si>
  <si>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</si>
  <si>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</si>
  <si>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</si>
  <si>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</si>
  <si>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</si>
  <si>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</si>
  <si>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</si>
  <si>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</si>
  <si>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</si>
  <si>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</si>
  <si>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</si>
  <si>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</si>
  <si>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</si>
  <si>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</si>
  <si>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</si>
  <si>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</si>
  <si>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</si>
  <si>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</si>
  <si>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</si>
  <si>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</si>
  <si>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</si>
  <si>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</si>
  <si>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</si>
  <si>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</si>
  <si>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</si>
  <si>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</si>
  <si>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</si>
  <si>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</si>
  <si>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</si>
  <si>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</si>
  <si>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</si>
  <si>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</si>
  <si>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</si>
  <si>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</si>
  <si>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</si>
  <si>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</si>
  <si>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</si>
  <si>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</si>
  <si>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</si>
  <si>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</si>
  <si>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</si>
  <si>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</si>
  <si>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</si>
  <si>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</si>
  <si>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</si>
  <si>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</si>
  <si>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</si>
  <si>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</si>
  <si>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</si>
  <si>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</si>
  <si>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</si>
  <si>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</si>
  <si>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</si>
  <si>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</si>
  <si>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</si>
  <si>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</si>
  <si>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</si>
  <si>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</si>
  <si>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</si>
  <si>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</si>
  <si>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</si>
  <si>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</si>
  <si>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</si>
  <si>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</si>
  <si>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</si>
  <si>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</si>
  <si>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</si>
  <si>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</si>
  <si>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</si>
  <si>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</si>
  <si>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</si>
  <si>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</si>
  <si>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</si>
  <si>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</si>
  <si>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</si>
  <si>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</si>
  <si>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</si>
  <si>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</si>
  <si>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</si>
  <si>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</si>
  <si>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</si>
  <si>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</si>
  <si>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</si>
  <si>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</si>
  <si>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</si>
  <si>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</si>
  <si>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</si>
  <si>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</si>
  <si>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</si>
  <si>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</si>
  <si>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</si>
  <si>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</si>
  <si>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</si>
  <si>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</si>
  <si>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</si>
  <si>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</si>
  <si>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</si>
  <si>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</si>
  <si>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</si>
  <si>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</si>
  <si>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</si>
  <si>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</si>
  <si>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</si>
  <si>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</si>
  <si>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</si>
  <si>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</si>
  <si>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</si>
  <si>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</si>
  <si>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</si>
  <si>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</si>
  <si>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</si>
  <si>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</si>
  <si>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</si>
  <si>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</si>
  <si>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</si>
  <si>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</si>
  <si>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</si>
  <si>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</si>
  <si>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</si>
  <si>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</si>
  <si>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</si>
  <si>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</si>
  <si>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</si>
  <si>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</si>
  <si>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</si>
  <si>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</si>
  <si>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</si>
  <si>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</si>
  <si>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</si>
  <si>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</si>
  <si>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</si>
  <si>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</si>
  <si>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</si>
  <si>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</si>
  <si>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</si>
  <si>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</si>
  <si>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</si>
  <si>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</si>
  <si>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</si>
  <si>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</si>
  <si>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</si>
  <si>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</si>
  <si>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</si>
  <si>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</si>
  <si>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</si>
  <si>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</si>
  <si>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</si>
  <si>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</si>
  <si>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</si>
  <si>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</si>
  <si>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</si>
  <si>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</si>
  <si>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</si>
  <si>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</si>
  <si>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</si>
  <si>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</si>
  <si>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</si>
  <si>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</si>
  <si>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</si>
  <si>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</si>
  <si>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</si>
  <si>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</si>
  <si>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</si>
  <si>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</si>
  <si>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</si>
  <si>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</si>
  <si>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</si>
  <si>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</si>
  <si>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</si>
  <si>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</si>
  <si>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</si>
  <si>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</si>
  <si>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</si>
  <si>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</si>
  <si>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</si>
  <si>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</si>
  <si>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</si>
  <si>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</si>
  <si>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</si>
  <si>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</si>
  <si>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</si>
  <si>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</si>
  <si>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</si>
  <si>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</si>
  <si>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</si>
  <si>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</si>
  <si>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</si>
  <si>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</si>
  <si>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</si>
  <si>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</si>
  <si>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</si>
  <si>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</si>
  <si>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</si>
  <si>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</si>
  <si>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</si>
  <si>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</si>
  <si>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</si>
  <si>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</si>
  <si>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</si>
  <si>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</si>
  <si>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</si>
  <si>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</si>
  <si>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</si>
  <si>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</si>
  <si>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</si>
  <si>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</si>
  <si>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</si>
  <si>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</si>
  <si>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</si>
  <si>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</si>
  <si>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</si>
  <si>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</si>
  <si>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</si>
  <si>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</si>
  <si>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</si>
  <si>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</si>
  <si>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</si>
  <si>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</si>
  <si>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</si>
  <si>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</si>
  <si>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</si>
  <si>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</si>
  <si>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</si>
  <si>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</si>
  <si>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</si>
  <si>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</si>
  <si>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</si>
  <si>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</si>
  <si>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</si>
  <si>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</si>
  <si>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</si>
  <si>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</si>
  <si>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</si>
  <si>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</si>
  <si>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</si>
  <si>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</si>
  <si>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</si>
  <si>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</si>
  <si>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</si>
  <si>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</si>
  <si>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</si>
  <si>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</si>
  <si>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</si>
  <si>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</si>
  <si>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</si>
  <si>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</si>
  <si>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</si>
  <si>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</si>
  <si>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</si>
  <si>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</si>
  <si>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</si>
  <si>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</si>
  <si>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</si>
  <si>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</si>
  <si>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</si>
  <si>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</si>
  <si>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</si>
  <si>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</si>
  <si>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</si>
  <si>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</si>
  <si>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</si>
  <si>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</si>
  <si>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</si>
  <si>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</si>
  <si>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</si>
  <si>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</si>
  <si>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</si>
  <si>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</si>
  <si>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</si>
  <si>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</si>
  <si>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</si>
  <si>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</si>
  <si>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</si>
  <si>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</si>
  <si>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</si>
  <si>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</si>
  <si>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</si>
  <si>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</si>
  <si>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</si>
  <si>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</si>
  <si>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</si>
  <si>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</si>
  <si>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</si>
  <si>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</si>
  <si>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</si>
  <si>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</si>
  <si>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</si>
  <si>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</si>
  <si>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</si>
  <si>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</si>
  <si>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</si>
  <si>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</si>
  <si>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</si>
  <si>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</si>
  <si>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</si>
  <si>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</si>
  <si>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</si>
  <si>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</si>
  <si>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</si>
  <si>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</si>
  <si>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</si>
  <si>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</si>
  <si>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</si>
  <si>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</si>
  <si>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</si>
  <si>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</si>
  <si>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</si>
  <si>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</si>
  <si>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</si>
  <si>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</si>
  <si>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</si>
  <si>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</si>
  <si>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</si>
  <si>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</si>
  <si>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</si>
  <si>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</si>
  <si>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</si>
  <si>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</si>
  <si>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</si>
  <si>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</si>
  <si>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</si>
  <si>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</si>
  <si>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</si>
  <si>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</si>
  <si>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</si>
  <si>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</si>
  <si>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</si>
  <si>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</si>
  <si>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</si>
  <si>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</si>
  <si>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</si>
  <si>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</si>
  <si>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</si>
  <si>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</si>
  <si>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</si>
  <si>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</si>
  <si>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</si>
  <si>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</si>
  <si>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</si>
  <si>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</si>
  <si>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</si>
  <si>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</si>
  <si>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</si>
  <si>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</si>
  <si>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</si>
  <si>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</si>
  <si>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</si>
  <si>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</si>
  <si>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</si>
  <si>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</si>
  <si>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</si>
  <si>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</si>
  <si>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</si>
  <si>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</si>
  <si>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</si>
  <si>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</si>
  <si>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</si>
  <si>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</si>
  <si>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</si>
  <si>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</si>
  <si>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</si>
  <si>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</si>
  <si>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</si>
  <si>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</si>
  <si>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</si>
  <si>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</si>
  <si>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</si>
  <si>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</si>
  <si>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</si>
  <si>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</si>
  <si>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</si>
  <si>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</si>
  <si>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</si>
  <si>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</si>
  <si>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</si>
  <si>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</si>
  <si>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</si>
  <si>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</si>
  <si>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</si>
  <si>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</si>
  <si>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</si>
  <si>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</si>
  <si>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</si>
  <si>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</si>
  <si>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</si>
  <si>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</si>
  <si>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</si>
  <si>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</si>
  <si>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</si>
  <si>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</si>
  <si>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</si>
  <si>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</si>
  <si>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</si>
  <si>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</si>
  <si>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</si>
  <si>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</si>
  <si>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</si>
  <si>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</si>
  <si>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</si>
  <si>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</si>
  <si>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</si>
  <si>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</si>
  <si>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</si>
  <si>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</si>
  <si>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</si>
  <si>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</si>
  <si>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</si>
  <si>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</si>
  <si>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</si>
  <si>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</si>
  <si>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</si>
  <si>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</si>
  <si>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</si>
  <si>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</si>
  <si>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</si>
  <si>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</si>
  <si>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</si>
  <si>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</si>
  <si>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</si>
  <si>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</si>
  <si>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</si>
  <si>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</si>
  <si>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</si>
  <si>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</si>
  <si>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</si>
  <si>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</si>
  <si>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</si>
  <si>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</si>
  <si>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</si>
  <si>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</si>
  <si>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</si>
  <si>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</si>
  <si>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</si>
  <si>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</si>
  <si>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</si>
  <si>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</si>
  <si>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</si>
  <si>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</si>
  <si>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</si>
  <si>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</si>
  <si>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</si>
  <si>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</si>
  <si>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</si>
  <si>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</si>
  <si>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</si>
  <si>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</si>
  <si>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</si>
  <si>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</si>
  <si>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</si>
  <si>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</si>
  <si>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</si>
  <si>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</si>
  <si>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</si>
  <si>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</si>
  <si>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</si>
  <si>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</si>
  <si>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</si>
  <si>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</si>
  <si>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</si>
  <si>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</si>
  <si>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</si>
  <si>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</si>
  <si>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</si>
  <si>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</si>
  <si>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</si>
  <si>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</si>
  <si>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</si>
  <si>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</si>
  <si>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</si>
  <si>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</si>
  <si>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</si>
  <si>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</si>
  <si>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</si>
  <si>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</si>
  <si>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</si>
  <si>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</si>
  <si>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</si>
  <si>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</si>
  <si>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</si>
  <si>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</si>
  <si>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</si>
  <si>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</si>
  <si>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</si>
  <si>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</si>
  <si>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</si>
  <si>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</si>
  <si>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</si>
  <si>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</si>
  <si>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</si>
  <si>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</si>
  <si>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</si>
  <si>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</si>
  <si>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</si>
  <si>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</si>
  <si>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</si>
  <si>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</si>
  <si>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</si>
  <si>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</si>
  <si>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</si>
  <si>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</si>
  <si>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</si>
  <si>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</si>
  <si>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</si>
  <si>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</si>
  <si>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</si>
  <si>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</si>
  <si>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</si>
  <si>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</si>
  <si>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</si>
  <si>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</si>
  <si>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</si>
  <si>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</si>
  <si>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</si>
  <si>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</si>
  <si>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</si>
  <si>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</si>
  <si>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</si>
  <si>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</si>
  <si>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</si>
  <si>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</si>
  <si>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</si>
  <si>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</si>
  <si>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</si>
  <si>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</si>
  <si>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</si>
  <si>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</si>
  <si>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</si>
  <si>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</si>
  <si>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</si>
  <si>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</si>
  <si>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</si>
  <si>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</si>
  <si>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</si>
  <si>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</si>
  <si>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</si>
  <si>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</si>
  <si>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</si>
  <si>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</si>
  <si>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</si>
  <si>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</si>
  <si>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</si>
  <si>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</si>
  <si>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</si>
  <si>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</si>
  <si>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</si>
  <si>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</si>
  <si>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</si>
  <si>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</si>
  <si>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</si>
  <si>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</si>
  <si>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</si>
  <si>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</si>
  <si>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</si>
  <si>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</si>
  <si>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</si>
  <si>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</si>
  <si>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</si>
  <si>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</si>
  <si>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</si>
  <si>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</si>
  <si>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</si>
  <si>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</si>
  <si>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</si>
  <si>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</si>
  <si>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</si>
  <si>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</si>
  <si>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</si>
  <si>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</si>
  <si>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</si>
  <si>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</si>
  <si>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</si>
  <si>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</si>
  <si>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</si>
  <si>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</si>
  <si>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</si>
  <si>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</si>
  <si>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</si>
  <si>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</si>
  <si>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</si>
  <si>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</si>
  <si>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</si>
  <si>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</si>
  <si>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</si>
  <si>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</si>
  <si>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</si>
  <si>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</si>
  <si>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</si>
  <si>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</si>
  <si>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</si>
  <si>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</si>
  <si>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</si>
  <si>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</si>
  <si>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</si>
  <si>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</si>
  <si>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</si>
  <si>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</si>
  <si>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</si>
  <si>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</si>
  <si>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</si>
  <si>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</si>
  <si>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</si>
  <si>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</si>
  <si>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</si>
  <si>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</si>
  <si>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</si>
  <si>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</si>
  <si>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</si>
  <si>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</si>
  <si>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</si>
  <si>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</si>
  <si>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</si>
  <si>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</si>
  <si>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</si>
  <si>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</si>
  <si>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</si>
  <si>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</si>
  <si>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</si>
  <si>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</si>
  <si>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</si>
  <si>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</si>
  <si>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</si>
  <si>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</si>
  <si>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</si>
  <si>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</si>
  <si>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</si>
  <si>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</si>
  <si>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</si>
  <si>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</si>
  <si>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</si>
  <si>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</si>
  <si>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</si>
  <si>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</si>
  <si>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</si>
  <si>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</si>
  <si>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</si>
  <si>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</si>
  <si>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</si>
  <si>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</si>
  <si>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</si>
  <si>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</si>
  <si>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</si>
  <si>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</si>
  <si>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</si>
  <si>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</si>
  <si>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</si>
  <si>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</si>
  <si>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</si>
  <si>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</si>
  <si>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</si>
  <si>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</si>
  <si>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</si>
  <si>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</si>
  <si>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</si>
  <si>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</si>
  <si>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</si>
  <si>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</si>
  <si>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</si>
  <si>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</si>
  <si>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</si>
  <si>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</si>
  <si>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</si>
  <si>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</si>
  <si>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</si>
  <si>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</si>
  <si>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</si>
  <si>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</si>
  <si>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</si>
  <si>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</si>
  <si>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</si>
  <si>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</si>
  <si>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</si>
  <si>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</si>
  <si>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</si>
  <si>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</si>
  <si>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</si>
  <si>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</si>
  <si>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</si>
  <si>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</si>
  <si>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</si>
  <si>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</si>
  <si>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</si>
  <si>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</si>
  <si>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</si>
  <si>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</si>
  <si>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</si>
  <si>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</si>
  <si>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</si>
  <si>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</si>
  <si>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</si>
  <si>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</si>
  <si>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</si>
  <si>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</si>
  <si>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</si>
  <si>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</si>
  <si>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</si>
  <si>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</si>
  <si>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</si>
  <si>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</si>
  <si>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</si>
  <si>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</si>
  <si>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</si>
  <si>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</si>
  <si>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</si>
  <si>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</si>
  <si>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</si>
  <si>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</si>
  <si>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</si>
  <si>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</si>
  <si>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</si>
  <si>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</si>
  <si>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</si>
  <si>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</si>
  <si>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</si>
  <si>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</si>
  <si>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</si>
  <si>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</si>
  <si>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</si>
  <si>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</si>
  <si>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</si>
  <si>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</si>
  <si>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</si>
  <si>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</si>
  <si>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</si>
  <si>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</si>
  <si>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</si>
  <si>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</si>
  <si>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</si>
  <si>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</si>
  <si>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</si>
  <si>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</si>
  <si>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</si>
  <si>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</si>
  <si>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</si>
  <si>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</si>
  <si>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</si>
  <si>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</si>
  <si>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</si>
  <si>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</si>
  <si>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</si>
  <si>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</si>
  <si>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</si>
  <si>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</si>
  <si>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</si>
  <si>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</si>
  <si>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</si>
  <si>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</si>
  <si>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</si>
  <si>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</si>
  <si>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</si>
  <si>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</si>
  <si>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</si>
  <si>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</si>
  <si>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</si>
  <si>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</si>
  <si>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</si>
  <si>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</si>
  <si>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</si>
  <si>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</si>
  <si>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</si>
  <si>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</si>
  <si>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</si>
  <si>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</si>
  <si>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</si>
  <si>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</si>
  <si>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</si>
  <si>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</si>
  <si>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</si>
  <si>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</si>
  <si>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</si>
  <si>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</si>
  <si>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</si>
  <si>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</si>
  <si>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</si>
  <si>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</si>
  <si>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</si>
  <si>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</si>
  <si>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</si>
  <si>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</si>
  <si>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</si>
  <si>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</si>
  <si>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</si>
  <si>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</si>
  <si>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</si>
  <si>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</si>
  <si>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</si>
  <si>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</si>
  <si>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</si>
  <si>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</si>
  <si>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</si>
  <si>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</si>
  <si>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</si>
  <si>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</si>
  <si>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</si>
  <si>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</si>
  <si>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</si>
  <si>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</si>
  <si>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</si>
  <si>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</si>
  <si>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</si>
  <si>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</si>
  <si>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</si>
  <si>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</si>
  <si>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</si>
  <si>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</si>
  <si>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</si>
  <si>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</si>
  <si>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</si>
  <si>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</si>
  <si>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</si>
  <si>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</si>
  <si>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</si>
  <si>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</si>
  <si>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</si>
  <si>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</si>
  <si>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</si>
  <si>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</si>
  <si>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</si>
  <si>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</si>
  <si>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</si>
  <si>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</si>
  <si>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</si>
  <si>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</si>
  <si>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</si>
  <si>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</si>
  <si>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</si>
  <si>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</si>
  <si>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</si>
  <si>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</si>
  <si>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</si>
  <si>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</si>
  <si>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</si>
  <si>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</si>
  <si>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</si>
  <si>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</si>
  <si>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</si>
  <si>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</si>
  <si>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</si>
  <si>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</si>
  <si>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</si>
  <si>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</si>
  <si>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</si>
  <si>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</si>
  <si>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</si>
  <si>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</si>
  <si>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</si>
  <si>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</si>
  <si>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</si>
  <si>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</si>
  <si>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</si>
  <si>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</si>
  <si>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</si>
  <si>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</si>
  <si>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</si>
  <si>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</si>
  <si>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</si>
  <si>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</si>
  <si>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</si>
  <si>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</si>
  <si>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</si>
  <si>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</si>
  <si>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</si>
  <si>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</si>
  <si>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</si>
  <si>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</si>
  <si>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</si>
  <si>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</si>
  <si>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</si>
  <si>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</si>
  <si>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</si>
  <si>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</si>
  <si>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</si>
  <si>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</si>
  <si>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</si>
  <si>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</si>
  <si>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</si>
  <si>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</si>
  <si>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</si>
  <si>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</si>
  <si>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</si>
  <si>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</si>
  <si>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</si>
  <si>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</si>
  <si>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</si>
  <si>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</si>
  <si>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</si>
  <si>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</si>
  <si>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</si>
  <si>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</si>
  <si>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</si>
  <si>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</si>
  <si>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</si>
  <si>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</si>
  <si>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</si>
  <si>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</si>
  <si>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</si>
  <si>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</si>
  <si>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</si>
  <si>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</si>
  <si>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</si>
  <si>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</si>
  <si>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</si>
  <si>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</si>
  <si>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</si>
  <si>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</si>
  <si>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</si>
  <si>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</si>
  <si>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</si>
  <si>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</si>
  <si>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</si>
  <si>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</si>
  <si>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</si>
  <si>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</si>
  <si>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</si>
  <si>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</si>
  <si>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</si>
  <si>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</si>
  <si>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</si>
  <si>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</si>
  <si>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</si>
  <si>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</si>
  <si>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</si>
  <si>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</si>
  <si>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</si>
  <si>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</si>
  <si>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</si>
  <si>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</si>
  <si>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</si>
  <si>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</si>
  <si>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</si>
  <si>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</si>
  <si>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</si>
  <si>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</si>
  <si>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</si>
  <si>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</si>
  <si>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</si>
  <si>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</si>
  <si>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</si>
  <si>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</si>
  <si>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</si>
  <si>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</si>
  <si>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</si>
  <si>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</si>
  <si>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</si>
  <si>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</si>
  <si>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</si>
  <si>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</si>
  <si>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</si>
  <si>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</si>
  <si>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</si>
  <si>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</si>
  <si>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</si>
  <si>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</si>
  <si>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</si>
  <si>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</si>
  <si>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</si>
  <si>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</si>
  <si>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</si>
  <si>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</si>
  <si>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</si>
  <si>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</si>
  <si>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</si>
  <si>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</si>
  <si>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</si>
  <si>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</si>
  <si>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</si>
  <si>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</si>
  <si>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</si>
  <si>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</si>
  <si>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</si>
  <si>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</si>
  <si>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</si>
  <si>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</si>
  <si>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</si>
  <si>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</si>
  <si>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</si>
  <si>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</si>
  <si>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</si>
  <si>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</si>
  <si>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</si>
  <si>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</si>
  <si>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</si>
  <si>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</si>
  <si>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</si>
  <si>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</si>
  <si>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</si>
  <si>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</si>
  <si>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</si>
  <si>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</si>
  <si>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</si>
  <si>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</si>
  <si>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</si>
  <si>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</si>
  <si>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</si>
  <si>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</si>
  <si>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</si>
  <si>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</si>
  <si>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</si>
  <si>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</si>
  <si>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</si>
  <si>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</si>
  <si>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</si>
  <si>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</si>
  <si>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</si>
  <si>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</si>
  <si>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</si>
  <si>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</si>
  <si>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</si>
  <si>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</si>
  <si>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</si>
  <si>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</si>
  <si>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</si>
  <si>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</si>
  <si>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</si>
  <si>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</si>
  <si>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</si>
  <si>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</si>
  <si>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</si>
  <si>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</si>
  <si>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</si>
  <si>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</si>
  <si>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</si>
  <si>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</si>
  <si>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</si>
  <si>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</si>
  <si>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</si>
  <si>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</si>
  <si>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</si>
  <si>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</si>
  <si>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</si>
  <si>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</si>
  <si>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</si>
  <si>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</si>
  <si>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</si>
  <si>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</si>
  <si>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</si>
  <si>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</si>
  <si>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</si>
  <si>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</si>
  <si>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</si>
  <si>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</si>
  <si>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</si>
  <si>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</si>
  <si>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</si>
  <si>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</si>
  <si>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</si>
  <si>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</si>
  <si>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</si>
  <si>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</si>
  <si>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</si>
  <si>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</si>
  <si>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</si>
  <si>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</si>
  <si>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</si>
  <si>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</si>
  <si>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</si>
  <si>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</si>
  <si>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</si>
  <si>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</si>
  <si>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</si>
  <si>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</si>
  <si>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</si>
  <si>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</si>
  <si>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</si>
  <si>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</si>
  <si>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</si>
  <si>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</si>
  <si>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</si>
  <si>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</si>
  <si>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</si>
  <si>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</si>
  <si>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</si>
  <si>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</si>
  <si>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</si>
  <si>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</si>
  <si>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</si>
  <si>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</si>
  <si>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</si>
  <si>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</si>
  <si>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</si>
  <si>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</si>
  <si>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</si>
  <si>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</si>
  <si>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</si>
  <si>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</si>
  <si>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</si>
  <si>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</si>
  <si>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</si>
  <si>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</si>
  <si>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</si>
  <si>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</si>
  <si>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</si>
  <si>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</si>
  <si>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</si>
  <si>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</si>
  <si>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</si>
  <si>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</si>
  <si>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</si>
  <si>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</si>
  <si>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</si>
  <si>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</si>
  <si>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</si>
  <si>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</si>
  <si>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</si>
  <si>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</si>
  <si>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</si>
  <si>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</si>
  <si>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</si>
  <si>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</si>
  <si>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</si>
  <si>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</si>
  <si>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</si>
  <si>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</si>
  <si>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</si>
  <si>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</si>
  <si>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</si>
  <si>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</si>
  <si>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</si>
  <si>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</si>
  <si>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</si>
  <si>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</si>
  <si>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</si>
  <si>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</si>
  <si>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</si>
  <si>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</si>
  <si>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</si>
  <si>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</si>
  <si>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</si>
  <si>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</si>
  <si>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</si>
  <si>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</si>
  <si>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</si>
  <si>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</si>
  <si>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</si>
  <si>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</si>
  <si>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</si>
  <si>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</si>
  <si>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</si>
  <si>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</si>
  <si>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</si>
  <si>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</si>
  <si>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</si>
  <si>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</si>
  <si>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</si>
  <si>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</si>
  <si>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</si>
  <si>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</si>
  <si>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</si>
  <si>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</si>
  <si>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</si>
  <si>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</si>
  <si>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</si>
  <si>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</si>
  <si>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</si>
  <si>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</si>
  <si>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</si>
  <si>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</si>
  <si>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</si>
  <si>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</si>
  <si>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</si>
  <si>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</si>
  <si>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</si>
  <si>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</si>
  <si>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</si>
  <si>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</si>
  <si>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</si>
  <si>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</si>
  <si>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</si>
  <si>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</si>
  <si>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</si>
  <si>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</si>
  <si>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</si>
  <si>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</si>
  <si>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</si>
  <si>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</si>
  <si>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</si>
  <si>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</si>
  <si>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</si>
  <si>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</si>
  <si>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</si>
  <si>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</si>
  <si>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</si>
  <si>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</si>
  <si>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</si>
  <si>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</si>
  <si>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</si>
  <si>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</si>
  <si>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</si>
  <si>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</si>
  <si>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</si>
  <si>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</si>
  <si>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</si>
  <si>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</si>
  <si>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</si>
  <si>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</si>
  <si>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</si>
  <si>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</si>
  <si>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</si>
  <si>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</si>
  <si>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</si>
  <si>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</si>
  <si>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</si>
  <si>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</si>
  <si>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</si>
  <si>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</si>
  <si>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</si>
  <si>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</si>
  <si>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</si>
  <si>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</si>
  <si>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</si>
  <si>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</si>
  <si>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</si>
  <si>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</si>
  <si>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</si>
  <si>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</si>
  <si>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</si>
  <si>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</si>
  <si>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</si>
  <si>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</si>
  <si>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</si>
  <si>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</si>
  <si>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</si>
  <si>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</si>
  <si>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</si>
  <si>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</si>
  <si>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</si>
  <si>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</si>
  <si>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</si>
  <si>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</si>
  <si>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</si>
  <si>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</si>
  <si>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</si>
  <si>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</si>
  <si>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</si>
  <si>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</si>
  <si>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</si>
  <si>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</si>
  <si>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</si>
  <si>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</si>
  <si>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</si>
  <si>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</si>
  <si>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</si>
  <si>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</si>
  <si>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</si>
  <si>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</si>
  <si>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</si>
  <si>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</si>
  <si>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</si>
  <si>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</si>
  <si>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</si>
  <si>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</si>
  <si>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</si>
  <si>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</si>
  <si>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</si>
  <si>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</si>
  <si>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</si>
  <si>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</si>
  <si>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</si>
  <si>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</si>
  <si>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</si>
  <si>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</si>
  <si>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</si>
  <si>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</si>
  <si>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</si>
  <si>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</si>
  <si>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</si>
  <si>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</si>
  <si>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</si>
  <si>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</si>
  <si>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</si>
  <si>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</si>
  <si>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</si>
  <si>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</si>
  <si>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</si>
  <si>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</si>
  <si>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</si>
  <si>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</si>
  <si>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</si>
  <si>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</si>
  <si>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</si>
  <si>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</si>
  <si>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</si>
  <si>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</si>
  <si>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</si>
  <si>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</si>
  <si>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</si>
  <si>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</si>
  <si>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</si>
  <si>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</si>
  <si>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</si>
  <si>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</si>
  <si>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</si>
  <si>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</si>
  <si>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</si>
  <si>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</si>
  <si>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</si>
  <si>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</si>
  <si>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</si>
  <si>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</si>
  <si>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</si>
  <si>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</si>
  <si>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</si>
  <si>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</si>
  <si>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</si>
  <si>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</si>
  <si>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</si>
  <si>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</si>
  <si>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</si>
  <si>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</si>
  <si>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</si>
  <si>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</si>
  <si>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</si>
  <si>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</si>
  <si>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</si>
  <si>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</si>
  <si>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</si>
  <si>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</si>
  <si>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</si>
  <si>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</si>
  <si>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</si>
  <si>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</si>
  <si>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UniTCDF: Gestão Pública (Fernanda e Túlio)</t>
  </si>
  <si>
    <t>UniTCDF: Gestão Pública (Passou)</t>
  </si>
  <si>
    <t>UniTCDF: Engenharia civil (Seinfra)</t>
  </si>
  <si>
    <t>UniTCDF: Engenharia civil (Adriana)</t>
  </si>
  <si>
    <t>UniTCDF: Gestão Pública (Novos)</t>
  </si>
  <si>
    <t>UniTCDF: Direito (Novos)</t>
  </si>
  <si>
    <t>Visita dos Filhos ao trabalho</t>
  </si>
  <si>
    <t>UniTCDF: Visita da FGV</t>
  </si>
  <si>
    <t>Exibição de filme: Consciência Negra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</si>
</sst>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6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6" fillId="0" borderId="0" xfId="0" applyFont="1"/>
    <xf numFmtId="0" fontId="57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8" fillId="0" borderId="0" xfId="0" applyFont="1" applyBorder="1" applyAlignment="1">
      <alignment horizontal="center" vertical="center"/>
    </xf>
    <xf numFmtId="0" fontId="48" fillId="0" borderId="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horizontal="center" vertical="center"/>
    </xf>
    <xf numFmtId="170" fontId="31" fillId="0" borderId="1" xfId="0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Fill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170" fontId="31" fillId="0" borderId="2" xfId="0" applyNumberFormat="1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4" fontId="31" fillId="0" borderId="2" xfId="0" applyNumberFormat="1" applyFont="1" applyFill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94"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alignment horizontal="left"/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93"/>
      <tableStyleElement type="firstRowStripe" dxfId="92"/>
      <tableStyleElement type="secondRowStripe" dxfId="91"/>
    </tableStyle>
    <tableStyle name="Ações InCompany-style" pivot="0" count="3" xr9:uid="{00000000-0011-0000-FFFF-FFFF01000000}">
      <tableStyleElement type="headerRow" dxfId="90"/>
      <tableStyleElement type="firstRowStripe" dxfId="89"/>
      <tableStyleElement type="secondRowStripe" dxfId="88"/>
    </tableStyle>
    <tableStyle name="Coffee Break-style" pivot="0" count="3" xr9:uid="{00000000-0011-0000-FFFF-FFFF02000000}">
      <tableStyleElement type="headerRow" dxfId="87"/>
      <tableStyleElement type="firstRowStripe" dxfId="86"/>
      <tableStyleElement type="secondRowStripe" dxfId="85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67" dataDxfId="66" totalsRowDxfId="65" totalsRowBorderDxfId="64">
  <autoFilter ref="A1:T2007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E1:E2001"/>
  </sortState>
  <tableColumns count="20">
    <tableColumn id="1" xr3:uid="{022FA08A-515E-453B-85A4-E200B40364EE}" name="ID" dataDxfId="62" totalsRowDxfId="63"/>
    <tableColumn id="2" xr3:uid="{19532738-24D5-4BD5-BE04-C19DCC5894A1}" name="Ano" dataDxfId="60" totalsRowDxfId="61"/>
    <tableColumn id="3" xr3:uid="{8DE0B36A-F0DC-47A1-A74E-F4BE63A4FB1D}" name="Status Evento" dataDxfId="58" totalsRowDxfId="59"/>
    <tableColumn id="4" xr3:uid="{C1159FBD-CCD0-4CA2-BB8C-598E3AB5DDD8}" name="Processo" dataDxfId="56" totalsRowDxfId="57"/>
    <tableColumn id="5" xr3:uid="{A32670A4-BE4F-480D-8DE9-8FF18024C829}" name="Curso" dataDxfId="54" totalsRowDxfId="55"/>
    <tableColumn id="8" xr3:uid="{905DEA0A-D099-47EA-972D-1012D71C7792}" name="Público-Alvo" dataDxfId="52" totalsRowDxfId="53"/>
    <tableColumn id="9" xr3:uid="{7DC0A0BE-8030-47CA-AF56-2C13C9FF7AE5}" name="Programa" dataDxfId="50" totalsRowDxfId="51"/>
    <tableColumn id="11" xr3:uid="{2B799ACD-69E4-46A5-9A4F-F7E3D7A47CE9}" name="Data TXT" dataDxfId="48" totalsRowDxfId="49"/>
    <tableColumn id="12" xr3:uid="{62016C67-3729-4C41-B72D-09D6616B7474}" name="Início" dataDxfId="46" totalsRowDxfId="47"/>
    <tableColumn id="13" xr3:uid="{E4F20518-0042-40C0-B590-B7616F2843A5}" name="Término" dataDxfId="44" totalsRowDxfId="45"/>
    <tableColumn id="14" xr3:uid="{4D6C4412-CFEE-4506-830E-F79FD008371B}" name="Modalidade" dataDxfId="42" totalsRowDxfId="43"/>
    <tableColumn id="15" xr3:uid="{12EC931A-E71B-4AEB-B20B-0F9EA63D0C71}" name="Valor instrutoria" dataDxfId="40" totalsRowDxfId="41" dataCellStyle="Moeda"/>
    <tableColumn id="17" xr3:uid="{8FCDFADA-4FA3-41E0-86FF-E623116BAFEB}" name="Nota Av. Reação" dataDxfId="38" totalsRowDxfId="39"/>
    <tableColumn id="19" xr3:uid="{316EB379-BB97-4F60-9566-576B25A26B0E}" name="Qtd Vagas" dataDxfId="36" totalsRowDxfId="37"/>
    <tableColumn id="20" xr3:uid="{59A9FB16-6726-411C-88B5-8165DD520DA3}" name="P. Servidores" dataDxfId="34" totalsRowDxfId="35"/>
    <tableColumn id="21" xr3:uid="{0246E091-ADCD-4F62-8F95-84B21E8A7BE1}" name="P. Jurisdicionados" dataDxfId="32" totalsRowDxfId="33"/>
    <tableColumn id="22" xr3:uid="{1B6DBD6D-C072-4600-81C1-69D6F4422D7D}" name="P. Sociedade" dataDxfId="30" totalsRowDxfId="31"/>
    <tableColumn id="23" xr3:uid="{109F7E4E-776C-4249-88BE-FEC3A375D7D9}" name="Total Part." dataDxfId="28" totalsRowDxfId="29"/>
    <tableColumn id="24" xr3:uid="{C67AA4C6-834C-4EBB-839B-EF0CDD50F649}" name="C.H." dataDxfId="26" totalsRowDxfId="27"/>
    <tableColumn id="26" xr3:uid="{973608F6-3E97-493C-AC61-980F73C13CD6}" name="Instrutor" dataDxfId="24" totalsRowDxfId="2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8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D1" zoomScale="120" zoomScaleNormal="120" workbookViewId="0">
      <pane ySplit="1" topLeftCell="A712" activePane="bottomLeft" state="frozen"/>
      <selection pane="bottomLeft" activeCell="E2006" sqref="E200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1.28515625" style="1" bestFit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2868</v>
      </c>
      <c r="B657" s="127">
        <v>2026</v>
      </c>
      <c r="C657" s="183" t="s">
        <v>2774</v>
      </c>
      <c r="D657" s="183" t="s">
        <v>2869</v>
      </c>
      <c r="E657" s="184" t="s">
        <v>2870</v>
      </c>
      <c r="F657" s="185" t="s">
        <v>69</v>
      </c>
      <c r="G657" s="186" t="s">
        <v>79</v>
      </c>
      <c r="H657" s="191" t="s">
        <v>2871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2872</v>
      </c>
    </row>
    <row r="658" spans="1:20" ht="15" x14ac:dyDescent="0.25">
      <c r="A658" s="191" t="s">
        <v>2835</v>
      </c>
      <c r="B658" s="127">
        <v>2026</v>
      </c>
      <c r="C658" s="127" t="s">
        <v>22</v>
      </c>
      <c r="D658" s="173" t="s">
        <v>2836</v>
      </c>
      <c r="E658" s="162" t="s">
        <v>2837</v>
      </c>
      <c r="F658" s="129" t="s">
        <v>69</v>
      </c>
      <c r="G658" s="174" t="s">
        <v>2702</v>
      </c>
      <c r="H658" s="175" t="s">
        <v>2838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2773</v>
      </c>
      <c r="B659" s="127">
        <v>2026</v>
      </c>
      <c r="C659" s="183" t="s">
        <v>2774</v>
      </c>
      <c r="D659" s="183" t="s">
        <v>2775</v>
      </c>
      <c r="E659" s="184" t="s">
        <v>2776</v>
      </c>
      <c r="F659" s="185" t="s">
        <v>24</v>
      </c>
      <c r="G659" s="186" t="s">
        <v>2728</v>
      </c>
      <c r="H659" s="191" t="s">
        <v>2777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2909</v>
      </c>
      <c r="B660" s="127">
        <v>2026</v>
      </c>
      <c r="C660" s="183" t="s">
        <v>2774</v>
      </c>
      <c r="D660" s="183" t="s">
        <v>2910</v>
      </c>
      <c r="E660" s="184" t="s">
        <v>2911</v>
      </c>
      <c r="F660" s="185" t="s">
        <v>24</v>
      </c>
      <c r="G660" s="186" t="s">
        <v>206</v>
      </c>
      <c r="H660" s="191" t="s">
        <v>2912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2913</v>
      </c>
    </row>
    <row r="661" spans="1:20" ht="15" x14ac:dyDescent="0.25">
      <c r="A661" s="137" t="s">
        <v>2686</v>
      </c>
      <c r="B661" s="127">
        <v>2026</v>
      </c>
      <c r="C661" s="127" t="s">
        <v>22</v>
      </c>
      <c r="D661" s="127" t="s">
        <v>2687</v>
      </c>
      <c r="E661" s="128" t="s">
        <v>2138</v>
      </c>
      <c r="F661" s="129" t="s">
        <v>69</v>
      </c>
      <c r="G661" s="130" t="s">
        <v>79</v>
      </c>
      <c r="H661" s="131" t="s">
        <v>2688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2950</v>
      </c>
      <c r="B662" s="127">
        <v>2026</v>
      </c>
      <c r="C662" s="183" t="s">
        <v>2774</v>
      </c>
      <c r="D662" s="183" t="s">
        <v>2951</v>
      </c>
      <c r="E662" s="184" t="s">
        <v>2952</v>
      </c>
      <c r="F662" s="185" t="s">
        <v>69</v>
      </c>
      <c r="G662" s="186" t="s">
        <v>79</v>
      </c>
      <c r="H662" s="191" t="s">
        <v>2777</v>
      </c>
      <c r="I662" s="192" t="s">
        <v>2953</v>
      </c>
      <c r="J662" s="192" t="s">
        <v>2954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2955</v>
      </c>
    </row>
    <row r="663" spans="1:20" ht="15" x14ac:dyDescent="0.25">
      <c r="A663" s="191" t="s">
        <v>2924</v>
      </c>
      <c r="B663" s="127">
        <v>2026</v>
      </c>
      <c r="C663" s="164" t="s">
        <v>2774</v>
      </c>
      <c r="D663" s="127" t="s">
        <v>2925</v>
      </c>
      <c r="E663" s="162" t="s">
        <v>2926</v>
      </c>
      <c r="F663" s="129" t="s">
        <v>88</v>
      </c>
      <c r="G663" s="130" t="s">
        <v>2749</v>
      </c>
      <c r="H663" s="131" t="s">
        <v>2927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2928</v>
      </c>
    </row>
    <row r="664" spans="1:20" ht="15" x14ac:dyDescent="0.25">
      <c r="A664" s="191" t="s">
        <v>2830</v>
      </c>
      <c r="B664" s="127">
        <v>2026</v>
      </c>
      <c r="C664" s="183" t="s">
        <v>22</v>
      </c>
      <c r="D664" s="183" t="s">
        <v>2831</v>
      </c>
      <c r="E664" s="184" t="s">
        <v>2832</v>
      </c>
      <c r="F664" s="185" t="s">
        <v>24</v>
      </c>
      <c r="G664" s="186" t="s">
        <v>25</v>
      </c>
      <c r="H664" s="191" t="s">
        <v>2833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2834</v>
      </c>
    </row>
    <row r="665" spans="1:20" ht="15" x14ac:dyDescent="0.25">
      <c r="A665" s="137" t="s">
        <v>2802</v>
      </c>
      <c r="B665" s="127">
        <v>2026</v>
      </c>
      <c r="C665" s="183" t="s">
        <v>22</v>
      </c>
      <c r="D665" s="183" t="s">
        <v>2803</v>
      </c>
      <c r="E665" s="184" t="s">
        <v>2676</v>
      </c>
      <c r="F665" s="185" t="s">
        <v>24</v>
      </c>
      <c r="G665" s="186" t="s">
        <v>42</v>
      </c>
      <c r="H665" s="191" t="s">
        <v>2804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2769</v>
      </c>
      <c r="B666" s="127">
        <v>2026</v>
      </c>
      <c r="C666" s="183" t="s">
        <v>22</v>
      </c>
      <c r="D666" s="183" t="s">
        <v>2770</v>
      </c>
      <c r="E666" s="184" t="s">
        <v>2771</v>
      </c>
      <c r="F666" s="185" t="s">
        <v>24</v>
      </c>
      <c r="G666" s="186" t="s">
        <v>371</v>
      </c>
      <c r="H666" s="191" t="s">
        <v>2772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2746</v>
      </c>
      <c r="B667" s="127">
        <v>2026</v>
      </c>
      <c r="C667" s="127" t="s">
        <v>22</v>
      </c>
      <c r="D667" s="173" t="s">
        <v>2747</v>
      </c>
      <c r="E667" s="180" t="s">
        <v>2748</v>
      </c>
      <c r="F667" s="129" t="s">
        <v>88</v>
      </c>
      <c r="G667" s="130" t="s">
        <v>2749</v>
      </c>
      <c r="H667" s="175" t="s">
        <v>2750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2860</v>
      </c>
      <c r="B668" s="127">
        <v>2026</v>
      </c>
      <c r="C668" s="232" t="s">
        <v>22</v>
      </c>
      <c r="D668" s="183" t="s">
        <v>2861</v>
      </c>
      <c r="E668" s="184" t="s">
        <v>2862</v>
      </c>
      <c r="F668" s="185" t="s">
        <v>88</v>
      </c>
      <c r="G668" s="186" t="s">
        <v>2749</v>
      </c>
      <c r="H668" s="191" t="s">
        <v>2863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2823</v>
      </c>
      <c r="B669" s="127">
        <v>2026</v>
      </c>
      <c r="C669" s="127" t="s">
        <v>22</v>
      </c>
      <c r="D669" s="173" t="s">
        <v>2824</v>
      </c>
      <c r="E669" s="180" t="s">
        <v>2825</v>
      </c>
      <c r="F669" s="129" t="s">
        <v>69</v>
      </c>
      <c r="G669" s="174" t="s">
        <v>2702</v>
      </c>
      <c r="H669" s="175" t="s">
        <v>2826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2704</v>
      </c>
    </row>
    <row r="670" spans="1:20" ht="15" x14ac:dyDescent="0.25">
      <c r="A670" s="191" t="s">
        <v>2827</v>
      </c>
      <c r="B670" s="127">
        <v>2026</v>
      </c>
      <c r="C670" s="127" t="s">
        <v>22</v>
      </c>
      <c r="D670" s="173" t="s">
        <v>2824</v>
      </c>
      <c r="E670" s="208" t="s">
        <v>2828</v>
      </c>
      <c r="F670" s="129" t="s">
        <v>69</v>
      </c>
      <c r="G670" s="174" t="s">
        <v>2702</v>
      </c>
      <c r="H670" s="175" t="s">
        <v>2829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2704</v>
      </c>
    </row>
    <row r="671" spans="1:20" ht="15" x14ac:dyDescent="0.25">
      <c r="A671" s="191" t="s">
        <v>2919</v>
      </c>
      <c r="B671" s="127">
        <v>2026</v>
      </c>
      <c r="C671" s="183" t="s">
        <v>2774</v>
      </c>
      <c r="D671" s="183" t="s">
        <v>2920</v>
      </c>
      <c r="E671" s="184" t="s">
        <v>2921</v>
      </c>
      <c r="F671" s="185" t="s">
        <v>69</v>
      </c>
      <c r="G671" s="186" t="s">
        <v>79</v>
      </c>
      <c r="H671" s="209" t="s">
        <v>2922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2923</v>
      </c>
    </row>
    <row r="672" spans="1:20" ht="15" x14ac:dyDescent="0.25">
      <c r="A672" s="137" t="s">
        <v>2778</v>
      </c>
      <c r="B672" s="127">
        <v>2026</v>
      </c>
      <c r="C672" s="183" t="s">
        <v>22</v>
      </c>
      <c r="D672" s="183" t="s">
        <v>2779</v>
      </c>
      <c r="E672" s="184" t="s">
        <v>2780</v>
      </c>
      <c r="F672" s="185" t="s">
        <v>24</v>
      </c>
      <c r="G672" s="186" t="s">
        <v>25</v>
      </c>
      <c r="H672" s="191" t="s">
        <v>2781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2782</v>
      </c>
    </row>
    <row r="673" spans="1:20" ht="15" x14ac:dyDescent="0.25">
      <c r="A673" s="137" t="s">
        <v>2720</v>
      </c>
      <c r="B673" s="127">
        <v>2026</v>
      </c>
      <c r="C673" s="127" t="s">
        <v>22</v>
      </c>
      <c r="D673" s="127" t="s">
        <v>2721</v>
      </c>
      <c r="E673" s="128" t="s">
        <v>2722</v>
      </c>
      <c r="F673" s="129" t="s">
        <v>24</v>
      </c>
      <c r="G673" s="144" t="s">
        <v>371</v>
      </c>
      <c r="H673" s="155" t="s">
        <v>2723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2724</v>
      </c>
    </row>
    <row r="674" spans="1:20" ht="15" x14ac:dyDescent="0.25">
      <c r="A674" s="137" t="s">
        <v>2711</v>
      </c>
      <c r="B674" s="127">
        <v>2026</v>
      </c>
      <c r="C674" s="127" t="s">
        <v>22</v>
      </c>
      <c r="D674" s="127" t="s">
        <v>2712</v>
      </c>
      <c r="E674" s="128" t="s">
        <v>2713</v>
      </c>
      <c r="F674" s="129" t="s">
        <v>69</v>
      </c>
      <c r="G674" s="130" t="s">
        <v>2702</v>
      </c>
      <c r="H674" s="172" t="s">
        <v>2714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2715</v>
      </c>
    </row>
    <row r="675" spans="1:20" ht="15" x14ac:dyDescent="0.25">
      <c r="A675" s="137" t="s">
        <v>2742</v>
      </c>
      <c r="B675" s="127">
        <v>2026</v>
      </c>
      <c r="C675" s="127" t="s">
        <v>22</v>
      </c>
      <c r="D675" s="173" t="s">
        <v>2743</v>
      </c>
      <c r="E675" s="128" t="s">
        <v>2744</v>
      </c>
      <c r="F675" s="129" t="s">
        <v>69</v>
      </c>
      <c r="G675" s="174" t="s">
        <v>2702</v>
      </c>
      <c r="H675" s="234" t="s">
        <v>2745</v>
      </c>
      <c r="I675" s="236">
        <v>46120</v>
      </c>
      <c r="J675" s="236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2715</v>
      </c>
    </row>
    <row r="676" spans="1:20" ht="15" x14ac:dyDescent="0.25">
      <c r="A676" s="137" t="s">
        <v>2734</v>
      </c>
      <c r="B676" s="127">
        <v>2026</v>
      </c>
      <c r="C676" s="127" t="s">
        <v>22</v>
      </c>
      <c r="D676" s="127" t="s">
        <v>2735</v>
      </c>
      <c r="E676" s="128" t="s">
        <v>2736</v>
      </c>
      <c r="F676" s="129" t="s">
        <v>69</v>
      </c>
      <c r="G676" s="130" t="s">
        <v>79</v>
      </c>
      <c r="H676" s="127" t="s">
        <v>2737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2794</v>
      </c>
      <c r="B677" s="127">
        <v>2026</v>
      </c>
      <c r="C677" s="193" t="s">
        <v>2774</v>
      </c>
      <c r="D677" s="193" t="s">
        <v>2795</v>
      </c>
      <c r="E677" s="184" t="s">
        <v>2796</v>
      </c>
      <c r="F677" s="185" t="s">
        <v>69</v>
      </c>
      <c r="G677" s="194" t="s">
        <v>2702</v>
      </c>
      <c r="H677" s="195" t="s">
        <v>2777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2704</v>
      </c>
    </row>
    <row r="678" spans="1:20" ht="15" x14ac:dyDescent="0.25">
      <c r="A678" s="191" t="s">
        <v>2892</v>
      </c>
      <c r="B678" s="127">
        <v>2026</v>
      </c>
      <c r="C678" s="193" t="s">
        <v>2774</v>
      </c>
      <c r="D678" s="193" t="s">
        <v>2893</v>
      </c>
      <c r="E678" s="184" t="s">
        <v>2894</v>
      </c>
      <c r="F678" s="185" t="s">
        <v>69</v>
      </c>
      <c r="G678" s="194" t="s">
        <v>79</v>
      </c>
      <c r="H678" s="195" t="s">
        <v>2895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x14ac:dyDescent="0.25">
      <c r="A679" s="191" t="s">
        <v>2900</v>
      </c>
      <c r="B679" s="127">
        <v>2026</v>
      </c>
      <c r="C679" s="193" t="s">
        <v>2774</v>
      </c>
      <c r="D679" s="193" t="s">
        <v>2901</v>
      </c>
      <c r="E679" s="203" t="s">
        <v>2902</v>
      </c>
      <c r="F679" s="185" t="s">
        <v>69</v>
      </c>
      <c r="G679" s="186" t="s">
        <v>79</v>
      </c>
      <c r="H679" s="195" t="s">
        <v>2903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2904</v>
      </c>
    </row>
    <row r="680" spans="1:20" ht="15" x14ac:dyDescent="0.25">
      <c r="A680" s="137" t="s">
        <v>2797</v>
      </c>
      <c r="B680" s="127">
        <v>2026</v>
      </c>
      <c r="C680" s="168" t="s">
        <v>2798</v>
      </c>
      <c r="D680" s="152" t="s">
        <v>2799</v>
      </c>
      <c r="E680" s="153" t="s">
        <v>2800</v>
      </c>
      <c r="F680" s="129" t="s">
        <v>24</v>
      </c>
      <c r="G680" s="130" t="s">
        <v>2708</v>
      </c>
      <c r="H680" s="155" t="s">
        <v>2801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2710</v>
      </c>
    </row>
    <row r="681" spans="1:20" ht="15" x14ac:dyDescent="0.25">
      <c r="A681" s="191" t="s">
        <v>2853</v>
      </c>
      <c r="B681" s="127">
        <v>2026</v>
      </c>
      <c r="C681" s="168" t="s">
        <v>22</v>
      </c>
      <c r="D681" s="152" t="s">
        <v>2799</v>
      </c>
      <c r="E681" s="153" t="s">
        <v>2854</v>
      </c>
      <c r="F681" s="129" t="s">
        <v>24</v>
      </c>
      <c r="G681" s="154" t="s">
        <v>2708</v>
      </c>
      <c r="H681" s="155" t="s">
        <v>2855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2710</v>
      </c>
    </row>
    <row r="682" spans="1:20" ht="15" x14ac:dyDescent="0.25">
      <c r="A682" s="191" t="s">
        <v>2873</v>
      </c>
      <c r="B682" s="127">
        <v>2026</v>
      </c>
      <c r="C682" s="193" t="s">
        <v>2798</v>
      </c>
      <c r="D682" s="152" t="s">
        <v>2799</v>
      </c>
      <c r="E682" s="153" t="s">
        <v>2854</v>
      </c>
      <c r="F682" s="185" t="s">
        <v>24</v>
      </c>
      <c r="G682" s="194" t="s">
        <v>2708</v>
      </c>
      <c r="H682" s="195" t="s">
        <v>2874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2710</v>
      </c>
    </row>
    <row r="683" spans="1:20" ht="15" x14ac:dyDescent="0.25">
      <c r="A683" s="137" t="s">
        <v>2694</v>
      </c>
      <c r="B683" s="127">
        <v>2026</v>
      </c>
      <c r="C683" s="152" t="s">
        <v>22</v>
      </c>
      <c r="D683" s="152" t="s">
        <v>2695</v>
      </c>
      <c r="E683" s="153" t="s">
        <v>2696</v>
      </c>
      <c r="F683" s="129" t="s">
        <v>24</v>
      </c>
      <c r="G683" s="130" t="s">
        <v>42</v>
      </c>
      <c r="H683" s="235" t="s">
        <v>2697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2698</v>
      </c>
    </row>
    <row r="684" spans="1:20" ht="15" x14ac:dyDescent="0.25">
      <c r="A684" s="191" t="s">
        <v>2818</v>
      </c>
      <c r="B684" s="152">
        <v>2026</v>
      </c>
      <c r="C684" s="168" t="s">
        <v>22</v>
      </c>
      <c r="D684" s="152" t="s">
        <v>2819</v>
      </c>
      <c r="E684" s="153" t="s">
        <v>2820</v>
      </c>
      <c r="F684" s="161" t="s">
        <v>24</v>
      </c>
      <c r="G684" s="154" t="s">
        <v>25</v>
      </c>
      <c r="H684" s="207" t="s">
        <v>2821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2822</v>
      </c>
    </row>
    <row r="685" spans="1:20" ht="15" x14ac:dyDescent="0.25">
      <c r="A685" s="137" t="s">
        <v>2705</v>
      </c>
      <c r="B685" s="152">
        <v>2026</v>
      </c>
      <c r="C685" s="127" t="s">
        <v>22</v>
      </c>
      <c r="D685" s="131" t="s">
        <v>2706</v>
      </c>
      <c r="E685" s="128" t="s">
        <v>2707</v>
      </c>
      <c r="F685" s="129" t="s">
        <v>24</v>
      </c>
      <c r="G685" s="144" t="s">
        <v>2708</v>
      </c>
      <c r="H685" s="131" t="s">
        <v>2709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2710</v>
      </c>
    </row>
    <row r="686" spans="1:20" ht="15" x14ac:dyDescent="0.25">
      <c r="A686" s="137" t="s">
        <v>2699</v>
      </c>
      <c r="B686" s="152">
        <v>2026</v>
      </c>
      <c r="C686" s="127" t="s">
        <v>22</v>
      </c>
      <c r="D686" s="127" t="s">
        <v>2700</v>
      </c>
      <c r="E686" s="128" t="s">
        <v>2701</v>
      </c>
      <c r="F686" s="129" t="s">
        <v>69</v>
      </c>
      <c r="G686" s="130" t="s">
        <v>2702</v>
      </c>
      <c r="H686" s="131" t="s">
        <v>2703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2704</v>
      </c>
    </row>
    <row r="687" spans="1:20" ht="15" x14ac:dyDescent="0.25">
      <c r="A687" s="191" t="s">
        <v>2805</v>
      </c>
      <c r="B687" s="152">
        <v>2026</v>
      </c>
      <c r="C687" s="127" t="s">
        <v>22</v>
      </c>
      <c r="D687" s="173" t="s">
        <v>2806</v>
      </c>
      <c r="E687" s="180" t="s">
        <v>2807</v>
      </c>
      <c r="F687" s="233" t="s">
        <v>24</v>
      </c>
      <c r="G687" s="174" t="s">
        <v>42</v>
      </c>
      <c r="H687" s="175" t="s">
        <v>2808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2842</v>
      </c>
      <c r="B688" s="152">
        <v>2026</v>
      </c>
      <c r="C688" s="183" t="s">
        <v>22</v>
      </c>
      <c r="D688" s="183" t="s">
        <v>2843</v>
      </c>
      <c r="E688" s="184" t="s">
        <v>2844</v>
      </c>
      <c r="F688" s="185" t="s">
        <v>69</v>
      </c>
      <c r="G688" s="186" t="s">
        <v>79</v>
      </c>
      <c r="H688" s="191" t="s">
        <v>2845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2754</v>
      </c>
    </row>
    <row r="689" spans="1:20" ht="30" x14ac:dyDescent="0.25">
      <c r="A689" s="137" t="s">
        <v>2725</v>
      </c>
      <c r="B689" s="152">
        <v>2026</v>
      </c>
      <c r="C689" s="127" t="s">
        <v>22</v>
      </c>
      <c r="D689" s="127" t="s">
        <v>2726</v>
      </c>
      <c r="E689" s="128" t="s">
        <v>2727</v>
      </c>
      <c r="F689" s="129" t="s">
        <v>24</v>
      </c>
      <c r="G689" s="144" t="s">
        <v>2728</v>
      </c>
      <c r="H689" s="131" t="s">
        <v>2729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2730</v>
      </c>
    </row>
    <row r="690" spans="1:20" ht="15" x14ac:dyDescent="0.25">
      <c r="A690" s="137" t="s">
        <v>2751</v>
      </c>
      <c r="B690" s="152">
        <v>2026</v>
      </c>
      <c r="C690" s="127" t="s">
        <v>22</v>
      </c>
      <c r="D690" s="127" t="s">
        <v>2726</v>
      </c>
      <c r="E690" s="128" t="s">
        <v>2752</v>
      </c>
      <c r="F690" s="129" t="s">
        <v>24</v>
      </c>
      <c r="G690" s="144" t="s">
        <v>2728</v>
      </c>
      <c r="H690" s="131" t="s">
        <v>2753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2754</v>
      </c>
    </row>
    <row r="691" spans="1:20" ht="15" x14ac:dyDescent="0.25">
      <c r="A691" s="137" t="s">
        <v>2790</v>
      </c>
      <c r="B691" s="152">
        <v>2026</v>
      </c>
      <c r="C691" s="183" t="s">
        <v>22</v>
      </c>
      <c r="D691" s="183" t="s">
        <v>2791</v>
      </c>
      <c r="E691" s="184" t="s">
        <v>2792</v>
      </c>
      <c r="F691" s="185" t="s">
        <v>24</v>
      </c>
      <c r="G691" s="186" t="s">
        <v>2728</v>
      </c>
      <c r="H691" s="191" t="s">
        <v>2793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2754</v>
      </c>
    </row>
    <row r="692" spans="1:20" ht="15" x14ac:dyDescent="0.25">
      <c r="A692" s="191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1" t="s">
        <v>2841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2754</v>
      </c>
    </row>
    <row r="693" spans="1:20" ht="15" x14ac:dyDescent="0.25">
      <c r="A693" s="191" t="s">
        <v>2846</v>
      </c>
      <c r="B693" s="152">
        <v>2026</v>
      </c>
      <c r="C693" s="183" t="s">
        <v>2774</v>
      </c>
      <c r="D693" s="183" t="s">
        <v>2847</v>
      </c>
      <c r="E693" s="184" t="s">
        <v>2848</v>
      </c>
      <c r="F693" s="185" t="s">
        <v>24</v>
      </c>
      <c r="G693" s="186" t="s">
        <v>25</v>
      </c>
      <c r="H693" s="191" t="s">
        <v>2777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2941</v>
      </c>
      <c r="B694" s="152">
        <v>2026</v>
      </c>
      <c r="C694" s="127" t="s">
        <v>2774</v>
      </c>
      <c r="D694" s="173" t="s">
        <v>2942</v>
      </c>
      <c r="E694" s="180" t="s">
        <v>2943</v>
      </c>
      <c r="F694" s="129" t="s">
        <v>69</v>
      </c>
      <c r="G694" s="130" t="s">
        <v>79</v>
      </c>
      <c r="H694" s="175" t="s">
        <v>2944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2937</v>
      </c>
      <c r="B695" s="152">
        <v>2026</v>
      </c>
      <c r="C695" s="183" t="s">
        <v>2774</v>
      </c>
      <c r="D695" s="183" t="s">
        <v>2938</v>
      </c>
      <c r="E695" s="184" t="s">
        <v>2939</v>
      </c>
      <c r="F695" s="185" t="s">
        <v>69</v>
      </c>
      <c r="G695" s="186" t="s">
        <v>79</v>
      </c>
      <c r="H695" s="191" t="s">
        <v>2940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2738</v>
      </c>
      <c r="B696" s="152">
        <v>2026</v>
      </c>
      <c r="C696" s="127" t="s">
        <v>22</v>
      </c>
      <c r="D696" s="127" t="s">
        <v>2739</v>
      </c>
      <c r="E696" s="128" t="s">
        <v>2740</v>
      </c>
      <c r="F696" s="129" t="s">
        <v>69</v>
      </c>
      <c r="G696" s="130" t="s">
        <v>79</v>
      </c>
      <c r="H696" s="131" t="s">
        <v>2741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2755</v>
      </c>
      <c r="B697" s="152">
        <v>2026</v>
      </c>
      <c r="C697" s="127" t="s">
        <v>22</v>
      </c>
      <c r="D697" s="173" t="s">
        <v>2756</v>
      </c>
      <c r="E697" s="180" t="s">
        <v>2757</v>
      </c>
      <c r="F697" s="129" t="s">
        <v>24</v>
      </c>
      <c r="G697" s="144" t="s">
        <v>2728</v>
      </c>
      <c r="H697" s="175" t="s">
        <v>2758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2754</v>
      </c>
    </row>
    <row r="698" spans="1:20" ht="15" x14ac:dyDescent="0.25">
      <c r="A698" s="191" t="s">
        <v>2813</v>
      </c>
      <c r="B698" s="152">
        <v>2026</v>
      </c>
      <c r="C698" s="183" t="s">
        <v>2798</v>
      </c>
      <c r="D698" s="183" t="s">
        <v>2814</v>
      </c>
      <c r="E698" s="184" t="s">
        <v>2815</v>
      </c>
      <c r="F698" s="185" t="s">
        <v>24</v>
      </c>
      <c r="G698" s="186" t="s">
        <v>75</v>
      </c>
      <c r="H698" s="191" t="s">
        <v>2816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2817</v>
      </c>
    </row>
    <row r="699" spans="1:20" ht="15" x14ac:dyDescent="0.25">
      <c r="A699" s="137" t="s">
        <v>2759</v>
      </c>
      <c r="B699" s="152">
        <v>2026</v>
      </c>
      <c r="C699" s="127" t="s">
        <v>22</v>
      </c>
      <c r="D699" s="127" t="s">
        <v>2760</v>
      </c>
      <c r="E699" s="128" t="s">
        <v>2761</v>
      </c>
      <c r="F699" s="129" t="s">
        <v>24</v>
      </c>
      <c r="G699" s="130" t="s">
        <v>206</v>
      </c>
      <c r="H699" s="131" t="s">
        <v>2762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2763</v>
      </c>
    </row>
    <row r="700" spans="1:20" ht="15" x14ac:dyDescent="0.25">
      <c r="A700" s="191" t="s">
        <v>2849</v>
      </c>
      <c r="B700" s="152">
        <v>2026</v>
      </c>
      <c r="C700" s="183" t="s">
        <v>22</v>
      </c>
      <c r="D700" s="183" t="s">
        <v>2850</v>
      </c>
      <c r="E700" s="184" t="s">
        <v>2851</v>
      </c>
      <c r="F700" s="185" t="s">
        <v>88</v>
      </c>
      <c r="G700" s="186" t="s">
        <v>2749</v>
      </c>
      <c r="H700" s="191" t="s">
        <v>2852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2856</v>
      </c>
      <c r="B701" s="152">
        <v>2026</v>
      </c>
      <c r="C701" s="183" t="s">
        <v>22</v>
      </c>
      <c r="D701" s="183" t="s">
        <v>2857</v>
      </c>
      <c r="E701" s="184" t="s">
        <v>2858</v>
      </c>
      <c r="F701" s="185" t="s">
        <v>24</v>
      </c>
      <c r="G701" s="186" t="s">
        <v>75</v>
      </c>
      <c r="H701" s="191" t="s">
        <v>2859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>IF(B701="","",SUM(O701:Q701))</f>
        <v>15</v>
      </c>
      <c r="S701" s="183">
        <v>24</v>
      </c>
      <c r="T701" s="186" t="s">
        <v>2822</v>
      </c>
    </row>
    <row r="702" spans="1:20" ht="15" x14ac:dyDescent="0.25">
      <c r="A702" s="191" t="s">
        <v>2905</v>
      </c>
      <c r="B702" s="152">
        <v>2026</v>
      </c>
      <c r="C702" s="183" t="s">
        <v>2774</v>
      </c>
      <c r="D702" s="183" t="s">
        <v>2906</v>
      </c>
      <c r="E702" s="184" t="s">
        <v>2907</v>
      </c>
      <c r="F702" s="185" t="s">
        <v>69</v>
      </c>
      <c r="G702" s="186" t="s">
        <v>79</v>
      </c>
      <c r="H702" s="191" t="s">
        <v>2903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>IF(B702="","",SUM(O702:Q702))</f>
        <v>0</v>
      </c>
      <c r="S702" s="183">
        <v>4</v>
      </c>
      <c r="T702" s="186" t="s">
        <v>2908</v>
      </c>
    </row>
    <row r="703" spans="1:20" ht="15" x14ac:dyDescent="0.25">
      <c r="A703" s="191" t="s">
        <v>2896</v>
      </c>
      <c r="B703" s="152">
        <v>2026</v>
      </c>
      <c r="C703" s="183" t="s">
        <v>2774</v>
      </c>
      <c r="D703" s="183" t="s">
        <v>2897</v>
      </c>
      <c r="E703" s="184" t="s">
        <v>2898</v>
      </c>
      <c r="F703" s="185" t="s">
        <v>69</v>
      </c>
      <c r="G703" s="186" t="s">
        <v>79</v>
      </c>
      <c r="H703" s="191" t="s">
        <v>2895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>IF(B703="","",SUM(O703:Q703))</f>
        <v>0</v>
      </c>
      <c r="S703" s="183">
        <v>4</v>
      </c>
      <c r="T703" s="186" t="s">
        <v>2899</v>
      </c>
    </row>
    <row r="704" spans="1:20" ht="15" x14ac:dyDescent="0.25">
      <c r="A704" s="191" t="s">
        <v>2875</v>
      </c>
      <c r="B704" s="152">
        <v>2026</v>
      </c>
      <c r="C704" s="183" t="s">
        <v>2774</v>
      </c>
      <c r="D704" s="183" t="s">
        <v>2876</v>
      </c>
      <c r="E704" s="184" t="s">
        <v>2877</v>
      </c>
      <c r="F704" s="185" t="s">
        <v>69</v>
      </c>
      <c r="G704" s="186" t="s">
        <v>79</v>
      </c>
      <c r="H704" s="191" t="s">
        <v>2878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>IF(B704="","",SUM(O704:Q704))</f>
        <v>0</v>
      </c>
      <c r="S704" s="183">
        <v>8</v>
      </c>
      <c r="T704" s="205" t="s">
        <v>2879</v>
      </c>
    </row>
    <row r="705" spans="1:21" ht="15" x14ac:dyDescent="0.25">
      <c r="A705" s="191" t="s">
        <v>2960</v>
      </c>
      <c r="B705" s="152">
        <v>2026</v>
      </c>
      <c r="C705" s="183" t="s">
        <v>2774</v>
      </c>
      <c r="D705" s="183" t="s">
        <v>2961</v>
      </c>
      <c r="E705" s="184" t="s">
        <v>2962</v>
      </c>
      <c r="F705" s="185" t="s">
        <v>69</v>
      </c>
      <c r="G705" s="186" t="s">
        <v>79</v>
      </c>
      <c r="H705" s="191" t="s">
        <v>2912</v>
      </c>
      <c r="I705" s="192" t="s">
        <v>2912</v>
      </c>
      <c r="J705" s="192" t="s">
        <v>2912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>IF(B705="","",SUM(O705:Q705))</f>
        <v>0</v>
      </c>
      <c r="S705" s="183">
        <v>4</v>
      </c>
      <c r="T705" s="186" t="s">
        <v>2963</v>
      </c>
    </row>
    <row r="706" spans="1:21" ht="15" x14ac:dyDescent="0.25">
      <c r="A706" s="191" t="s">
        <v>2880</v>
      </c>
      <c r="B706" s="152">
        <v>2026</v>
      </c>
      <c r="C706" s="183" t="s">
        <v>2774</v>
      </c>
      <c r="D706" s="183" t="s">
        <v>2881</v>
      </c>
      <c r="E706" s="184" t="s">
        <v>2882</v>
      </c>
      <c r="F706" s="185" t="s">
        <v>69</v>
      </c>
      <c r="G706" s="186" t="s">
        <v>79</v>
      </c>
      <c r="H706" s="191" t="s">
        <v>2883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>IF(B706="","",SUM(O706:Q706))</f>
        <v>0</v>
      </c>
      <c r="S706" s="183">
        <v>4</v>
      </c>
      <c r="T706" s="186" t="s">
        <v>2452</v>
      </c>
    </row>
    <row r="707" spans="1:21" ht="15" x14ac:dyDescent="0.25">
      <c r="A707" s="191" t="s">
        <v>2888</v>
      </c>
      <c r="B707" s="152">
        <v>2026</v>
      </c>
      <c r="C707" s="183" t="s">
        <v>2774</v>
      </c>
      <c r="D707" s="183" t="s">
        <v>2889</v>
      </c>
      <c r="E707" s="184" t="s">
        <v>2890</v>
      </c>
      <c r="F707" s="185" t="s">
        <v>69</v>
      </c>
      <c r="G707" s="186" t="s">
        <v>79</v>
      </c>
      <c r="H707" s="191" t="s">
        <v>2891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>IF(B707="","",SUM(O707:Q707))</f>
        <v>0</v>
      </c>
      <c r="S707" s="183">
        <v>4</v>
      </c>
      <c r="T707" s="186" t="s">
        <v>2462</v>
      </c>
    </row>
    <row r="708" spans="1:21" ht="15" x14ac:dyDescent="0.25">
      <c r="A708" s="191" t="s">
        <v>2884</v>
      </c>
      <c r="B708" s="152">
        <v>2026</v>
      </c>
      <c r="C708" s="183" t="s">
        <v>2774</v>
      </c>
      <c r="D708" s="183" t="s">
        <v>2885</v>
      </c>
      <c r="E708" s="184" t="s">
        <v>2886</v>
      </c>
      <c r="F708" s="185" t="s">
        <v>69</v>
      </c>
      <c r="G708" s="186" t="s">
        <v>79</v>
      </c>
      <c r="H708" s="191" t="s">
        <v>2883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>IF(B708="","",SUM(O708:Q708))</f>
        <v>0</v>
      </c>
      <c r="S708" s="183">
        <v>4</v>
      </c>
      <c r="T708" s="186" t="s">
        <v>2887</v>
      </c>
    </row>
    <row r="709" spans="1:21" ht="15" x14ac:dyDescent="0.25">
      <c r="A709" s="191" t="s">
        <v>2945</v>
      </c>
      <c r="B709" s="152">
        <v>2026</v>
      </c>
      <c r="C709" s="183" t="s">
        <v>2774</v>
      </c>
      <c r="D709" s="183" t="s">
        <v>2946</v>
      </c>
      <c r="E709" s="184" t="s">
        <v>2947</v>
      </c>
      <c r="F709" s="185" t="s">
        <v>24</v>
      </c>
      <c r="G709" s="186" t="s">
        <v>75</v>
      </c>
      <c r="H709" s="191" t="s">
        <v>2948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>IF(B709="","",SUM(O709:Q709))</f>
        <v>0</v>
      </c>
      <c r="S709" s="183">
        <v>10</v>
      </c>
      <c r="T709" s="186" t="s">
        <v>2949</v>
      </c>
      <c r="U709" s="106"/>
    </row>
    <row r="710" spans="1:21" ht="15" x14ac:dyDescent="0.25">
      <c r="A710" s="191" t="s">
        <v>2864</v>
      </c>
      <c r="B710" s="152">
        <v>2026</v>
      </c>
      <c r="C710" s="183" t="s">
        <v>22</v>
      </c>
      <c r="D710" s="183" t="s">
        <v>2865</v>
      </c>
      <c r="E710" s="184" t="s">
        <v>2866</v>
      </c>
      <c r="F710" s="185" t="s">
        <v>69</v>
      </c>
      <c r="G710" s="186" t="s">
        <v>79</v>
      </c>
      <c r="H710" s="191" t="s">
        <v>2867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>IF(B710="","",SUM(O710:Q710))</f>
        <v>220</v>
      </c>
      <c r="S710" s="183">
        <v>4</v>
      </c>
      <c r="T710" s="186" t="s">
        <v>479</v>
      </c>
    </row>
    <row r="711" spans="1:21" ht="15" x14ac:dyDescent="0.25">
      <c r="A711" s="191" t="s">
        <v>2956</v>
      </c>
      <c r="B711" s="152">
        <v>2026</v>
      </c>
      <c r="C711" s="183" t="s">
        <v>2774</v>
      </c>
      <c r="D711" s="183" t="s">
        <v>2957</v>
      </c>
      <c r="E711" s="184" t="s">
        <v>2958</v>
      </c>
      <c r="F711" s="185" t="s">
        <v>24</v>
      </c>
      <c r="G711" s="186" t="s">
        <v>206</v>
      </c>
      <c r="H711" s="191" t="s">
        <v>2883</v>
      </c>
      <c r="I711" s="191" t="s">
        <v>2883</v>
      </c>
      <c r="J711" s="191" t="s">
        <v>2883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>IF(B711="","",SUM(O711:Q711))</f>
        <v>0</v>
      </c>
      <c r="S711" s="183">
        <v>1</v>
      </c>
      <c r="T711" s="186" t="s">
        <v>2959</v>
      </c>
    </row>
    <row r="712" spans="1:21" ht="15" x14ac:dyDescent="0.25">
      <c r="A712" s="137" t="s">
        <v>2716</v>
      </c>
      <c r="B712" s="152">
        <v>2026</v>
      </c>
      <c r="C712" s="127" t="s">
        <v>22</v>
      </c>
      <c r="D712" s="131" t="s">
        <v>2717</v>
      </c>
      <c r="E712" s="128" t="s">
        <v>2718</v>
      </c>
      <c r="F712" s="129" t="s">
        <v>69</v>
      </c>
      <c r="G712" s="130" t="s">
        <v>79</v>
      </c>
      <c r="H712" s="131" t="s">
        <v>2719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2731</v>
      </c>
      <c r="B713" s="152">
        <v>2026</v>
      </c>
      <c r="C713" s="127" t="s">
        <v>22</v>
      </c>
      <c r="D713" s="131" t="s">
        <v>2717</v>
      </c>
      <c r="E713" s="128" t="s">
        <v>2732</v>
      </c>
      <c r="F713" s="129" t="s">
        <v>69</v>
      </c>
      <c r="G713" s="130" t="s">
        <v>79</v>
      </c>
      <c r="H713" s="131" t="s">
        <v>2733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2914</v>
      </c>
      <c r="B714" s="152">
        <v>2026</v>
      </c>
      <c r="C714" s="183" t="s">
        <v>2774</v>
      </c>
      <c r="D714" s="183" t="s">
        <v>2765</v>
      </c>
      <c r="E714" s="184" t="s">
        <v>2915</v>
      </c>
      <c r="F714" s="185" t="s">
        <v>88</v>
      </c>
      <c r="G714" s="186" t="s">
        <v>2749</v>
      </c>
      <c r="H714" s="191" t="s">
        <v>2916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>IF(B714="","",SUM(O714:Q714))</f>
        <v>0</v>
      </c>
      <c r="S714" s="183">
        <v>4</v>
      </c>
      <c r="T714" s="205"/>
    </row>
    <row r="715" spans="1:21" ht="15" x14ac:dyDescent="0.25">
      <c r="A715" s="191" t="s">
        <v>2917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1" t="s">
        <v>2918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>IF(B715="","",SUM(O715:Q715))</f>
        <v>0</v>
      </c>
      <c r="S715" s="183">
        <v>4</v>
      </c>
      <c r="T715" s="205"/>
    </row>
    <row r="716" spans="1:21" ht="15" x14ac:dyDescent="0.25">
      <c r="A716" s="191" t="s">
        <v>2929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1" t="s">
        <v>2930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>IF(B716="","",SUM(O716:Q716))</f>
        <v>0</v>
      </c>
      <c r="S716" s="183">
        <v>4</v>
      </c>
      <c r="T716" s="205"/>
    </row>
    <row r="717" spans="1:21" ht="15" x14ac:dyDescent="0.25">
      <c r="A717" s="191" t="s">
        <v>2931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1" t="s">
        <v>2932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>IF(B717="","",SUM(O717:Q717))</f>
        <v>0</v>
      </c>
      <c r="S717" s="183">
        <v>4</v>
      </c>
      <c r="T717" s="205"/>
    </row>
    <row r="718" spans="1:21" ht="15" x14ac:dyDescent="0.25">
      <c r="A718" s="191" t="s">
        <v>2933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1" t="s">
        <v>2934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>IF(B718="","",SUM(O718:Q718))</f>
        <v>0</v>
      </c>
      <c r="S718" s="183">
        <v>4</v>
      </c>
      <c r="T718" s="205"/>
    </row>
    <row r="719" spans="1:21" ht="15" x14ac:dyDescent="0.25">
      <c r="A719" s="191" t="s">
        <v>2935</v>
      </c>
      <c r="B719" s="152">
        <v>2026</v>
      </c>
      <c r="C719" s="183" t="s">
        <v>2774</v>
      </c>
      <c r="D719" s="183" t="s">
        <v>2765</v>
      </c>
      <c r="E719" s="184" t="s">
        <v>2915</v>
      </c>
      <c r="F719" s="185" t="s">
        <v>88</v>
      </c>
      <c r="G719" s="186" t="s">
        <v>2749</v>
      </c>
      <c r="H719" s="191" t="s">
        <v>2936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>IF(B719="","",SUM(O719:Q719))</f>
        <v>0</v>
      </c>
      <c r="S719" s="183">
        <v>4</v>
      </c>
      <c r="T719" s="205"/>
    </row>
    <row r="720" spans="1:21" ht="15" x14ac:dyDescent="0.25">
      <c r="A720" s="137" t="s">
        <v>2689</v>
      </c>
      <c r="B720" s="152">
        <v>2026</v>
      </c>
      <c r="C720" s="127" t="s">
        <v>22</v>
      </c>
      <c r="D720" s="127" t="s">
        <v>2690</v>
      </c>
      <c r="E720" s="128" t="s">
        <v>2691</v>
      </c>
      <c r="F720" s="129" t="s">
        <v>24</v>
      </c>
      <c r="G720" s="130" t="s">
        <v>206</v>
      </c>
      <c r="H720" s="131" t="s">
        <v>2692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2693</v>
      </c>
    </row>
    <row r="721" spans="1:20" ht="15" x14ac:dyDescent="0.25">
      <c r="A721" s="137" t="s">
        <v>2764</v>
      </c>
      <c r="B721" s="152">
        <v>2026</v>
      </c>
      <c r="C721" s="152" t="s">
        <v>22</v>
      </c>
      <c r="D721" s="152" t="s">
        <v>2765</v>
      </c>
      <c r="E721" s="153" t="s">
        <v>2766</v>
      </c>
      <c r="F721" s="161" t="s">
        <v>88</v>
      </c>
      <c r="G721" s="168" t="s">
        <v>2749</v>
      </c>
      <c r="H721" s="155" t="s">
        <v>2767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2768</v>
      </c>
    </row>
    <row r="722" spans="1:20" ht="15" x14ac:dyDescent="0.25">
      <c r="A722" s="137" t="s">
        <v>2787</v>
      </c>
      <c r="B722" s="127">
        <v>2026</v>
      </c>
      <c r="C722" s="127" t="s">
        <v>22</v>
      </c>
      <c r="D722" s="127" t="s">
        <v>2765</v>
      </c>
      <c r="E722" s="128" t="s">
        <v>2788</v>
      </c>
      <c r="F722" s="129" t="s">
        <v>88</v>
      </c>
      <c r="G722" s="164" t="s">
        <v>2749</v>
      </c>
      <c r="H722" s="131" t="s">
        <v>2789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2768</v>
      </c>
    </row>
    <row r="723" spans="1:20" ht="15" x14ac:dyDescent="0.25">
      <c r="A723" s="137" t="s">
        <v>2783</v>
      </c>
      <c r="B723" s="152">
        <v>2026</v>
      </c>
      <c r="C723" s="183" t="s">
        <v>22</v>
      </c>
      <c r="D723" s="183" t="s">
        <v>2784</v>
      </c>
      <c r="E723" s="184" t="s">
        <v>2785</v>
      </c>
      <c r="F723" s="185" t="s">
        <v>88</v>
      </c>
      <c r="G723" s="186" t="s">
        <v>2749</v>
      </c>
      <c r="H723" s="191" t="s">
        <v>2786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2809</v>
      </c>
      <c r="B724" s="231">
        <v>2026</v>
      </c>
      <c r="C724" s="183" t="s">
        <v>22</v>
      </c>
      <c r="D724" s="183" t="s">
        <v>2810</v>
      </c>
      <c r="E724" s="184" t="s">
        <v>2811</v>
      </c>
      <c r="F724" s="185" t="s">
        <v>88</v>
      </c>
      <c r="G724" s="186" t="s">
        <v>2749</v>
      </c>
      <c r="H724" s="191" t="s">
        <v>2812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2964</v>
      </c>
      <c r="B725" s="183">
        <v>2026</v>
      </c>
      <c r="C725" s="183"/>
      <c r="D725" s="183"/>
      <c r="E725" s="180" t="s">
        <v>3165</v>
      </c>
      <c r="F725" s="185"/>
      <c r="G725" s="186"/>
      <c r="H725" s="191"/>
      <c r="I725" s="192"/>
      <c r="J725" s="192"/>
      <c r="K725" s="183"/>
      <c r="L725" s="187"/>
      <c r="M725" s="188"/>
      <c r="N725" s="189"/>
      <c r="O725" s="190"/>
      <c r="P725" s="190"/>
      <c r="Q725" s="190"/>
      <c r="R725" s="190"/>
      <c r="S725" s="183"/>
      <c r="T725" s="186"/>
    </row>
    <row r="726" spans="1:20" ht="15" x14ac:dyDescent="0.25">
      <c r="A726" s="191" t="s">
        <v>2965</v>
      </c>
      <c r="B726" s="183">
        <v>2026</v>
      </c>
      <c r="C726" s="183"/>
      <c r="D726" s="212"/>
      <c r="E726" s="180" t="s">
        <v>3166</v>
      </c>
      <c r="F726" s="185"/>
      <c r="G726" s="186"/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2966</v>
      </c>
      <c r="B727" s="183">
        <v>2026</v>
      </c>
      <c r="C727" s="183"/>
      <c r="D727" s="183"/>
      <c r="E727" s="180" t="s">
        <v>3167</v>
      </c>
      <c r="F727" s="185"/>
      <c r="G727" s="186"/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2967</v>
      </c>
      <c r="B728" s="183">
        <v>2026</v>
      </c>
      <c r="C728" s="183"/>
      <c r="D728" s="183"/>
      <c r="E728" s="180" t="s">
        <v>3164</v>
      </c>
      <c r="F728" s="185"/>
      <c r="G728" s="186"/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 x14ac:dyDescent="0.25">
      <c r="A729" s="191" t="s">
        <v>2968</v>
      </c>
      <c r="B729" s="183">
        <v>2026</v>
      </c>
      <c r="C729" s="183"/>
      <c r="D729" s="183"/>
      <c r="E729" s="180" t="s">
        <v>3168</v>
      </c>
      <c r="F729" s="185"/>
      <c r="G729" s="186"/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91"/>
      <c r="B730" s="183"/>
      <c r="C730" s="183"/>
      <c r="D730" s="183"/>
      <c r="E730" s="184"/>
      <c r="F730" s="185"/>
      <c r="G730" s="186"/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 t="str">
        <f t="shared" ref="R721:R749" si="12">IF(B730="","",SUM(O730:Q730))</f>
        <v/>
      </c>
      <c r="S730" s="183"/>
      <c r="T730" s="186"/>
    </row>
    <row r="731" spans="1:20" ht="15" hidden="1" x14ac:dyDescent="0.25">
      <c r="A731" s="191"/>
      <c r="B731" s="183"/>
      <c r="C731" s="183"/>
      <c r="D731" s="183"/>
      <c r="E731" s="184"/>
      <c r="F731" s="185"/>
      <c r="G731" s="186"/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 t="str">
        <f t="shared" si="12"/>
        <v/>
      </c>
      <c r="S731" s="183"/>
      <c r="T731" s="186"/>
    </row>
    <row r="732" spans="1:20" ht="15" hidden="1" x14ac:dyDescent="0.25">
      <c r="A732" s="191"/>
      <c r="B732" s="183"/>
      <c r="C732" s="183"/>
      <c r="D732" s="183"/>
      <c r="E732" s="184"/>
      <c r="F732" s="185"/>
      <c r="G732" s="186"/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 t="str">
        <f t="shared" si="12"/>
        <v/>
      </c>
      <c r="S732" s="183"/>
      <c r="T732" s="186"/>
    </row>
    <row r="733" spans="1:20" ht="15" hidden="1" x14ac:dyDescent="0.25">
      <c r="A733" s="191"/>
      <c r="B733" s="183"/>
      <c r="C733" s="183"/>
      <c r="D733" s="183"/>
      <c r="E733" s="184"/>
      <c r="F733" s="185"/>
      <c r="G733" s="186"/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 t="str">
        <f t="shared" si="12"/>
        <v/>
      </c>
      <c r="S733" s="183"/>
      <c r="T733" s="186"/>
    </row>
    <row r="734" spans="1:20" ht="15" hidden="1" x14ac:dyDescent="0.25">
      <c r="A734" s="191"/>
      <c r="B734" s="183"/>
      <c r="C734" s="183"/>
      <c r="D734" s="183"/>
      <c r="E734" s="184"/>
      <c r="F734" s="185"/>
      <c r="G734" s="186"/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 t="str">
        <f t="shared" si="12"/>
        <v/>
      </c>
      <c r="S734" s="183"/>
      <c r="T734" s="186"/>
    </row>
    <row r="735" spans="1:20" ht="15" hidden="1" x14ac:dyDescent="0.25">
      <c r="A735" s="191"/>
      <c r="B735" s="183"/>
      <c r="C735" s="183"/>
      <c r="D735" s="183"/>
      <c r="E735" s="184"/>
      <c r="F735" s="185"/>
      <c r="G735" s="186"/>
      <c r="H735" s="191"/>
      <c r="I735" s="192"/>
      <c r="J735" s="192"/>
      <c r="K735" s="183"/>
      <c r="L735" s="187"/>
      <c r="M735" s="188"/>
      <c r="N735" s="189"/>
      <c r="O735" s="190"/>
      <c r="P735" s="190"/>
      <c r="Q735" s="190"/>
      <c r="R735" s="190" t="str">
        <f t="shared" si="12"/>
        <v/>
      </c>
      <c r="S735" s="183"/>
      <c r="T735" s="186"/>
    </row>
    <row r="736" spans="1:20" ht="15" hidden="1" x14ac:dyDescent="0.25">
      <c r="A736" s="191"/>
      <c r="B736" s="183"/>
      <c r="C736" s="183"/>
      <c r="D736" s="183"/>
      <c r="E736" s="184"/>
      <c r="F736" s="185"/>
      <c r="G736" s="186"/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 t="str">
        <f t="shared" si="12"/>
        <v/>
      </c>
      <c r="S736" s="183"/>
      <c r="T736" s="186"/>
    </row>
    <row r="737" spans="1:20" ht="15" hidden="1" x14ac:dyDescent="0.25">
      <c r="A737" s="191"/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2"/>
        <v/>
      </c>
      <c r="S737" s="183"/>
      <c r="T737" s="186"/>
    </row>
    <row r="738" spans="1:20" ht="15" hidden="1" x14ac:dyDescent="0.25">
      <c r="A738" s="191"/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2"/>
        <v/>
      </c>
      <c r="S738" s="183"/>
      <c r="T738" s="186"/>
    </row>
    <row r="739" spans="1:20" ht="15" hidden="1" x14ac:dyDescent="0.25">
      <c r="A739" s="191"/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2"/>
        <v/>
      </c>
      <c r="S739" s="183"/>
      <c r="T739" s="186"/>
    </row>
    <row r="740" spans="1:20" ht="15" hidden="1" x14ac:dyDescent="0.25">
      <c r="A740" s="191"/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2"/>
        <v/>
      </c>
      <c r="S740" s="183"/>
      <c r="T740" s="186"/>
    </row>
    <row r="741" spans="1:20" ht="15" hidden="1" x14ac:dyDescent="0.25">
      <c r="A741" s="191"/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2"/>
        <v/>
      </c>
      <c r="S741" s="183"/>
      <c r="T741" s="186"/>
    </row>
    <row r="742" spans="1:20" ht="15" hidden="1" x14ac:dyDescent="0.25">
      <c r="A742" s="191"/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2"/>
        <v/>
      </c>
      <c r="S742" s="183"/>
      <c r="T742" s="186"/>
    </row>
    <row r="743" spans="1:20" ht="15" hidden="1" x14ac:dyDescent="0.25">
      <c r="A743" s="191"/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2"/>
        <v/>
      </c>
      <c r="S743" s="183"/>
      <c r="T743" s="186"/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2"/>
        <v/>
      </c>
      <c r="S744" s="183"/>
      <c r="T744" s="186"/>
    </row>
    <row r="745" spans="1:20" ht="15" hidden="1" x14ac:dyDescent="0.25">
      <c r="A745" s="191"/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2"/>
        <v/>
      </c>
      <c r="S745" s="183"/>
      <c r="T745" s="186"/>
    </row>
    <row r="746" spans="1:20" ht="15" hidden="1" x14ac:dyDescent="0.25">
      <c r="A746" s="191"/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2"/>
        <v/>
      </c>
      <c r="S746" s="183"/>
      <c r="T746" s="186"/>
    </row>
    <row r="747" spans="1:20" ht="15" hidden="1" x14ac:dyDescent="0.25">
      <c r="A747" s="191"/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2"/>
        <v/>
      </c>
      <c r="S747" s="183"/>
      <c r="T747" s="186"/>
    </row>
    <row r="748" spans="1:20" ht="15" hidden="1" x14ac:dyDescent="0.25">
      <c r="A748" s="191"/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2"/>
        <v/>
      </c>
      <c r="S748" s="183"/>
      <c r="T748" s="186"/>
    </row>
    <row r="749" spans="1:20" ht="15" hidden="1" x14ac:dyDescent="0.25">
      <c r="A749" s="191"/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2"/>
        <v/>
      </c>
      <c r="S749" s="183"/>
      <c r="T749" s="186"/>
    </row>
    <row r="750" spans="1:20" ht="15" hidden="1" x14ac:dyDescent="0.25">
      <c r="A750" s="191"/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91"/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91"/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91"/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91"/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91"/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91"/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91"/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91"/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91"/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91"/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91"/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91"/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91"/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91"/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91"/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91"/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91"/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91"/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91"/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91"/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91"/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91"/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91"/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91"/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91"/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91"/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91"/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91"/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91"/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91"/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91"/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91"/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91"/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91"/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91"/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91"/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91"/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91"/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91"/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91"/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91"/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91"/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91"/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91"/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91"/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91"/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91"/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91"/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91"/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91"/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91"/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91"/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91"/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91"/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91"/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91"/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91"/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91"/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91"/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91"/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91"/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91"/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91"/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91"/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91"/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91"/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91"/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91"/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91"/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91"/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91"/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91"/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91"/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91"/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91"/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91"/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91"/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91"/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91"/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91"/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91"/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91"/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91"/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91"/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91"/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91"/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91"/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91"/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91"/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91"/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91"/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91"/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91"/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91"/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91"/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91"/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91"/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91"/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91"/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91"/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91"/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91"/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91"/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91"/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91"/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91"/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91"/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91"/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91"/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91"/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91"/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91"/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91"/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91"/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91"/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91"/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91"/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91"/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91"/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91"/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91"/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91"/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91"/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91"/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91"/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91"/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91"/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91"/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91"/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91"/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91"/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91"/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91"/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91"/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91"/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91"/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91"/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91"/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91"/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91"/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91"/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91"/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91"/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91"/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91"/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91"/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91"/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91"/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91"/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91"/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91"/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91"/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91"/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91"/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91"/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91"/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91"/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91"/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91"/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91"/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91"/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91"/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91"/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91"/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91"/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91"/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91"/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91"/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91"/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91"/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91"/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91"/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91"/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91"/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91"/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91"/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91"/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91"/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91"/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91"/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91"/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91"/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91"/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91"/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91"/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91"/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91"/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91"/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91"/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91"/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91"/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91"/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91"/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91"/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91"/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91"/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91"/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91"/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91"/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91"/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91"/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91"/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91"/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91"/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91"/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91"/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91"/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91"/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91"/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91"/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91"/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91"/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91"/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91"/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91"/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91"/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91"/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91"/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91"/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91"/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91"/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91"/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91"/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91"/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91"/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91"/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91"/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91"/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91"/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91"/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91"/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91"/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91"/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91"/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91"/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91"/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91"/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91"/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91"/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91"/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91"/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91"/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91"/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91"/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91"/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91"/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91"/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91"/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91"/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91"/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91"/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91"/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91"/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91"/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91"/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91"/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91"/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91"/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91"/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91"/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91"/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91"/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91"/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91"/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91"/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91"/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91"/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91"/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91"/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91"/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91"/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91"/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91"/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91"/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91"/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91"/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91"/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91"/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91"/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91"/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91"/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91"/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91"/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91"/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91"/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91"/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91"/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91"/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91"/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91"/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91"/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91"/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91"/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91"/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91"/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91"/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91"/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91"/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91"/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91"/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91"/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91"/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91"/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91"/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91"/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91"/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91"/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91"/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91"/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91"/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91"/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91"/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91"/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91"/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91"/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91"/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91"/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91"/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91"/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91"/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91"/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91"/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91"/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91"/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91"/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91"/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91"/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91"/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91"/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91"/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91"/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91"/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91"/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91"/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91"/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91"/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91"/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91"/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91"/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91"/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91"/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91"/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91"/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91"/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91"/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91"/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91"/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91"/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91"/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91"/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91"/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91"/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91"/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91"/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91"/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91"/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91"/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91"/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91"/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91"/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91"/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91"/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91"/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91"/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91"/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91"/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91"/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91"/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91"/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91"/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91"/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91"/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91"/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91"/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91"/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91"/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91"/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91"/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91"/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91"/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91"/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91"/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91"/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91"/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91"/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91"/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91"/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91"/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91"/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91"/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91"/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91"/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91"/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91"/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91"/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91"/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91"/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91"/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91"/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91"/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91"/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91"/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91"/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91"/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91"/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91"/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91"/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91"/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91"/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91"/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91"/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91"/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91"/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91"/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91"/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91"/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91"/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91"/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91"/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91"/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91"/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91"/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91"/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91"/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91"/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91"/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91"/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91"/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91"/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91"/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91"/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91"/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91"/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91"/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91"/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91"/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91"/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91"/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91"/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91"/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91"/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91"/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91"/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91"/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91"/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91"/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91"/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91"/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91"/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91"/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91"/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91"/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91"/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91"/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91"/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91"/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91"/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91"/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91"/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91"/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91"/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91"/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91"/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91"/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91"/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91"/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91"/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91"/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91"/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91"/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91"/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91"/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91"/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91"/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91"/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91"/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91"/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91"/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91"/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91"/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91"/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91"/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91"/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91"/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91"/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91"/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91"/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91"/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91"/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91"/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91"/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91"/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91"/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91"/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91"/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91"/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91"/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91"/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91"/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91"/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91"/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91"/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91"/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91"/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91"/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91"/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91"/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91"/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91"/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91"/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91"/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91"/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91"/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91"/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91"/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91"/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91"/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91"/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91"/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91"/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91"/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91"/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91"/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91"/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91"/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91"/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91"/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91"/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91"/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91"/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91"/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91"/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91"/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91"/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91"/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91"/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91"/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91"/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91"/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91"/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91"/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91"/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91"/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91"/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91"/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91"/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91"/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91"/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91"/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91"/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91"/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91"/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91"/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91"/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91"/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91"/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91"/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91"/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91"/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91"/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91"/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91"/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91"/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91"/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91"/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91"/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91"/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91"/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91"/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91"/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91"/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91"/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91"/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91"/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91"/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91"/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91"/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91"/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91"/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91"/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91"/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91"/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91"/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91"/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91"/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91"/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91"/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91"/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91"/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91"/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91"/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91"/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91"/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91"/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91"/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91"/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91"/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91"/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91"/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91"/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91"/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91"/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91"/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91"/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91"/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91"/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91"/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91"/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91"/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91"/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91"/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91"/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91"/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91"/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91"/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91"/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91"/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91"/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91"/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91"/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91"/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91"/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91"/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91"/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91"/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91"/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91"/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91"/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91"/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91"/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91"/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91"/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91"/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91"/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91"/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91"/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91"/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91"/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91"/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91"/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91"/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91"/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91"/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91"/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91"/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91"/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91"/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91"/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91"/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91"/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91"/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91"/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91"/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91"/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91"/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91"/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91"/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91"/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91"/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91"/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91"/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91"/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91"/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91"/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91"/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91"/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91"/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91"/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91"/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91"/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91"/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91"/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91"/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91"/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91"/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91"/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91"/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91"/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91"/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91"/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91"/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91"/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91"/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91"/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91"/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91"/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91"/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91"/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91"/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91"/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91"/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91"/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91"/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91"/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91"/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91"/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91"/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91"/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91"/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91"/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91"/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91"/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91"/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91"/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91"/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91"/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91"/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91"/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91"/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91"/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91"/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91"/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91"/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91"/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91"/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91"/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91"/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91"/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91"/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91"/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91"/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91"/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91"/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91"/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91"/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91"/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91"/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91"/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91"/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91"/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91"/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91"/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91"/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91"/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91"/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91"/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91"/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91"/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91"/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91"/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91"/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91"/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91"/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91"/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91"/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91"/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91"/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91"/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91"/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91"/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249"/>
      <c r="B2002" s="250"/>
      <c r="C2002" s="251"/>
      <c r="D2002" s="251"/>
      <c r="E2002" s="252" t="s">
        <v>3169</v>
      </c>
      <c r="F2002" s="253"/>
      <c r="G2002" s="254"/>
      <c r="H2002" s="255"/>
      <c r="I2002" s="256"/>
      <c r="J2002" s="256"/>
      <c r="K2002" s="257"/>
      <c r="L2002" s="258"/>
      <c r="M2002" s="259"/>
      <c r="N2002" s="260"/>
      <c r="O2002" s="249"/>
      <c r="P2002" s="249"/>
      <c r="Q2002" s="249"/>
      <c r="R2002" s="249"/>
      <c r="S2002" s="251"/>
      <c r="T2002" s="254"/>
    </row>
    <row r="2003" spans="1:20" ht="15" x14ac:dyDescent="0.25">
      <c r="A2003" s="249"/>
      <c r="B2003" s="250"/>
      <c r="C2003" s="251"/>
      <c r="D2003" s="251"/>
      <c r="E2003" s="252" t="s">
        <v>3171</v>
      </c>
      <c r="F2003" s="253"/>
      <c r="G2003" s="254"/>
      <c r="H2003" s="255"/>
      <c r="I2003" s="256"/>
      <c r="J2003" s="256"/>
      <c r="K2003" s="257"/>
      <c r="L2003" s="258"/>
      <c r="M2003" s="259"/>
      <c r="N2003" s="260"/>
      <c r="O2003" s="249"/>
      <c r="P2003" s="249"/>
      <c r="Q2003" s="249"/>
      <c r="R2003" s="249"/>
      <c r="S2003" s="251"/>
      <c r="T2003" s="254"/>
    </row>
    <row r="2004" spans="1:20" ht="22.5" customHeight="1" x14ac:dyDescent="0.25">
      <c r="A2004" s="238"/>
      <c r="B2004" s="239"/>
      <c r="C2004" s="240"/>
      <c r="D2004" s="240"/>
      <c r="E2004" s="237" t="s">
        <v>3170</v>
      </c>
      <c r="F2004" s="241"/>
      <c r="G2004" s="242"/>
      <c r="H2004" s="243"/>
      <c r="I2004" s="244"/>
      <c r="J2004" s="244"/>
      <c r="K2004" s="245"/>
      <c r="L2004" s="246"/>
      <c r="M2004" s="247"/>
      <c r="N2004" s="248"/>
      <c r="O2004" s="238"/>
      <c r="P2004" s="238"/>
      <c r="Q2004" s="238"/>
      <c r="R2004" s="238"/>
      <c r="S2004" s="240"/>
      <c r="T2004" s="242"/>
    </row>
    <row r="2005" spans="1:20" ht="22.5" customHeight="1" x14ac:dyDescent="0.25">
      <c r="A2005" s="249"/>
      <c r="B2005" s="250"/>
      <c r="C2005" s="251"/>
      <c r="D2005" s="251"/>
      <c r="E2005" s="252" t="s">
        <v>3172</v>
      </c>
      <c r="F2005" s="253"/>
      <c r="G2005" s="254"/>
      <c r="H2005" s="255"/>
      <c r="I2005" s="256"/>
      <c r="J2005" s="256"/>
      <c r="K2005" s="257"/>
      <c r="L2005" s="258"/>
      <c r="M2005" s="259"/>
      <c r="N2005" s="260"/>
      <c r="O2005" s="249"/>
      <c r="P2005" s="249"/>
      <c r="Q2005" s="249"/>
      <c r="R2005" s="249"/>
      <c r="S2005" s="251"/>
      <c r="T2005" s="254"/>
    </row>
    <row r="2006" spans="1:20" ht="22.5" customHeight="1" x14ac:dyDescent="0.25">
      <c r="A2006" s="238"/>
      <c r="B2006" s="239"/>
      <c r="C2006" s="240"/>
      <c r="D2006" s="240"/>
      <c r="E2006" s="237" t="s">
        <v>3169</v>
      </c>
      <c r="F2006" s="241"/>
      <c r="G2006" s="242"/>
      <c r="H2006" s="243"/>
      <c r="I2006" s="244"/>
      <c r="J2006" s="244"/>
      <c r="K2006" s="245"/>
      <c r="L2006" s="246"/>
      <c r="M2006" s="247"/>
      <c r="N2006" s="248"/>
      <c r="O2006" s="238"/>
      <c r="P2006" s="238"/>
      <c r="Q2006" s="238"/>
      <c r="R2006" s="238"/>
      <c r="S2006" s="240"/>
      <c r="T2006" s="242"/>
    </row>
    <row r="2007" spans="1:20" ht="22.5" customHeight="1" x14ac:dyDescent="0.25">
      <c r="A2007" s="249"/>
      <c r="B2007" s="250"/>
      <c r="C2007" s="251"/>
      <c r="D2007" s="251"/>
      <c r="E2007" s="252" t="s">
        <v>3169</v>
      </c>
      <c r="F2007" s="253"/>
      <c r="G2007" s="254"/>
      <c r="H2007" s="255"/>
      <c r="I2007" s="256"/>
      <c r="J2007" s="256"/>
      <c r="K2007" s="257"/>
      <c r="L2007" s="258"/>
      <c r="M2007" s="259"/>
      <c r="N2007" s="260"/>
      <c r="O2007" s="249"/>
      <c r="P2007" s="249"/>
      <c r="Q2007" s="249"/>
      <c r="R2007" s="249"/>
      <c r="S2007" s="251"/>
      <c r="T2007" s="25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23" priority="3">
      <formula>TRIM(C2)="Realizado"</formula>
    </cfRule>
  </conditionalFormatting>
  <conditionalFormatting sqref="C2:C2007">
    <cfRule type="expression" dxfId="22" priority="4">
      <formula>TRIM(C2)="Cancelado"</formula>
    </cfRule>
  </conditionalFormatting>
  <conditionalFormatting sqref="C2:C2007">
    <cfRule type="expression" dxfId="21" priority="5">
      <formula>TRIM(C2)="Em andamento"</formula>
    </cfRule>
  </conditionalFormatting>
  <conditionalFormatting sqref="C2:C2007">
    <cfRule type="expression" dxfId="20" priority="6">
      <formula>TRIM(C2)="Adiado"</formula>
    </cfRule>
  </conditionalFormatting>
  <conditionalFormatting sqref="A2:A2007">
    <cfRule type="expression" dxfId="19" priority="7">
      <formula>AND($B2&lt;&gt;"",$A2="")</formula>
    </cfRule>
  </conditionalFormatting>
  <conditionalFormatting sqref="L2:M2007">
    <cfRule type="expression" dxfId="18" priority="8">
      <formula>L2=""</formula>
    </cfRule>
  </conditionalFormatting>
  <conditionalFormatting sqref="A2:T726 A727:C727 E727:T727 A728:T2001">
    <cfRule type="expression" dxfId="83" priority="9">
      <formula>MOD(ROW(),2)=0</formula>
    </cfRule>
  </conditionalFormatting>
  <conditionalFormatting sqref="A2:T726 A727:C727 E727:T727 A728:T2001">
    <cfRule type="expression" dxfId="82" priority="10">
      <formula>MOD(ROW(),2)=1</formula>
    </cfRule>
  </conditionalFormatting>
  <conditionalFormatting sqref="E2002:E2007">
    <cfRule type="expression" dxfId="75" priority="1">
      <formula>MOD(ROW(),2)=0</formula>
    </cfRule>
  </conditionalFormatting>
  <conditionalFormatting sqref="E2002:E2007">
    <cfRule type="expression" dxfId="74" priority="2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14" t="s">
        <v>2970</v>
      </c>
    </row>
    <row r="2" spans="1:8" x14ac:dyDescent="0.25">
      <c r="H2" s="213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13" t="s">
        <v>2975</v>
      </c>
    </row>
    <row r="4" spans="1:8" x14ac:dyDescent="0.25">
      <c r="A4">
        <v>1</v>
      </c>
      <c r="B4" t="s">
        <v>2976</v>
      </c>
      <c r="D4" t="s">
        <v>2977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2978</v>
      </c>
    </row>
    <row r="5" spans="1:8" x14ac:dyDescent="0.25">
      <c r="A5">
        <v>2</v>
      </c>
      <c r="B5" t="s">
        <v>2507</v>
      </c>
      <c r="D5" t="s">
        <v>2977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2979</v>
      </c>
    </row>
    <row r="6" spans="1:8" x14ac:dyDescent="0.25">
      <c r="A6">
        <v>3</v>
      </c>
      <c r="B6" t="s">
        <v>1030</v>
      </c>
      <c r="D6" t="s">
        <v>2977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 x14ac:dyDescent="0.25">
      <c r="A7">
        <v>4</v>
      </c>
      <c r="B7" t="s">
        <v>2980</v>
      </c>
      <c r="D7" t="s">
        <v>2977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2981</v>
      </c>
    </row>
    <row r="8" spans="1:8" x14ac:dyDescent="0.25">
      <c r="A8">
        <v>5</v>
      </c>
      <c r="B8" t="s">
        <v>2982</v>
      </c>
      <c r="D8" t="s">
        <v>2977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81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2026-044</v>
      </c>
      <c r="C2" s="21" t="str">
        <v>A realizar</v>
      </c>
      <c r="D2" s="18" t="str">
        <v>31º SEMAT</v>
      </c>
      <c r="E2" s="20">
        <v>8</v>
      </c>
      <c r="F2" s="18" t="str">
        <v>José Roberto Alcuri Júnior</v>
      </c>
      <c r="G2" s="20">
        <v>10</v>
      </c>
      <c r="H2" s="22">
        <v>1</v>
      </c>
      <c r="I2" s="22">
        <v>0.3</v>
      </c>
      <c r="J2" s="22">
        <v>1.3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2026-044</v>
      </c>
      <c r="C3" s="21" t="str">
        <v>A realizar</v>
      </c>
      <c r="D3" s="18" t="str">
        <v>31º SEMAT</v>
      </c>
      <c r="E3" s="20">
        <v>8</v>
      </c>
      <c r="F3" s="18" t="str">
        <v>Felipe Ramos Barbosa</v>
      </c>
      <c r="G3" s="20">
        <v>10</v>
      </c>
      <c r="H3" s="22">
        <v>1</v>
      </c>
      <c r="I3" s="22">
        <v>0.3</v>
      </c>
      <c r="J3" s="22">
        <v>1.3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2026-044</v>
      </c>
      <c r="C4" s="21" t="str">
        <v>A realizar</v>
      </c>
      <c r="D4" s="18" t="str">
        <v>31º SEMAT</v>
      </c>
      <c r="E4" s="20">
        <v>8</v>
      </c>
      <c r="F4" s="18" t="str">
        <v>Carolina Pereira de Oliveira</v>
      </c>
      <c r="G4" s="20">
        <v>10</v>
      </c>
      <c r="H4" s="22">
        <v>1</v>
      </c>
      <c r="I4" s="22">
        <v>0.3</v>
      </c>
      <c r="J4" s="22">
        <v>1.3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2026-044</v>
      </c>
      <c r="N4" t="str">
        <v>A realizar</v>
      </c>
      <c r="O4" t="str">
        <v>31º SEMAT</v>
      </c>
      <c r="P4">
        <v>8</v>
      </c>
      <c r="Q4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ref="R4:R200">IF(L4:L200="","",IF(ISERROR(FIND("; ",Q4:Q200)),1,(LEN(Q4:Q200)-LEN(SUBSTITUTE(Q4:Q200,"; ","")))/2+1))</f>
        <v>10</v>
      </c>
      <c r="S4" cm="1">
        <f t="array" ref="S4:S200">IF(R4:R200="","",_xlfn.SCAN(0,R4:R200,_xlfn.LAMBDA(_xlpm.a,_xlpm.b,IF(_xlpm.b="","",_xlpm.a+_xlpm.b))))</f>
        <v>10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2026-044</v>
      </c>
      <c r="C5" s="21" t="str">
        <v>A realizar</v>
      </c>
      <c r="D5" s="18" t="str">
        <v>31º SEMAT</v>
      </c>
      <c r="E5" s="20">
        <v>8</v>
      </c>
      <c r="F5" s="18" t="str">
        <v>Eustáquio Rabelo de Souza</v>
      </c>
      <c r="G5" s="20">
        <v>10</v>
      </c>
      <c r="H5" s="22">
        <v>1</v>
      </c>
      <c r="I5" s="22">
        <v>0.3</v>
      </c>
      <c r="J5" s="22">
        <v>1.3</v>
      </c>
      <c r="L5">
        <v>2026</v>
      </c>
      <c r="M5" t="str">
        <v>2026-054</v>
      </c>
      <c r="N5" t="str">
        <v>A realizar</v>
      </c>
      <c r="O5" t="str">
        <v>Café e Tertúlia: Encerramento da Semana da Saúde</v>
      </c>
      <c r="P5">
        <v>2</v>
      </c>
      <c r="Q5" t="str">
        <v>Cinthia Thais de Carvalho Luz Thomazi; Gabriel Heller; Isac Mendes Caixeta de Pamplona Araújo; Valéria Feitoza</v>
      </c>
      <c r="R5">
        <v>4</v>
      </c>
      <c r="S5">
        <v>14</v>
      </c>
      <c r="T5">
        <v>10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2026-044</v>
      </c>
      <c r="C6" s="21" t="str">
        <v>A realizar</v>
      </c>
      <c r="D6" s="18" t="str">
        <v>31º SEMAT</v>
      </c>
      <c r="E6" s="20">
        <v>8</v>
      </c>
      <c r="F6" s="18" t="str">
        <v>Alinne Patrícia de Andrade Carvalho</v>
      </c>
      <c r="G6" s="20">
        <v>10</v>
      </c>
      <c r="H6" s="22">
        <v>0</v>
      </c>
      <c r="I6" s="22">
        <v>0</v>
      </c>
      <c r="J6" s="22">
        <v>0</v>
      </c>
      <c r="L6">
        <v>2026</v>
      </c>
      <c r="M6" t="str">
        <v>2026-001</v>
      </c>
      <c r="N6" t="str">
        <v>Realizado</v>
      </c>
      <c r="O6" t="str">
        <v>Contratação de TIC</v>
      </c>
      <c r="P6">
        <v>8</v>
      </c>
      <c r="Q6" t="str">
        <v>Flávio José Fonseca de Souza</v>
      </c>
      <c r="R6">
        <v>1</v>
      </c>
      <c r="S6">
        <v>15</v>
      </c>
      <c r="T6">
        <v>14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2026-044</v>
      </c>
      <c r="C7" s="21" t="str">
        <v>A realizar</v>
      </c>
      <c r="D7" s="18" t="str">
        <v>31º SEMAT</v>
      </c>
      <c r="E7" s="20">
        <v>8</v>
      </c>
      <c r="F7" s="18" t="str">
        <v>Silvia Lima Damasceno Carvalho</v>
      </c>
      <c r="G7" s="20">
        <v>10</v>
      </c>
      <c r="H7" s="22">
        <v>1</v>
      </c>
      <c r="I7" s="22">
        <v>0.3</v>
      </c>
      <c r="J7" s="22">
        <v>1.3</v>
      </c>
      <c r="L7">
        <v>2026</v>
      </c>
      <c r="M7" t="str">
        <v>2026-066</v>
      </c>
      <c r="N7" t="str">
        <v>A realizar</v>
      </c>
      <c r="O7" t="str">
        <v>Contratações de TIC com base na jurisprudência do TCDF - EAD</v>
      </c>
      <c r="P7">
        <v>17.45</v>
      </c>
      <c r="Q7" t="str">
        <v>Flávio José Fonseca de Souza; Felipe da Costa Malaquias</v>
      </c>
      <c r="R7">
        <v>2</v>
      </c>
      <c r="S7">
        <v>17</v>
      </c>
      <c r="T7">
        <v>15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2026-044</v>
      </c>
      <c r="C8" s="21" t="str">
        <v>A realizar</v>
      </c>
      <c r="D8" s="18" t="str">
        <v>31º SEMAT</v>
      </c>
      <c r="E8" s="20">
        <v>8</v>
      </c>
      <c r="F8" s="18" t="str">
        <v>Marcelo Silva Santana</v>
      </c>
      <c r="G8" s="20">
        <v>10</v>
      </c>
      <c r="H8" s="22">
        <v>8</v>
      </c>
      <c r="I8" s="22">
        <v>0.24</v>
      </c>
      <c r="J8" s="22">
        <v>8.24</v>
      </c>
      <c r="L8">
        <v>2026</v>
      </c>
      <c r="M8" t="str">
        <v>2026-034</v>
      </c>
      <c r="N8" t="str">
        <v>Realizado</v>
      </c>
      <c r="O8" t="str">
        <v>Curso “Sisaudit na Prática”</v>
      </c>
      <c r="P8">
        <v>12</v>
      </c>
      <c r="Q8" t="str">
        <v>Davi Assunção Salvador Nery de Castro; David da Silva de Araújo; Hamilton de Jesus Lopes Neto</v>
      </c>
      <c r="R8">
        <v>3</v>
      </c>
      <c r="S8">
        <v>20</v>
      </c>
      <c r="T8">
        <v>17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2026-044</v>
      </c>
      <c r="C9" s="21" t="str">
        <v>A realizar</v>
      </c>
      <c r="D9" s="18" t="str">
        <v>31º SEMAT</v>
      </c>
      <c r="E9" s="20">
        <v>8</v>
      </c>
      <c r="F9" s="18" t="str">
        <v>Cinthia Thais de Carvalho Luz Thomazi</v>
      </c>
      <c r="G9" s="20">
        <v>10</v>
      </c>
      <c r="H9" s="22">
        <v>1</v>
      </c>
      <c r="I9" s="22">
        <v>0.3</v>
      </c>
      <c r="J9" s="22">
        <v>1.3</v>
      </c>
      <c r="L9">
        <v>2026</v>
      </c>
      <c r="M9" t="str">
        <v>2026-027</v>
      </c>
      <c r="N9" t="str">
        <v>Realizado</v>
      </c>
      <c r="O9" t="str">
        <v>Curso básico de e-TCDF</v>
      </c>
      <c r="P9">
        <v>16</v>
      </c>
      <c r="Q9" t="str">
        <v>Cássio Murilo Alves Costa Filho</v>
      </c>
      <c r="R9">
        <v>1</v>
      </c>
      <c r="S9">
        <v>21</v>
      </c>
      <c r="T9">
        <v>20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2026-044</v>
      </c>
      <c r="C10" s="21" t="str">
        <v>A realizar</v>
      </c>
      <c r="D10" s="18" t="str">
        <v>31º SEMAT</v>
      </c>
      <c r="E10" s="20">
        <v>8</v>
      </c>
      <c r="F10" s="18" t="str">
        <v>Igor Queiroz</v>
      </c>
      <c r="G10" s="20">
        <v>10</v>
      </c>
      <c r="H10" s="22">
        <v>1</v>
      </c>
      <c r="I10" s="22">
        <v>0.3</v>
      </c>
      <c r="J10" s="22">
        <v>1.3</v>
      </c>
      <c r="L10">
        <v>2026</v>
      </c>
      <c r="M10" t="str">
        <v>2026-019</v>
      </c>
      <c r="N10" t="str">
        <v>Realizado</v>
      </c>
      <c r="O10" t="str">
        <v>Curso de Ambientação para os novos Auditores de Controle Externo - Área Auditoria</v>
      </c>
      <c r="P10">
        <v>20</v>
      </c>
      <c r="Q10" t="str">
        <v>Diversos</v>
      </c>
      <c r="R10">
        <v>1</v>
      </c>
      <c r="S10">
        <v>22</v>
      </c>
      <c r="T10">
        <v>21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2026-044</v>
      </c>
      <c r="C11" s="21" t="str">
        <v>A realizar</v>
      </c>
      <c r="D11" s="18" t="str">
        <v>31º SEMAT</v>
      </c>
      <c r="E11" s="20">
        <v>8</v>
      </c>
      <c r="F11" s="18" t="str">
        <v>Guilherme Bride Fernandes</v>
      </c>
      <c r="G11" s="20">
        <v>10</v>
      </c>
      <c r="H11" s="22">
        <v>0</v>
      </c>
      <c r="I11" s="22">
        <v>0</v>
      </c>
      <c r="J11" s="22">
        <v>0</v>
      </c>
      <c r="L11">
        <v>2026</v>
      </c>
      <c r="M11" t="str">
        <v>2026-042</v>
      </c>
      <c r="N11" t="str">
        <v>Realizado</v>
      </c>
      <c r="O11" t="str">
        <v>Curso de Formação para Conselheiros de Saúde do DF</v>
      </c>
      <c r="P11">
        <v>20</v>
      </c>
      <c r="Q11" t="str">
        <v>Tarsila Firmino Ely</v>
      </c>
      <c r="R11">
        <v>1</v>
      </c>
      <c r="S11">
        <v>23</v>
      </c>
      <c r="T11">
        <v>22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2026-054</v>
      </c>
      <c r="C12" s="21" t="str">
        <v>A realizar</v>
      </c>
      <c r="D12" s="18" t="str">
        <v>Café e Tertúlia: Encerramento da Semana da Saúde</v>
      </c>
      <c r="E12" s="20">
        <v>2</v>
      </c>
      <c r="F12" s="18" t="str">
        <v>Cinthia Thais de Carvalho Luz Thomazi</v>
      </c>
      <c r="G12" s="20">
        <v>4</v>
      </c>
      <c r="H12" s="22">
        <v>0</v>
      </c>
      <c r="I12" s="22">
        <v>0</v>
      </c>
      <c r="J12" s="22">
        <v>0</v>
      </c>
      <c r="L12">
        <v>2026</v>
      </c>
      <c r="M12" t="str">
        <v>2026-032</v>
      </c>
      <c r="N12" t="str">
        <v>Realizado</v>
      </c>
      <c r="O12" t="str">
        <v>Curso de formação para gestores e fiscais de Contrato em equipamentos nas unidades hospitalares - T2</v>
      </c>
      <c r="P12">
        <v>12</v>
      </c>
      <c r="Q12" t="str">
        <v>Tarsila Firmino Ely; Luciana Alvim</v>
      </c>
      <c r="R12">
        <v>2</v>
      </c>
      <c r="S12">
        <v>25</v>
      </c>
      <c r="T12">
        <v>23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2026-054</v>
      </c>
      <c r="C13" s="21" t="str">
        <v>A realizar</v>
      </c>
      <c r="D13" s="18" t="str">
        <v>Café e Tertúlia: Encerramento da Semana da Saúde</v>
      </c>
      <c r="E13" s="20">
        <v>2</v>
      </c>
      <c r="F13" s="18" t="str">
        <v>Gabriel Heller</v>
      </c>
      <c r="G13" s="20">
        <v>4</v>
      </c>
      <c r="H13" s="22">
        <v>0</v>
      </c>
      <c r="I13" s="22">
        <v>0</v>
      </c>
      <c r="J13" s="22">
        <v>0</v>
      </c>
      <c r="L13">
        <v>2026</v>
      </c>
      <c r="M13" t="str">
        <v>2026-033</v>
      </c>
      <c r="N13" t="str">
        <v>Realizado</v>
      </c>
      <c r="O13" t="str">
        <v>Curso de formação para gestores e fiscais de Contrato em equipamentos nas unidades hospitalares - T3</v>
      </c>
      <c r="P13">
        <v>12</v>
      </c>
      <c r="Q13" t="str">
        <v>Tarsila Firmino Ely; Luciana Alvim</v>
      </c>
      <c r="R13">
        <v>2</v>
      </c>
      <c r="S13">
        <v>27</v>
      </c>
      <c r="T13">
        <v>25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2026-054</v>
      </c>
      <c r="C14" s="21" t="str">
        <v>A realizar</v>
      </c>
      <c r="D14" s="18" t="str">
        <v>Café e Tertúlia: Encerramento da Semana da Saúde</v>
      </c>
      <c r="E14" s="20">
        <v>2</v>
      </c>
      <c r="F14" s="18" t="str">
        <v>Isac Mendes Caixeta de Pamplona Araújo</v>
      </c>
      <c r="G14" s="20">
        <v>4</v>
      </c>
      <c r="H14" s="22">
        <v>0</v>
      </c>
      <c r="I14" s="22">
        <v>0</v>
      </c>
      <c r="J14" s="22">
        <v>0</v>
      </c>
      <c r="L14">
        <v>2026</v>
      </c>
      <c r="M14" t="str">
        <v>2026-057</v>
      </c>
      <c r="N14" t="str">
        <v>A realizar</v>
      </c>
      <c r="O14" t="str">
        <v>Curso de formação sobre "Programa de Descentralização Progressiva das Ações de Saúde - PDPAS</v>
      </c>
      <c r="P14">
        <v>20</v>
      </c>
      <c r="Q14" t="str">
        <v>Tarsila Firmino Ely; Sara Cristina Lins Ramos; Carina de Souza Mariuba Herthel; Elvis Aaron Teixeira dos Santos Lima</v>
      </c>
      <c r="R14">
        <v>4</v>
      </c>
      <c r="S14">
        <v>31</v>
      </c>
      <c r="T14">
        <v>27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2026-054</v>
      </c>
      <c r="C15" s="21" t="str">
        <v>A realizar</v>
      </c>
      <c r="D15" s="18" t="str">
        <v>Café e Tertúlia: Encerramento da Semana da Saúde</v>
      </c>
      <c r="E15" s="20">
        <v>2</v>
      </c>
      <c r="F15" s="18" t="str">
        <v>Valéria Feitoza</v>
      </c>
      <c r="G15" s="20">
        <v>4</v>
      </c>
      <c r="H15" s="22">
        <v>0</v>
      </c>
      <c r="I15" s="22">
        <v>0</v>
      </c>
      <c r="J15" s="22">
        <v>0</v>
      </c>
      <c r="L15">
        <v>2026</v>
      </c>
      <c r="M15" t="str">
        <v>2026-021</v>
      </c>
      <c r="N15" t="str">
        <v>Realizado</v>
      </c>
      <c r="O15" t="str">
        <v>Curso de Fundamentos básicos de controle externo no TCDF</v>
      </c>
      <c r="P15">
        <v>12</v>
      </c>
      <c r="Q15" t="str">
        <v>Cinthia Thais de Carvalho Luz Thomazi; Reinaldo Alencar; Rogério Ribeiro; Rômulo Miranda Alvim; Gabriel Heller</v>
      </c>
      <c r="R15">
        <v>5</v>
      </c>
      <c r="S15">
        <v>36</v>
      </c>
      <c r="T15">
        <v>31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2026-001</v>
      </c>
      <c r="C16" s="21" t="str">
        <v>Realizado</v>
      </c>
      <c r="D16" s="18" t="str">
        <v>Contratação de TIC</v>
      </c>
      <c r="E16" s="20">
        <v>8</v>
      </c>
      <c r="F16" s="18" t="str">
        <v>Flávio José Fonseca de Souza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2026-008</v>
      </c>
      <c r="N16" t="str">
        <v>Realizado</v>
      </c>
      <c r="O16" t="str">
        <v>Curso de Promoção Funcional 2026/2027</v>
      </c>
      <c r="P16">
        <v>20</v>
      </c>
      <c r="Q16" t="str">
        <v>Rômulo Miranda Alvim; Cinthia Thais de Carvalho Luz Thomazi</v>
      </c>
      <c r="R16">
        <v>2</v>
      </c>
      <c r="S16">
        <v>38</v>
      </c>
      <c r="T16">
        <v>36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2026-066</v>
      </c>
      <c r="C17" s="21" t="str">
        <v>A realizar</v>
      </c>
      <c r="D17" s="18" t="str">
        <v>Contratações de TIC com base na jurisprudência do TCDF - EAD</v>
      </c>
      <c r="E17" s="20">
        <v>17.45</v>
      </c>
      <c r="F17" s="18" t="str">
        <v>Flávio José Fonseca de Souza</v>
      </c>
      <c r="G17" s="20">
        <v>2</v>
      </c>
      <c r="H17" s="22">
        <v>0</v>
      </c>
      <c r="I17" s="22">
        <v>34.9</v>
      </c>
      <c r="J17" s="22">
        <v>34.9</v>
      </c>
      <c r="L17">
        <v>2026</v>
      </c>
      <c r="M17" t="str">
        <v>2026-006</v>
      </c>
      <c r="N17" t="str">
        <v>Realizado</v>
      </c>
      <c r="O17" t="str">
        <v>Curso para gestores e fiscais de contratos de serviços assistenciais complementares – SES/DF</v>
      </c>
      <c r="P17">
        <v>12</v>
      </c>
      <c r="Q17" t="str">
        <v>Adriana Magalhães; Luciana Alvim</v>
      </c>
      <c r="R17">
        <v>2</v>
      </c>
      <c r="S17">
        <v>40</v>
      </c>
      <c r="T17">
        <v>38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2026-066</v>
      </c>
      <c r="C18" s="21" t="str">
        <v>A realizar</v>
      </c>
      <c r="D18" s="18" t="str">
        <v>Contratações de TIC com base na jurisprudência do TCDF - EAD</v>
      </c>
      <c r="E18" s="20">
        <v>17.45</v>
      </c>
      <c r="F18" s="18" t="str">
        <v>Felipe da Costa Malaquias</v>
      </c>
      <c r="G18" s="20">
        <v>2</v>
      </c>
      <c r="H18" s="22">
        <v>0</v>
      </c>
      <c r="I18" s="22">
        <v>34.9</v>
      </c>
      <c r="J18" s="22">
        <v>34.9</v>
      </c>
      <c r="L18">
        <v>2026</v>
      </c>
      <c r="M18" t="str">
        <v>2026-013</v>
      </c>
      <c r="N18" t="str">
        <v>Realizado</v>
      </c>
      <c r="O18" t="str">
        <v>Curso para gestores e fiscais de contratos de serviços assistenciais complementares – SES/DF - T2</v>
      </c>
      <c r="P18">
        <v>12</v>
      </c>
      <c r="Q18" t="str">
        <v>Adriana Magalhães; Luciana Alvim</v>
      </c>
      <c r="R18">
        <v>2</v>
      </c>
      <c r="S18">
        <v>42</v>
      </c>
      <c r="T18">
        <v>40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2026-034</v>
      </c>
      <c r="C19" s="21" t="str">
        <v>Realizado</v>
      </c>
      <c r="D19" s="18" t="str">
        <v>Curso “Sisaudit na Prática”</v>
      </c>
      <c r="E19" s="20">
        <v>12</v>
      </c>
      <c r="F19" s="18" t="str">
        <v>Davi Assunção Salvador Nery de Castro</v>
      </c>
      <c r="G19" s="20">
        <v>3</v>
      </c>
      <c r="H19" s="22">
        <v>12</v>
      </c>
      <c r="I19" s="22">
        <v>1.2</v>
      </c>
      <c r="J19" s="22">
        <v>13.2</v>
      </c>
      <c r="L19">
        <v>2026</v>
      </c>
      <c r="M19" t="str">
        <v>2026-025</v>
      </c>
      <c r="N19" t="str">
        <v>A realizar</v>
      </c>
      <c r="O19" t="str">
        <v>Elaboração da Cartilha "Gestão e Fiscalização de Contratos em Saúde"</v>
      </c>
      <c r="P19">
        <v>65</v>
      </c>
      <c r="Q19" t="str">
        <v>Tarsila Firmino Ely; Luciana Alvim</v>
      </c>
      <c r="R19">
        <v>2</v>
      </c>
      <c r="S19">
        <v>44</v>
      </c>
      <c r="T19">
        <v>42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2026-034</v>
      </c>
      <c r="C20" s="21" t="str">
        <v>Realizado</v>
      </c>
      <c r="D20" s="18" t="str">
        <v>Curso “Sisaudit na Prática”</v>
      </c>
      <c r="E20" s="20">
        <v>12</v>
      </c>
      <c r="F20" s="18" t="str">
        <v>David da Silva de Araújo</v>
      </c>
      <c r="G20" s="20">
        <v>3</v>
      </c>
      <c r="H20" s="22">
        <v>12</v>
      </c>
      <c r="I20" s="22">
        <v>1.2</v>
      </c>
      <c r="J20" s="22">
        <v>13.2</v>
      </c>
      <c r="L20">
        <v>2026</v>
      </c>
      <c r="M20" t="str">
        <v>2026-050</v>
      </c>
      <c r="N20" t="str">
        <v>A realizar</v>
      </c>
      <c r="O20" t="str">
        <v>Encontro Técnico - SEMAT: Concursos públicos e registro de admissões</v>
      </c>
      <c r="P20">
        <v>4</v>
      </c>
      <c r="Q20" t="str">
        <v>Carlos Antônio</v>
      </c>
      <c r="R20">
        <v>1</v>
      </c>
      <c r="S20">
        <v>45</v>
      </c>
      <c r="T20">
        <v>44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2026-034</v>
      </c>
      <c r="C21" s="21" t="str">
        <v>Realizado</v>
      </c>
      <c r="D21" s="18" t="str">
        <v>Curso “Sisaudit na Prática”</v>
      </c>
      <c r="E21" s="20">
        <v>12</v>
      </c>
      <c r="F21" s="18" t="str">
        <v>Hamilton de Jesus Lopes Neto</v>
      </c>
      <c r="G21" s="20">
        <v>3</v>
      </c>
      <c r="H21" s="22">
        <v>12</v>
      </c>
      <c r="I21" s="22">
        <v>1.2</v>
      </c>
      <c r="J21" s="22">
        <v>13.2</v>
      </c>
      <c r="L21">
        <v>2026</v>
      </c>
      <c r="M21" t="str">
        <v>2026-052</v>
      </c>
      <c r="N21" t="str">
        <v>A realizar</v>
      </c>
      <c r="O21" t="str">
        <v>Encontro Técnico– SEMAT: Concessões e Fiscalização de Pessoal</v>
      </c>
      <c r="P21">
        <v>4</v>
      </c>
      <c r="Q21" t="str">
        <v>Jamile Medeiros Fon; José Roberto Alcuri Júnior</v>
      </c>
      <c r="R21">
        <v>2</v>
      </c>
      <c r="S21">
        <v>47</v>
      </c>
      <c r="T21">
        <v>45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2026-027</v>
      </c>
      <c r="C22" s="21" t="str">
        <v>Realizado</v>
      </c>
      <c r="D22" s="18" t="str">
        <v>Curso básico de e-TCDF</v>
      </c>
      <c r="E22" s="20">
        <v>16</v>
      </c>
      <c r="F22" s="18" t="str">
        <v>Cássio Murilo Alves Costa Filho</v>
      </c>
      <c r="G22" s="20">
        <v>1</v>
      </c>
      <c r="H22" s="22">
        <v>16</v>
      </c>
      <c r="I22" s="22">
        <v>4.8</v>
      </c>
      <c r="J22" s="22">
        <v>20.8</v>
      </c>
      <c r="L22">
        <v>2026</v>
      </c>
      <c r="M22" t="str">
        <v>2026-040</v>
      </c>
      <c r="N22" t="str">
        <v>Realizado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48</v>
      </c>
      <c r="T22">
        <v>47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2026-019</v>
      </c>
      <c r="C23" s="21" t="str">
        <v>Realizado</v>
      </c>
      <c r="D23" s="18" t="str">
        <v>Curso de Ambientação para os novos Auditores de Controle Externo - Área Auditoria</v>
      </c>
      <c r="E23" s="20">
        <v>20</v>
      </c>
      <c r="F23" s="18" t="str">
        <v>Diversos</v>
      </c>
      <c r="G23" s="20">
        <v>1</v>
      </c>
      <c r="H23" s="22">
        <v>0</v>
      </c>
      <c r="I23" s="22">
        <v>0</v>
      </c>
      <c r="J23" s="22">
        <v>0</v>
      </c>
      <c r="L23">
        <v>2026</v>
      </c>
      <c r="M23" t="str">
        <v>2026-031</v>
      </c>
      <c r="N23" t="str">
        <v>Realizado</v>
      </c>
      <c r="O23" t="str">
        <v>Fiscalizações Baseadas em Risco</v>
      </c>
      <c r="P23">
        <v>20</v>
      </c>
      <c r="Q23" t="str">
        <v>Reinaldo Alencar; Rogério Ribeiro</v>
      </c>
      <c r="R23">
        <v>2</v>
      </c>
      <c r="S23">
        <v>50</v>
      </c>
      <c r="T23">
        <v>48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2026-042</v>
      </c>
      <c r="C24" s="21" t="str">
        <v>Realizado</v>
      </c>
      <c r="D24" s="18" t="str">
        <v>Curso de Formação para Conselheiros de Saúde do DF</v>
      </c>
      <c r="E24" s="20">
        <v>20</v>
      </c>
      <c r="F24" s="18" t="str">
        <v>Tarsila Firmino Ely</v>
      </c>
      <c r="G24" s="20">
        <v>1</v>
      </c>
      <c r="H24" s="22">
        <v>20</v>
      </c>
      <c r="I24" s="22">
        <v>6</v>
      </c>
      <c r="J24" s="22">
        <v>26</v>
      </c>
      <c r="L24">
        <v>2026</v>
      </c>
      <c r="M24" t="str">
        <v>2026-005</v>
      </c>
      <c r="N24" t="str">
        <v>Realizado</v>
      </c>
      <c r="O24" t="str">
        <v>FIT1: Treinamento e Desenvolvimento (T&amp;D)</v>
      </c>
      <c r="P24">
        <v>16</v>
      </c>
      <c r="Q24" t="str">
        <v>Paulo José Góes Daltro</v>
      </c>
      <c r="R24">
        <v>1</v>
      </c>
      <c r="S24">
        <v>51</v>
      </c>
      <c r="T24">
        <v>50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2026-032</v>
      </c>
      <c r="C25" s="21" t="str">
        <v>Realizado</v>
      </c>
      <c r="D25" s="18" t="str">
        <v>Curso de formação para gestores e fiscais de Contrato em equipamentos nas unidades hospitalares - T2</v>
      </c>
      <c r="E25" s="20">
        <v>12</v>
      </c>
      <c r="F25" s="18" t="str">
        <v>Tarsila Firmino Ely</v>
      </c>
      <c r="G25" s="20">
        <v>2</v>
      </c>
      <c r="H25" s="22">
        <v>12</v>
      </c>
      <c r="I25" s="22">
        <v>1.7999999999999998</v>
      </c>
      <c r="J25" s="22">
        <v>13.8</v>
      </c>
      <c r="L25">
        <v>2026</v>
      </c>
      <c r="M25" t="str">
        <v>2026-004</v>
      </c>
      <c r="N25" t="str">
        <v>Realizado</v>
      </c>
      <c r="O25" t="str">
        <v>Gestão e Fiscalização de Contratos de Equipamentos Médico Hospitalares e Serviços de Manutenção</v>
      </c>
      <c r="P25">
        <v>12</v>
      </c>
      <c r="Q25" t="str">
        <v>Tarsila Firmino Ely; Luciana Alvim</v>
      </c>
      <c r="R25">
        <v>2</v>
      </c>
      <c r="S25">
        <v>53</v>
      </c>
      <c r="T25">
        <v>51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2026-032</v>
      </c>
      <c r="C26" s="21" t="str">
        <v>Realizado</v>
      </c>
      <c r="D26" s="18" t="str">
        <v>Curso de formação para gestores e fiscais de Contrato em equipamentos nas unidades hospitalares - T2</v>
      </c>
      <c r="E26" s="20">
        <v>12</v>
      </c>
      <c r="F26" s="18" t="str">
        <v>Luciana Alvim</v>
      </c>
      <c r="G26" s="20">
        <v>2</v>
      </c>
      <c r="H26" s="22">
        <v>12</v>
      </c>
      <c r="I26" s="22">
        <v>1.7999999999999998</v>
      </c>
      <c r="J26" s="22">
        <v>13.8</v>
      </c>
      <c r="L26">
        <v>2026</v>
      </c>
      <c r="M26" t="str">
        <v>2026-037</v>
      </c>
      <c r="N26" t="str">
        <v>Realizado</v>
      </c>
      <c r="O26" t="str">
        <v>Introdução à Engenharia de Prompt - SEE</v>
      </c>
      <c r="P26">
        <v>8</v>
      </c>
      <c r="Q26" t="str">
        <v>Arthur Wú; Gustavo Takahashi</v>
      </c>
      <c r="R26">
        <v>2</v>
      </c>
      <c r="S26">
        <v>55</v>
      </c>
      <c r="T26">
        <v>53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2026-033</v>
      </c>
      <c r="C27" s="21" t="str">
        <v>Realizado</v>
      </c>
      <c r="D27" s="18" t="str">
        <v>Curso de formação para gestores e fiscais de Contrato em equipamentos nas unidades hospitalares - T3</v>
      </c>
      <c r="E27" s="20">
        <v>12</v>
      </c>
      <c r="F27" s="18" t="str">
        <v>Tarsila Firmino Ely</v>
      </c>
      <c r="G27" s="20">
        <v>2</v>
      </c>
      <c r="H27" s="22">
        <v>12</v>
      </c>
      <c r="I27" s="22">
        <v>1.7999999999999998</v>
      </c>
      <c r="J27" s="22">
        <v>13.8</v>
      </c>
      <c r="L27">
        <v>2026</v>
      </c>
      <c r="M27" t="str">
        <v>2026-009</v>
      </c>
      <c r="N27" t="str">
        <v>Realizado</v>
      </c>
      <c r="O27" t="str">
        <v>Introdução à Engenharia de Prompt - t1</v>
      </c>
      <c r="P27">
        <v>8</v>
      </c>
      <c r="Q27" t="str">
        <v>Arthur Wú</v>
      </c>
      <c r="R27">
        <v>1</v>
      </c>
      <c r="S27">
        <v>56</v>
      </c>
      <c r="T27">
        <v>55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2026-033</v>
      </c>
      <c r="C28" s="21" t="str">
        <v>Realizado</v>
      </c>
      <c r="D28" s="18" t="str">
        <v>Curso de formação para gestores e fiscais de Contrato em equipamentos nas unidades hospitalares - T3</v>
      </c>
      <c r="E28" s="20">
        <v>12</v>
      </c>
      <c r="F28" s="18" t="str">
        <v>Luciana Alvim</v>
      </c>
      <c r="G28" s="20">
        <v>2</v>
      </c>
      <c r="H28" s="22">
        <v>12</v>
      </c>
      <c r="I28" s="22">
        <v>1.7999999999999998</v>
      </c>
      <c r="J28" s="22">
        <v>13.8</v>
      </c>
      <c r="L28">
        <v>2026</v>
      </c>
      <c r="M28" t="str">
        <v>2026-015</v>
      </c>
      <c r="N28" t="str">
        <v>Realizado</v>
      </c>
      <c r="O28" t="str">
        <v>Introdução à Engenharia de Prompt - t2</v>
      </c>
      <c r="P28">
        <v>8</v>
      </c>
      <c r="Q28" t="str">
        <v>Arthur Wú; Gustavo Takahashi</v>
      </c>
      <c r="R28">
        <v>2</v>
      </c>
      <c r="S28">
        <v>58</v>
      </c>
      <c r="T28">
        <v>56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2026-057</v>
      </c>
      <c r="C29" s="21" t="str">
        <v>A realizar</v>
      </c>
      <c r="D29" s="18" t="str">
        <v>Curso de formação sobre "Programa de Descentralização Progressiva das Ações de Saúde - PDPAS</v>
      </c>
      <c r="E29" s="20">
        <v>20</v>
      </c>
      <c r="F29" s="18" t="str">
        <v>Tarsila Firmino Ely</v>
      </c>
      <c r="G29" s="20">
        <v>4</v>
      </c>
      <c r="H29" s="22">
        <v>20</v>
      </c>
      <c r="I29" s="22">
        <v>3.6</v>
      </c>
      <c r="J29" s="22">
        <v>23.6</v>
      </c>
      <c r="L29">
        <v>2026</v>
      </c>
      <c r="M29" t="str">
        <v>2026-024</v>
      </c>
      <c r="N29" t="str">
        <v>Realizado</v>
      </c>
      <c r="O29" t="str">
        <v>Introdução à Engenharia de Prompt - T3</v>
      </c>
      <c r="P29">
        <v>8</v>
      </c>
      <c r="Q29" t="str">
        <v>Arthur Wú; Gustavo Takahashi</v>
      </c>
      <c r="R29">
        <v>2</v>
      </c>
      <c r="S29">
        <v>60</v>
      </c>
      <c r="T29">
        <v>58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2026-057</v>
      </c>
      <c r="C30" s="21" t="str">
        <v>A realizar</v>
      </c>
      <c r="D30" s="18" t="str">
        <v>Curso de formação sobre "Programa de Descentralização Progressiva das Ações de Saúde - PDPAS</v>
      </c>
      <c r="E30" s="20">
        <v>20</v>
      </c>
      <c r="F30" s="18" t="str">
        <v>Sara Cristina Lins Ramos</v>
      </c>
      <c r="G30" s="20">
        <v>4</v>
      </c>
      <c r="H30" s="22">
        <v>8</v>
      </c>
      <c r="I30" s="22">
        <v>2.4</v>
      </c>
      <c r="J30" s="22">
        <v>10.4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62</v>
      </c>
      <c r="T30">
        <v>60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2026-057</v>
      </c>
      <c r="C31" s="21" t="str">
        <v>A realizar</v>
      </c>
      <c r="D31" s="18" t="str">
        <v>Curso de formação sobre "Programa de Descentralização Progressiva das Ações de Saúde - PDPAS</v>
      </c>
      <c r="E31" s="20">
        <v>20</v>
      </c>
      <c r="F31" s="18" t="str">
        <v>Carina de Souza Mariuba Herthel</v>
      </c>
      <c r="G31" s="20">
        <v>4</v>
      </c>
      <c r="H31" s="22">
        <v>8</v>
      </c>
      <c r="I31" s="22">
        <v>2.4</v>
      </c>
      <c r="J31" s="22">
        <v>10.4</v>
      </c>
      <c r="L31">
        <v>2026</v>
      </c>
      <c r="M31" t="str">
        <v>2026-038</v>
      </c>
      <c r="N31" t="str">
        <v>A realizar</v>
      </c>
      <c r="O31" t="str">
        <v>Introdução ao processo de controle externo - EAD</v>
      </c>
      <c r="P31">
        <v>16</v>
      </c>
      <c r="Q31" t="str">
        <v>Gabriel Heller</v>
      </c>
      <c r="R31">
        <v>1</v>
      </c>
      <c r="S31">
        <v>63</v>
      </c>
      <c r="T31">
        <v>62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2026-057</v>
      </c>
      <c r="C32" s="21" t="str">
        <v>A realizar</v>
      </c>
      <c r="D32" s="18" t="str">
        <v>Curso de formação sobre "Programa de Descentralização Progressiva das Ações de Saúde - PDPAS</v>
      </c>
      <c r="E32" s="20">
        <v>20</v>
      </c>
      <c r="F32" s="18" t="str">
        <v>Elvis Aaron Teixeira dos Santos Lima</v>
      </c>
      <c r="G32" s="20">
        <v>4</v>
      </c>
      <c r="H32" s="22">
        <v>0</v>
      </c>
      <c r="I32" s="22">
        <v>0</v>
      </c>
      <c r="J32" s="22">
        <v>0</v>
      </c>
      <c r="L32">
        <v>2026</v>
      </c>
      <c r="M32" t="str">
        <v>2026-016</v>
      </c>
      <c r="N32" t="str">
        <v>Realizado</v>
      </c>
      <c r="O32" t="str">
        <v>Mentoria de introdução à Engenharia de Prompt</v>
      </c>
      <c r="P32">
        <v>2</v>
      </c>
      <c r="Q32" t="str">
        <v>Arthur Wú; Gustavo Takahashi</v>
      </c>
      <c r="R32">
        <v>2</v>
      </c>
      <c r="S32">
        <v>65</v>
      </c>
      <c r="T32">
        <v>63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Cinthia Thais de Carvalho Luz Thomazi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2026-017</v>
      </c>
      <c r="N33" t="str">
        <v>Realizado</v>
      </c>
      <c r="O33" t="str">
        <v>Mostra Fotográfica “Meu Olhar sobre Brasília”</v>
      </c>
      <c r="P33">
        <v>0</v>
      </c>
      <c r="Q33" t="str">
        <v>Servidores, colaboradores e estagiários do TCDF</v>
      </c>
      <c r="R33">
        <v>1</v>
      </c>
      <c r="S33">
        <v>66</v>
      </c>
      <c r="T33">
        <v>65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Reinaldo Alencar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68</v>
      </c>
      <c r="T34">
        <v>66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Rogério Ribeiro</v>
      </c>
      <c r="G35" s="20">
        <v>5</v>
      </c>
      <c r="H35" s="22">
        <v>4</v>
      </c>
      <c r="I35" s="22">
        <v>0.6</v>
      </c>
      <c r="J35" s="22">
        <v>4.5999999999999996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70</v>
      </c>
      <c r="T35">
        <v>68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2026-021</v>
      </c>
      <c r="C36" s="21" t="str">
        <v>Realizado</v>
      </c>
      <c r="D36" s="18" t="str">
        <v>Curso de Fundamentos básicos de controle externo no TCDF</v>
      </c>
      <c r="E36" s="20">
        <v>12</v>
      </c>
      <c r="F36" s="18" t="str">
        <v>Rômulo Miranda Alvim</v>
      </c>
      <c r="G36" s="20">
        <v>5</v>
      </c>
      <c r="H36" s="22">
        <v>4</v>
      </c>
      <c r="I36" s="22">
        <v>0.6</v>
      </c>
      <c r="J36" s="22">
        <v>4.5999999999999996</v>
      </c>
      <c r="L36">
        <v>2026</v>
      </c>
      <c r="M36" t="str">
        <v>2026-053</v>
      </c>
      <c r="N36" t="str">
        <v>A realizar</v>
      </c>
      <c r="O36" t="str">
        <v>Oficina Temática - SEMAT: Aditivos na Contratação Integrada de obras e serviços de engenharia</v>
      </c>
      <c r="P36">
        <v>4</v>
      </c>
      <c r="Q36" t="str">
        <v>Douglas Vieira Silva Filho; Silvia Lima Damasceno Carvalho</v>
      </c>
      <c r="R36">
        <v>2</v>
      </c>
      <c r="S36">
        <v>72</v>
      </c>
      <c r="T36">
        <v>70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2026-021</v>
      </c>
      <c r="C37" s="81" t="str">
        <v>Realizado</v>
      </c>
      <c r="D37" t="str">
        <v>Curso de Fundamentos básicos de controle externo no TCDF</v>
      </c>
      <c r="E37" s="81">
        <v>12</v>
      </c>
      <c r="F37" t="str">
        <v>Gabriel Heller</v>
      </c>
      <c r="G37" s="81">
        <v>5</v>
      </c>
      <c r="H37" s="81">
        <v>4</v>
      </c>
      <c r="I37" s="81">
        <v>1.2</v>
      </c>
      <c r="J37" s="81">
        <v>5.2</v>
      </c>
      <c r="L37">
        <v>2026</v>
      </c>
      <c r="M37" t="str">
        <v>2026-051</v>
      </c>
      <c r="N37" t="str">
        <v>A realizar</v>
      </c>
      <c r="O37" t="str">
        <v>Oficina Temática – SEMAT: Controle Tecnológico de obras e serviços de engenharia</v>
      </c>
      <c r="P37">
        <v>4</v>
      </c>
      <c r="Q37" t="str">
        <v>Silvia Lima Damasceno Carvalho; Marcelo Silva Santana</v>
      </c>
      <c r="R37">
        <v>2</v>
      </c>
      <c r="S37">
        <v>74</v>
      </c>
      <c r="T37">
        <v>72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2026-008</v>
      </c>
      <c r="C38" s="81" t="str">
        <v>Realizado</v>
      </c>
      <c r="D38" t="str">
        <v>Curso de Promoção Funcional 2026/2027</v>
      </c>
      <c r="E38" s="81">
        <v>20</v>
      </c>
      <c r="F38" t="str">
        <v>Rômulo Miranda Alvim</v>
      </c>
      <c r="G38" s="81">
        <v>2</v>
      </c>
      <c r="H38" s="81">
        <v>20</v>
      </c>
      <c r="I38" s="81">
        <v>3</v>
      </c>
      <c r="J38" s="81">
        <v>23</v>
      </c>
      <c r="L38">
        <v>2026</v>
      </c>
      <c r="M38" t="str">
        <v>2026-046</v>
      </c>
      <c r="N38" t="str">
        <v>A realizar</v>
      </c>
      <c r="O38" t="str">
        <v>Oficina Temática – SEMAT: Falhas recorrentes em contratações de TI</v>
      </c>
      <c r="P38">
        <v>8</v>
      </c>
      <c r="Q38" t="str">
        <v>Felipe da Costa Malaquias</v>
      </c>
      <c r="R38">
        <v>1</v>
      </c>
      <c r="S38">
        <v>75</v>
      </c>
      <c r="T38">
        <v>74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2026-008</v>
      </c>
      <c r="C39" s="81" t="str">
        <v>Realizado</v>
      </c>
      <c r="D39" t="str">
        <v>Curso de Promoção Funcional 2026/2027</v>
      </c>
      <c r="E39" s="81">
        <v>20</v>
      </c>
      <c r="F39" t="str">
        <v>Cinthia Thais de Carvalho Luz Thomazi</v>
      </c>
      <c r="G39" s="81">
        <v>2</v>
      </c>
      <c r="H39" s="81">
        <v>20</v>
      </c>
      <c r="I39" s="81">
        <v>3</v>
      </c>
      <c r="J39" s="81">
        <v>23</v>
      </c>
      <c r="L39">
        <v>2026</v>
      </c>
      <c r="M39" t="str">
        <v>2026-068</v>
      </c>
      <c r="N39" t="str">
        <v>A realizar</v>
      </c>
      <c r="O39" t="str">
        <v>Oficina Temática - SEMAT: Matriz de Riscos em contratos de obras e serviços de engenharia</v>
      </c>
      <c r="P39">
        <v>4</v>
      </c>
      <c r="Q39" t="str">
        <v>Silvia Lima Damasceno Carvalho; Renan Dias da Silva</v>
      </c>
      <c r="R39">
        <v>2</v>
      </c>
      <c r="S39">
        <v>77</v>
      </c>
      <c r="T39">
        <v>75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2026-006</v>
      </c>
      <c r="C40" s="81" t="str">
        <v>Realizado</v>
      </c>
      <c r="D40" t="str">
        <v>Curso para gestores e fiscais de contratos de serviços assistenciais complementares – SES/DF</v>
      </c>
      <c r="E40" s="81">
        <v>12</v>
      </c>
      <c r="F40" t="str">
        <v>Adriana Magalhães</v>
      </c>
      <c r="G40" s="81">
        <v>2</v>
      </c>
      <c r="H40" s="81">
        <v>12</v>
      </c>
      <c r="I40" s="81">
        <v>1.7999999999999998</v>
      </c>
      <c r="J40" s="81">
        <v>13.8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79</v>
      </c>
      <c r="T40">
        <v>77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2026-006</v>
      </c>
      <c r="C41" s="81" t="str">
        <v>Realizado</v>
      </c>
      <c r="D41" t="str">
        <v>Curso para gestores e fiscais de contratos de serviços assistenciais complementares – SES/DF</v>
      </c>
      <c r="E41" s="81">
        <v>12</v>
      </c>
      <c r="F41" t="str">
        <v>Luciana Alvim</v>
      </c>
      <c r="G41" s="81">
        <v>2</v>
      </c>
      <c r="H41" s="81">
        <v>12</v>
      </c>
      <c r="I41" s="81">
        <v>1.7999999999999998</v>
      </c>
      <c r="J41" s="81">
        <v>13.8</v>
      </c>
      <c r="L41">
        <v>2026</v>
      </c>
      <c r="M41" t="str">
        <v>2026-049</v>
      </c>
      <c r="N41" t="str">
        <v>A realizar</v>
      </c>
      <c r="O41" t="str">
        <v>Oficina Temática - SEMAT: Pesquisa de Preços em contratos de obras e serviços de engenharia</v>
      </c>
      <c r="P41">
        <v>4</v>
      </c>
      <c r="Q41" t="str">
        <v>Silvia Lima Damasceno Carvalho; Wibys Pereira</v>
      </c>
      <c r="R41">
        <v>2</v>
      </c>
      <c r="S41">
        <v>81</v>
      </c>
      <c r="T41">
        <v>79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2026-013</v>
      </c>
      <c r="C42" s="81" t="str">
        <v>Realizado</v>
      </c>
      <c r="D42" t="str">
        <v>Curso para gestores e fiscais de contratos de serviços assistenciais complementares – SES/DF - T2</v>
      </c>
      <c r="E42" s="81">
        <v>12</v>
      </c>
      <c r="F42" t="str">
        <v>Adriana Magalhães</v>
      </c>
      <c r="G42" s="81">
        <v>2</v>
      </c>
      <c r="H42" s="81">
        <v>12</v>
      </c>
      <c r="I42" s="81">
        <v>1.7999999999999998</v>
      </c>
      <c r="J42" s="81">
        <v>13.8</v>
      </c>
      <c r="L42">
        <v>2026</v>
      </c>
      <c r="M42" t="str">
        <v>2026-048</v>
      </c>
      <c r="N42" t="str">
        <v>A realizar</v>
      </c>
      <c r="O42" t="str">
        <v>Oficina Temática - SEMAT: Reajuste de preços em contratos de obras e serviços de engenharia</v>
      </c>
      <c r="P42">
        <v>4</v>
      </c>
      <c r="Q42" t="str">
        <v>Thiago Magalhães de Oliveira; Silvia Lima Damasceno Carvalho</v>
      </c>
      <c r="R42">
        <v>2</v>
      </c>
      <c r="S42">
        <v>83</v>
      </c>
      <c r="T42">
        <v>81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2026-013</v>
      </c>
      <c r="C43" t="str">
        <v>Realizado</v>
      </c>
      <c r="D43" t="str">
        <v>Curso para gestores e fiscais de contratos de serviços assistenciais complementares – SES/DF - T2</v>
      </c>
      <c r="E43">
        <v>12</v>
      </c>
      <c r="F43" t="str">
        <v>Luciana Alvim</v>
      </c>
      <c r="G43">
        <v>2</v>
      </c>
      <c r="H43">
        <v>12</v>
      </c>
      <c r="I43">
        <v>1.7999999999999998</v>
      </c>
      <c r="J43">
        <v>13.8</v>
      </c>
      <c r="L43">
        <v>2026</v>
      </c>
      <c r="M43" t="str">
        <v>2026-043</v>
      </c>
      <c r="N43" t="str">
        <v>Realizado</v>
      </c>
      <c r="O43" t="str">
        <v>Painel MROSC</v>
      </c>
      <c r="P43">
        <v>4</v>
      </c>
      <c r="Q43" t="str">
        <v>Diversos</v>
      </c>
      <c r="R43">
        <v>1</v>
      </c>
      <c r="S43">
        <v>84</v>
      </c>
      <c r="T43">
        <v>83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2026-025</v>
      </c>
      <c r="C44" t="str">
        <v>A realizar</v>
      </c>
      <c r="D44" t="str">
        <v>Elaboração da Cartilha "Gestão e Fiscalização de Contratos em Saúde"</v>
      </c>
      <c r="E44">
        <v>65</v>
      </c>
      <c r="F44" t="str">
        <v>Tarsila Firmino Ely</v>
      </c>
      <c r="G44">
        <v>2</v>
      </c>
      <c r="H44">
        <v>0</v>
      </c>
      <c r="I44">
        <v>65</v>
      </c>
      <c r="J44">
        <v>65</v>
      </c>
      <c r="L44">
        <v>2026</v>
      </c>
      <c r="M44" t="str">
        <v>2026-007</v>
      </c>
      <c r="N44" t="str">
        <v>Realizado</v>
      </c>
      <c r="O44" t="str">
        <v>Planilhas de Terceirização de Mão de Obra, de acordo com a Lei nº 14.133/2021 - T1</v>
      </c>
      <c r="P44">
        <v>20</v>
      </c>
      <c r="Q44" t="str">
        <v>Leonardo José Alves Leal Neri</v>
      </c>
      <c r="R44">
        <v>1</v>
      </c>
      <c r="S44">
        <v>85</v>
      </c>
      <c r="T44">
        <v>84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Luciana Alvim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2026-010</v>
      </c>
      <c r="N45" t="str">
        <v>Realizado</v>
      </c>
      <c r="O45" t="str">
        <v>Planilhas de Terceirização de Mão de Obra, de acordo com a Lei nº 14.133/2021 - T2</v>
      </c>
      <c r="P45">
        <v>20</v>
      </c>
      <c r="Q45" t="str">
        <v>Leonardo José Alves Leal Neri</v>
      </c>
      <c r="R45">
        <v>1</v>
      </c>
      <c r="S45">
        <v>86</v>
      </c>
      <c r="T45">
        <v>85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2026-050</v>
      </c>
      <c r="C46" t="str">
        <v>A realizar</v>
      </c>
      <c r="D46" t="str">
        <v>Encontro Técnico - SEMAT: Concursos públicos e registro de admissões</v>
      </c>
      <c r="E46">
        <v>4</v>
      </c>
      <c r="F46" t="str">
        <v>Carlos Antônio</v>
      </c>
      <c r="G46">
        <v>1</v>
      </c>
      <c r="H46">
        <v>4</v>
      </c>
      <c r="I46">
        <v>1.2</v>
      </c>
      <c r="J46">
        <v>5.2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>
        <v>0</v>
      </c>
      <c r="R46">
        <v>1</v>
      </c>
      <c r="S46">
        <v>87</v>
      </c>
      <c r="T46">
        <v>86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2026-052</v>
      </c>
      <c r="C47" t="str">
        <v>A realizar</v>
      </c>
      <c r="D47" t="str">
        <v>Encontro Técnico– SEMAT: Concessões e Fiscalização de Pessoal</v>
      </c>
      <c r="E47">
        <v>4</v>
      </c>
      <c r="F47" t="str">
        <v>Jamile Medeiros Fon</v>
      </c>
      <c r="G47">
        <v>2</v>
      </c>
      <c r="H47">
        <v>4</v>
      </c>
      <c r="I47">
        <v>1.2</v>
      </c>
      <c r="J47">
        <v>5.2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>
        <v>0</v>
      </c>
      <c r="R47">
        <v>1</v>
      </c>
      <c r="S47">
        <v>88</v>
      </c>
      <c r="T47">
        <v>87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2026-052</v>
      </c>
      <c r="C48" t="str">
        <v>A realizar</v>
      </c>
      <c r="D48" t="str">
        <v>Encontro Técnico– SEMAT: Concessões e Fiscalização de Pessoal</v>
      </c>
      <c r="E48">
        <v>4</v>
      </c>
      <c r="F48" t="str">
        <v>José Roberto Alcuri Júnior</v>
      </c>
      <c r="G48">
        <v>2</v>
      </c>
      <c r="H48">
        <v>0</v>
      </c>
      <c r="I48">
        <v>0</v>
      </c>
      <c r="J48">
        <v>0</v>
      </c>
      <c r="L48">
        <v>2026</v>
      </c>
      <c r="M48" t="str">
        <v>2026-059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89</v>
      </c>
      <c r="T48">
        <v>88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2026-040</v>
      </c>
      <c r="C49" t="str">
        <v>Realizado</v>
      </c>
      <c r="D49" t="str">
        <v>Escola de Instrutores - Design Instrucional</v>
      </c>
      <c r="E49">
        <v>12</v>
      </c>
      <c r="F49" t="str">
        <v>Paulo José Góes Daltro</v>
      </c>
      <c r="G49">
        <v>1</v>
      </c>
      <c r="H49">
        <v>0</v>
      </c>
      <c r="I49">
        <v>0</v>
      </c>
      <c r="J49">
        <v>0</v>
      </c>
      <c r="L49">
        <v>2026</v>
      </c>
      <c r="M49" t="str">
        <v>2026-060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90</v>
      </c>
      <c r="T49">
        <v>89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2026-061</v>
      </c>
      <c r="N50" t="str">
        <v>A realizar</v>
      </c>
      <c r="O50" t="str">
        <v>TCendo o Futuro</v>
      </c>
      <c r="P50">
        <v>4</v>
      </c>
      <c r="Q50">
        <v>0</v>
      </c>
      <c r="R50">
        <v>1</v>
      </c>
      <c r="S50">
        <v>91</v>
      </c>
      <c r="T50">
        <v>90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2026-062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92</v>
      </c>
      <c r="T51">
        <v>91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2026-005</v>
      </c>
      <c r="C52" t="str">
        <v>Realizado</v>
      </c>
      <c r="D52" t="str">
        <v>FIT1: Treinamento e Desenvolvimento (T&amp;D)</v>
      </c>
      <c r="E52">
        <v>16</v>
      </c>
      <c r="F52" t="str">
        <v>Paulo José Góes Daltro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2026-002</v>
      </c>
      <c r="N52" t="str">
        <v>Realizado</v>
      </c>
      <c r="O52" t="str">
        <v>Tcendo o Futuro - Edição Especial Filhos</v>
      </c>
      <c r="P52">
        <v>4</v>
      </c>
      <c r="Q52" t="str">
        <v>Cinthia Thais de Carvalho Luz Thomazi; Adriana Cuoco Portugal; Fernanda Viana de Souza; Denise Duarte Guirra Kuhlmann; Priscila Nolasco de Oliveira</v>
      </c>
      <c r="R52">
        <v>5</v>
      </c>
      <c r="S52">
        <v>97</v>
      </c>
      <c r="T52">
        <v>92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2026-004</v>
      </c>
      <c r="C53" t="str">
        <v>Realizado</v>
      </c>
      <c r="D53" t="str">
        <v>Gestão e Fiscalização de Contratos de Equipamentos Médico Hospitalares e Serviços de Manutenção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2026-018</v>
      </c>
      <c r="N53" t="str">
        <v>Realizado</v>
      </c>
      <c r="O53" t="str">
        <v>Tcendo o Futuro 1</v>
      </c>
      <c r="P53">
        <v>4</v>
      </c>
      <c r="Q53" t="str">
        <v>Cinthia Thais de Carvalho Luz Thomazi; Adriana Cuoco Portugal; Fernanda Viana de Souza; Denise Duarte Guirra Kuhlmann;  Priscila Nolasco de Oliveira</v>
      </c>
      <c r="R53">
        <v>5</v>
      </c>
      <c r="S53">
        <v>102</v>
      </c>
      <c r="T53">
        <v>97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2026-004</v>
      </c>
      <c r="C54" t="str">
        <v>Realizado</v>
      </c>
      <c r="D54" t="str">
        <v>Gestão e Fiscalização de Contratos de Equipamentos Médico Hospitalares e Serviços de Manutenção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2026-023</v>
      </c>
      <c r="N54" t="str">
        <v>Realizado</v>
      </c>
      <c r="O54" t="str">
        <v>Tcendo o Futuro 2</v>
      </c>
      <c r="P54">
        <v>4</v>
      </c>
      <c r="Q54" t="str">
        <v>Cinthia Thais de Carvalho Luz Thomazi; Adriana Cuoco Portugal; Fernanda Viana de Souza; Denise Duarte Guirra Kuhlmann;  Priscila Nolasco de Oliveira</v>
      </c>
      <c r="R54">
        <v>5</v>
      </c>
      <c r="S54">
        <v>107</v>
      </c>
      <c r="T54">
        <v>102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Introdução à Engenharia de Prompt - SEE</v>
      </c>
      <c r="E55">
        <v>8</v>
      </c>
      <c r="F55" t="str">
        <v>Arthur Wú</v>
      </c>
      <c r="G55">
        <v>2</v>
      </c>
      <c r="H55">
        <v>8</v>
      </c>
      <c r="I55">
        <v>2.4</v>
      </c>
      <c r="J55">
        <v>10.4</v>
      </c>
      <c r="L55">
        <v>2026</v>
      </c>
      <c r="M55" t="str">
        <v>2026-022</v>
      </c>
      <c r="N55" t="str">
        <v>Realizado</v>
      </c>
      <c r="O55" t="str">
        <v>UniTCDF: Ciências Contábeis</v>
      </c>
      <c r="P55">
        <v>3</v>
      </c>
      <c r="Q55" t="str">
        <v>Fernanda Viana de Souza; Túllio Herbeth Teixeira Moraes</v>
      </c>
      <c r="R55">
        <v>2</v>
      </c>
      <c r="S55">
        <v>109</v>
      </c>
      <c r="T55">
        <v>107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Introdução à Engenharia de Prompt - SEE</v>
      </c>
      <c r="E56">
        <v>8</v>
      </c>
      <c r="F56" t="str">
        <v>Gustavo Takahashi</v>
      </c>
      <c r="G56">
        <v>2</v>
      </c>
      <c r="H56">
        <v>8</v>
      </c>
      <c r="I56">
        <v>0</v>
      </c>
      <c r="J56">
        <v>8</v>
      </c>
      <c r="L56">
        <v>2026</v>
      </c>
      <c r="M56" t="str">
        <v>2026-029</v>
      </c>
      <c r="N56" t="str">
        <v>Realizado</v>
      </c>
      <c r="O56" t="str">
        <v>UniTCDF: TCDF e a Fiscalização de Obras</v>
      </c>
      <c r="P56">
        <v>4</v>
      </c>
      <c r="Q56" t="str">
        <v>Adriana Cuoco Portugal</v>
      </c>
      <c r="R56">
        <v>1</v>
      </c>
      <c r="S56">
        <v>110</v>
      </c>
      <c r="T56">
        <v>109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2026-009</v>
      </c>
      <c r="C57" t="str">
        <v>Realizado</v>
      </c>
      <c r="D57" t="str">
        <v>Introdução à Engenharia de Prompt - t1</v>
      </c>
      <c r="E57">
        <v>8</v>
      </c>
      <c r="F57" t="str">
        <v>Arthur Wú</v>
      </c>
      <c r="G57">
        <v>1</v>
      </c>
      <c r="H57">
        <v>8</v>
      </c>
      <c r="I57">
        <v>2.4</v>
      </c>
      <c r="J57">
        <v>10.4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2026-015</v>
      </c>
      <c r="C58" t="str">
        <v>Realizado</v>
      </c>
      <c r="D58" t="str">
        <v>Introdução à Engenharia de Prompt - t2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2026-015</v>
      </c>
      <c r="C59" t="str">
        <v>Realizado</v>
      </c>
      <c r="D59" t="str">
        <v>Introdução à Engenharia de Prompt - t2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2026-024</v>
      </c>
      <c r="C60" t="str">
        <v>Realizado</v>
      </c>
      <c r="D60" t="str">
        <v>Introdução à Engenharia de Prompt - T3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2026-024</v>
      </c>
      <c r="C61" t="str">
        <v>Realizado</v>
      </c>
      <c r="D61" t="str">
        <v>Introdução à Engenharia de Prompt - T3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2026-036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2.4</v>
      </c>
      <c r="J62">
        <v>10.4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2026-036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0</v>
      </c>
      <c r="J63">
        <v>8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2026-038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2026-016</v>
      </c>
      <c r="C65" t="str">
        <v>Realizado</v>
      </c>
      <c r="D65" t="str">
        <v>Mentoria de introdução à Engenharia de Prompt</v>
      </c>
      <c r="E65">
        <v>2</v>
      </c>
      <c r="F65" t="str">
        <v>Arthur Wú</v>
      </c>
      <c r="G65">
        <v>2</v>
      </c>
      <c r="H65">
        <v>1</v>
      </c>
      <c r="I65">
        <v>0.6</v>
      </c>
      <c r="J65">
        <v>1.6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2026-016</v>
      </c>
      <c r="C66" t="str">
        <v>Realizado</v>
      </c>
      <c r="D66" t="str">
        <v>Mentoria de introdução à Engenharia de Prompt</v>
      </c>
      <c r="E66">
        <v>2</v>
      </c>
      <c r="F66" t="str">
        <v>Gustavo Takahashi</v>
      </c>
      <c r="G66">
        <v>2</v>
      </c>
      <c r="H66">
        <v>1</v>
      </c>
      <c r="I66">
        <v>0</v>
      </c>
      <c r="J66">
        <v>1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2026-017</v>
      </c>
      <c r="C67" t="str">
        <v>Realizado</v>
      </c>
      <c r="D67" t="str">
        <v>Mostra Fotográfica “Meu Olhar sobre Brasília”</v>
      </c>
      <c r="E67">
        <v>0</v>
      </c>
      <c r="F67" t="str">
        <v>Servidores, colaboradores e estagiários do TCDF</v>
      </c>
      <c r="G67">
        <v>1</v>
      </c>
      <c r="H67">
        <v>0</v>
      </c>
      <c r="I67">
        <v>0</v>
      </c>
      <c r="J67">
        <v>0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2026-039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Indio Artiaga do Brasil Rabelo</v>
      </c>
      <c r="G68">
        <v>2</v>
      </c>
      <c r="H68">
        <v>12</v>
      </c>
      <c r="I68">
        <v>3.6</v>
      </c>
      <c r="J68">
        <v>15.6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2026-039</v>
      </c>
      <c r="C69" t="str">
        <v>Realizado</v>
      </c>
      <c r="D69" t="str">
        <v>MROSC para os gestores das Organizações da Sociedade Civil – OSCs</v>
      </c>
      <c r="E69">
        <v>12</v>
      </c>
      <c r="F69" t="str">
        <v>Leonardo de Melo</v>
      </c>
      <c r="G69">
        <v>2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2026-041</v>
      </c>
      <c r="C70" t="str">
        <v>Realizado</v>
      </c>
      <c r="D70" t="str">
        <v>O novo olhar sobre as políticas públicas para o Controle Externo</v>
      </c>
      <c r="E70">
        <v>24</v>
      </c>
      <c r="F70" t="str">
        <v>Reinaldo Alencar</v>
      </c>
      <c r="G70">
        <v>2</v>
      </c>
      <c r="H70">
        <v>24</v>
      </c>
      <c r="I70">
        <v>3.5999999999999996</v>
      </c>
      <c r="J70">
        <v>27.6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2026-041</v>
      </c>
      <c r="C71" t="str">
        <v>Realizado</v>
      </c>
      <c r="D71" t="str">
        <v>O novo olhar sobre as políticas públicas para o Controle Externo</v>
      </c>
      <c r="E71">
        <v>24</v>
      </c>
      <c r="F71" t="str">
        <v>Rogério Ribeiro</v>
      </c>
      <c r="G71">
        <v>2</v>
      </c>
      <c r="H71">
        <v>24</v>
      </c>
      <c r="I71">
        <v>3.5999999999999996</v>
      </c>
      <c r="J71">
        <v>27.6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2026-053</v>
      </c>
      <c r="C72" t="str">
        <v>A realizar</v>
      </c>
      <c r="D72" t="str">
        <v>Oficina Temática - SEMAT: Aditivos na Contratação Integrada de obras e serviços de engenharia</v>
      </c>
      <c r="E72">
        <v>4</v>
      </c>
      <c r="F72" t="str">
        <v>Douglas Vieira Silva Filho</v>
      </c>
      <c r="G72">
        <v>2</v>
      </c>
      <c r="H72">
        <v>4</v>
      </c>
      <c r="I72">
        <v>1.2</v>
      </c>
      <c r="J72">
        <v>5.2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2026-053</v>
      </c>
      <c r="C73" t="str">
        <v>A realizar</v>
      </c>
      <c r="D73" t="str">
        <v>Oficina Temática - SEMAT: Aditivos na Contratação Integrada de obras e serviços de engenharia</v>
      </c>
      <c r="E73">
        <v>4</v>
      </c>
      <c r="F73" t="str">
        <v>Silvia Lima Damasceno Carvalho</v>
      </c>
      <c r="G73">
        <v>2</v>
      </c>
      <c r="H73">
        <v>4</v>
      </c>
      <c r="I73">
        <v>1.2</v>
      </c>
      <c r="J73">
        <v>5.2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2026-051</v>
      </c>
      <c r="C74" t="str">
        <v>A realizar</v>
      </c>
      <c r="D74" t="str">
        <v>Oficina Temática – SEMAT: Controle Tecnológico de obras e serviços de engenharia</v>
      </c>
      <c r="E74">
        <v>4</v>
      </c>
      <c r="F74" t="str">
        <v>Silvia Lima Damasceno Carvalho</v>
      </c>
      <c r="G74">
        <v>2</v>
      </c>
      <c r="H74">
        <v>4</v>
      </c>
      <c r="I74">
        <v>1.2</v>
      </c>
      <c r="J74">
        <v>5.2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2026-051</v>
      </c>
      <c r="C75" t="str">
        <v>A realizar</v>
      </c>
      <c r="D75" t="str">
        <v>Oficina Temática – SEMAT: Controle Tecnológico de obras e serviços de engenharia</v>
      </c>
      <c r="E75">
        <v>4</v>
      </c>
      <c r="F75" t="str">
        <v>Marcelo Silva Santana</v>
      </c>
      <c r="G75">
        <v>2</v>
      </c>
      <c r="H75">
        <v>4</v>
      </c>
      <c r="I75">
        <v>1.2</v>
      </c>
      <c r="J75">
        <v>5.2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2026-046</v>
      </c>
      <c r="C76" t="str">
        <v>A realizar</v>
      </c>
      <c r="D76" t="str">
        <v>Oficina Temática – SEMAT: Falhas recorrentes em contratações de TI</v>
      </c>
      <c r="E76">
        <v>8</v>
      </c>
      <c r="F76" t="str">
        <v>Felipe da Costa Malaquias</v>
      </c>
      <c r="G76">
        <v>1</v>
      </c>
      <c r="H76">
        <v>8</v>
      </c>
      <c r="I76">
        <v>2.4</v>
      </c>
      <c r="J76">
        <v>10.4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2026-068</v>
      </c>
      <c r="C77" t="str">
        <v>A realizar</v>
      </c>
      <c r="D77" t="str">
        <v>Oficina Temática - SEMAT: Matriz de Riscos em contratos de obras e serviços de engenharia</v>
      </c>
      <c r="E77">
        <v>4</v>
      </c>
      <c r="F77" t="str">
        <v>Silvia Lima Damasceno Carvalho</v>
      </c>
      <c r="G77">
        <v>2</v>
      </c>
      <c r="H77">
        <v>4</v>
      </c>
      <c r="I77">
        <v>1.2</v>
      </c>
      <c r="J77">
        <v>5.2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2026-068</v>
      </c>
      <c r="C78" t="str">
        <v>A realizar</v>
      </c>
      <c r="D78" t="str">
        <v>Oficina Temática - SEMAT: Matriz de Riscos em contratos de obras e serviços de engenharia</v>
      </c>
      <c r="E78">
        <v>4</v>
      </c>
      <c r="F78" t="str">
        <v>Renan Dias da Silva</v>
      </c>
      <c r="G78">
        <v>2</v>
      </c>
      <c r="H78">
        <v>4</v>
      </c>
      <c r="I78">
        <v>1.2</v>
      </c>
      <c r="J78">
        <v>5.2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2026-047</v>
      </c>
      <c r="C79" t="str">
        <v>A realizar</v>
      </c>
      <c r="D79" t="str">
        <v>Oficina Temática - SEMAT: MROSC para servidores do GDF</v>
      </c>
      <c r="E79">
        <v>4</v>
      </c>
      <c r="F79" t="str">
        <v>Indio Artiaga do Brasil Rabelo</v>
      </c>
      <c r="G79">
        <v>2</v>
      </c>
      <c r="H79">
        <v>4</v>
      </c>
      <c r="I79">
        <v>1.2</v>
      </c>
      <c r="J79">
        <v>5.2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2026-047</v>
      </c>
      <c r="C80" t="str">
        <v>A realizar</v>
      </c>
      <c r="D80" t="str">
        <v>Oficina Temática - SEMAT: MROSC para servidores do GDF</v>
      </c>
      <c r="E80">
        <v>4</v>
      </c>
      <c r="F80" t="str">
        <v>Leonardo de Melo</v>
      </c>
      <c r="G80">
        <v>2</v>
      </c>
      <c r="H80">
        <v>0</v>
      </c>
      <c r="I80">
        <v>0</v>
      </c>
      <c r="J80">
        <v>0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2026-049</v>
      </c>
      <c r="C81" t="str">
        <v>A realizar</v>
      </c>
      <c r="D81" t="str">
        <v>Oficina Temática - SEMAT: Pesquisa de Preços em contratos de obras e serviços de engenharia</v>
      </c>
      <c r="E81">
        <v>4</v>
      </c>
      <c r="F81" t="str">
        <v>Silvia Lima Damasceno Carvalho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2026-049</v>
      </c>
      <c r="C82" t="str">
        <v>A realizar</v>
      </c>
      <c r="D82" t="str">
        <v>Oficina Temática - SEMAT: Pesquisa de Preços em contratos de obras e serviços de engenharia</v>
      </c>
      <c r="E82">
        <v>4</v>
      </c>
      <c r="F82" t="str">
        <v>Wibys Pereira</v>
      </c>
      <c r="G82">
        <v>2</v>
      </c>
      <c r="H82">
        <v>4</v>
      </c>
      <c r="I82">
        <v>1.2</v>
      </c>
      <c r="J82">
        <v>5.2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2026-043</v>
      </c>
      <c r="C85" t="str">
        <v>Realizado</v>
      </c>
      <c r="D85" t="str">
        <v>Painel MROSC</v>
      </c>
      <c r="E85">
        <v>4</v>
      </c>
      <c r="F85" t="str">
        <v>Diversos</v>
      </c>
      <c r="G85">
        <v>1</v>
      </c>
      <c r="H85">
        <v>0</v>
      </c>
      <c r="I85">
        <v>0</v>
      </c>
      <c r="J85">
        <v>0</v>
      </c>
      <c r="R85" t="str">
        <v/>
      </c>
      <c r="S85" t="str">
        <v/>
      </c>
    </row>
    <row r="86" spans="1:27" x14ac:dyDescent="0.25">
      <c r="A86">
        <v>2026</v>
      </c>
      <c r="B86" t="str">
        <v>2026-007</v>
      </c>
      <c r="C86" t="str">
        <v>Realizado</v>
      </c>
      <c r="D86" t="str">
        <v>Planilhas de Terceirização de Mão de Obra, de acordo com a Lei nº 14.133/2021 - T1</v>
      </c>
      <c r="E86">
        <v>20</v>
      </c>
      <c r="F86" t="str">
        <v>Leonardo José Alves Leal Neri</v>
      </c>
      <c r="G86">
        <v>1</v>
      </c>
      <c r="H86">
        <v>20</v>
      </c>
      <c r="I86">
        <v>6</v>
      </c>
      <c r="J86">
        <v>26</v>
      </c>
      <c r="R86" t="str">
        <v/>
      </c>
      <c r="S86" t="str">
        <v/>
      </c>
    </row>
    <row r="87" spans="1:27" x14ac:dyDescent="0.25">
      <c r="A87">
        <v>2026</v>
      </c>
      <c r="B87" t="str">
        <v>2026-010</v>
      </c>
      <c r="C87" t="str">
        <v>Realizado</v>
      </c>
      <c r="D87" t="str">
        <v>Planilhas de Terceirização de Mão de Obra, de acordo com a Lei nº 14.133/2021 - T2</v>
      </c>
      <c r="E87">
        <v>20</v>
      </c>
      <c r="F87" t="str">
        <v>Leonardo José Alves Leal Neri</v>
      </c>
      <c r="G87">
        <v>1</v>
      </c>
      <c r="H87">
        <v>20</v>
      </c>
      <c r="I87">
        <v>6</v>
      </c>
      <c r="J87">
        <v>26</v>
      </c>
      <c r="R87" t="str">
        <v/>
      </c>
      <c r="S87" t="str">
        <v/>
      </c>
    </row>
    <row r="88" spans="1:27" x14ac:dyDescent="0.25">
      <c r="A88">
        <v>2026</v>
      </c>
      <c r="B88" t="str">
        <v>2026-055</v>
      </c>
      <c r="C88" t="str">
        <v>A realizar</v>
      </c>
      <c r="D88" t="str">
        <v>TCendo o Futuro</v>
      </c>
      <c r="E88">
        <v>4</v>
      </c>
      <c r="F88" t="str">
        <v>0</v>
      </c>
      <c r="G88">
        <v>1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2026-056</v>
      </c>
      <c r="C89" t="str">
        <v>A realizar</v>
      </c>
      <c r="D89" t="str">
        <v>TCendo o Futuro</v>
      </c>
      <c r="E89">
        <v>4</v>
      </c>
      <c r="F89" t="str">
        <v>0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2026-059</v>
      </c>
      <c r="C90" t="str">
        <v>A realizar</v>
      </c>
      <c r="D90" t="str">
        <v>TCendo o Futuro</v>
      </c>
      <c r="E90">
        <v>4</v>
      </c>
      <c r="F90" t="str">
        <v>0</v>
      </c>
      <c r="G90">
        <v>1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2026-060</v>
      </c>
      <c r="C91" t="str">
        <v>A realizar</v>
      </c>
      <c r="D91" t="str">
        <v>TCendo o Futuro</v>
      </c>
      <c r="E91">
        <v>4</v>
      </c>
      <c r="F91" t="str">
        <v>0</v>
      </c>
      <c r="G91">
        <v>1</v>
      </c>
      <c r="H91">
        <v>4</v>
      </c>
      <c r="I91">
        <v>1.2</v>
      </c>
      <c r="J91">
        <v>5.2</v>
      </c>
      <c r="R91" t="str">
        <v/>
      </c>
      <c r="S91" t="str">
        <v/>
      </c>
    </row>
    <row r="92" spans="1:27" x14ac:dyDescent="0.25">
      <c r="A92">
        <v>2026</v>
      </c>
      <c r="B92" t="str">
        <v>2026-061</v>
      </c>
      <c r="C92" t="str">
        <v>A realizar</v>
      </c>
      <c r="D92" t="str">
        <v>TCendo o Futuro</v>
      </c>
      <c r="E92">
        <v>4</v>
      </c>
      <c r="F92" t="str">
        <v>0</v>
      </c>
      <c r="G92">
        <v>1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2026-062</v>
      </c>
      <c r="C93" t="str">
        <v>A realizar</v>
      </c>
      <c r="D93" t="str">
        <v>TCendo o Futuro</v>
      </c>
      <c r="E93">
        <v>4</v>
      </c>
      <c r="F93" t="str">
        <v>0</v>
      </c>
      <c r="G93">
        <v>1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2026-002</v>
      </c>
      <c r="C94" t="str">
        <v>Realizado</v>
      </c>
      <c r="D94" t="str">
        <v>Tcendo o Futuro - Edição Especial Filhos</v>
      </c>
      <c r="E94">
        <v>4</v>
      </c>
      <c r="F94" t="str">
        <v>Cinthia Thais de Carvalho Luz Thomazi</v>
      </c>
      <c r="G94">
        <v>5</v>
      </c>
      <c r="H94">
        <v>4</v>
      </c>
      <c r="I94">
        <v>1.2</v>
      </c>
      <c r="J94">
        <v>5.2</v>
      </c>
      <c r="R94" t="str">
        <v/>
      </c>
      <c r="S94" t="str">
        <v/>
      </c>
    </row>
    <row r="95" spans="1:27" x14ac:dyDescent="0.25">
      <c r="A95">
        <v>2026</v>
      </c>
      <c r="B95" t="str">
        <v>2026-002</v>
      </c>
      <c r="C95" t="str">
        <v>Realizado</v>
      </c>
      <c r="D95" t="str">
        <v>Tcendo o Futuro - Edição Especial Filhos</v>
      </c>
      <c r="E95">
        <v>4</v>
      </c>
      <c r="F95" t="str">
        <v>Adriana Cuoco Portugal</v>
      </c>
      <c r="G95">
        <v>5</v>
      </c>
      <c r="H95">
        <v>4</v>
      </c>
      <c r="I95">
        <v>1.2</v>
      </c>
      <c r="J95">
        <v>5.2</v>
      </c>
      <c r="R95" t="str">
        <v/>
      </c>
      <c r="S95" t="str">
        <v/>
      </c>
    </row>
    <row r="96" spans="1:27" x14ac:dyDescent="0.25">
      <c r="A96">
        <v>2026</v>
      </c>
      <c r="B96" t="str">
        <v>2026-002</v>
      </c>
      <c r="C96" t="str">
        <v>Realizado</v>
      </c>
      <c r="D96" t="str">
        <v>Tcendo o Futuro - Edição Especial Filhos</v>
      </c>
      <c r="E96">
        <v>4</v>
      </c>
      <c r="F96" t="str">
        <v>Fernanda Viana de Souza</v>
      </c>
      <c r="G96">
        <v>5</v>
      </c>
      <c r="H96">
        <v>4</v>
      </c>
      <c r="I96">
        <v>1.2</v>
      </c>
      <c r="J96">
        <v>5.2</v>
      </c>
      <c r="R96" t="str">
        <v/>
      </c>
      <c r="S96" t="str">
        <v/>
      </c>
    </row>
    <row r="97" spans="1:19" x14ac:dyDescent="0.25">
      <c r="A97">
        <v>2026</v>
      </c>
      <c r="B97" t="str">
        <v>2026-002</v>
      </c>
      <c r="C97" t="str">
        <v>Realizado</v>
      </c>
      <c r="D97" t="str">
        <v>Tcendo o Futuro - Edição Especial Filhos</v>
      </c>
      <c r="E97">
        <v>4</v>
      </c>
      <c r="F97" t="str">
        <v>Denise Duarte Guirra Kuhlmann</v>
      </c>
      <c r="G97">
        <v>5</v>
      </c>
      <c r="H97">
        <v>4</v>
      </c>
      <c r="I97">
        <v>1.2</v>
      </c>
      <c r="J97">
        <v>5.2</v>
      </c>
      <c r="R97" t="str">
        <v/>
      </c>
      <c r="S97" t="str">
        <v/>
      </c>
    </row>
    <row r="98" spans="1:19" x14ac:dyDescent="0.25">
      <c r="A98">
        <v>2026</v>
      </c>
      <c r="B98" t="str">
        <v>2026-002</v>
      </c>
      <c r="C98" t="str">
        <v>Realizado</v>
      </c>
      <c r="D98" t="str">
        <v>Tcendo o Futuro - Edição Especial Filhos</v>
      </c>
      <c r="E98">
        <v>4</v>
      </c>
      <c r="F98" t="str">
        <v>Priscila Nolasco de Oliveira</v>
      </c>
      <c r="G98">
        <v>5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2026-018</v>
      </c>
      <c r="C99" t="str">
        <v>Realizado</v>
      </c>
      <c r="D99" t="str">
        <v>Tcendo o Futuro 1</v>
      </c>
      <c r="E99">
        <v>4</v>
      </c>
      <c r="F99" t="str">
        <v>Cinthia Thais de Carvalho Luz Thomazi</v>
      </c>
      <c r="G99">
        <v>5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2026-018</v>
      </c>
      <c r="C100" t="str">
        <v>Realizado</v>
      </c>
      <c r="D100" t="str">
        <v>Tcendo o Futuro 1</v>
      </c>
      <c r="E100">
        <v>4</v>
      </c>
      <c r="F100" t="str">
        <v>Adriana Cuoco Portugal</v>
      </c>
      <c r="G100">
        <v>5</v>
      </c>
      <c r="H100">
        <v>4</v>
      </c>
      <c r="I100">
        <v>1.2</v>
      </c>
      <c r="J100">
        <v>5.2</v>
      </c>
      <c r="R100" t="str">
        <v/>
      </c>
      <c r="S100" t="str">
        <v/>
      </c>
    </row>
    <row r="101" spans="1:19" x14ac:dyDescent="0.25">
      <c r="A101">
        <v>2026</v>
      </c>
      <c r="B101" t="str">
        <v>2026-018</v>
      </c>
      <c r="C101" t="str">
        <v>Realizado</v>
      </c>
      <c r="D101" t="str">
        <v>Tcendo o Futuro 1</v>
      </c>
      <c r="E101">
        <v>4</v>
      </c>
      <c r="F101" t="str">
        <v>Fernanda Viana de Souza</v>
      </c>
      <c r="G101">
        <v>5</v>
      </c>
      <c r="H101">
        <v>4</v>
      </c>
      <c r="I101">
        <v>1.2</v>
      </c>
      <c r="J101">
        <v>5.2</v>
      </c>
      <c r="R101" t="str">
        <v/>
      </c>
      <c r="S101" t="str">
        <v/>
      </c>
    </row>
    <row r="102" spans="1:19" x14ac:dyDescent="0.25">
      <c r="A102">
        <v>2026</v>
      </c>
      <c r="B102" t="str">
        <v>2026-018</v>
      </c>
      <c r="C102" t="str">
        <v>Realizado</v>
      </c>
      <c r="D102" t="str">
        <v>Tcendo o Futuro 1</v>
      </c>
      <c r="E102">
        <v>4</v>
      </c>
      <c r="F102" t="str">
        <v>Denise Duarte Guirra Kuhlmann</v>
      </c>
      <c r="G102">
        <v>5</v>
      </c>
      <c r="H102">
        <v>4</v>
      </c>
      <c r="I102">
        <v>1.2</v>
      </c>
      <c r="J102">
        <v>5.2</v>
      </c>
      <c r="R102" t="str">
        <v/>
      </c>
      <c r="S102" t="str">
        <v/>
      </c>
    </row>
    <row r="103" spans="1:19" x14ac:dyDescent="0.25">
      <c r="A103">
        <v>2026</v>
      </c>
      <c r="B103" t="str">
        <v>2026-018</v>
      </c>
      <c r="C103" t="str">
        <v>Realizado</v>
      </c>
      <c r="D103" t="str">
        <v>Tcendo o Futuro 1</v>
      </c>
      <c r="E103">
        <v>4</v>
      </c>
      <c r="F103" t="str">
        <v>Priscila Nolasco de Oliveira</v>
      </c>
      <c r="G103">
        <v>5</v>
      </c>
      <c r="H103">
        <v>4</v>
      </c>
      <c r="I103">
        <v>1.2</v>
      </c>
      <c r="J103">
        <v>5.2</v>
      </c>
      <c r="R103" t="str">
        <v/>
      </c>
      <c r="S103" t="str">
        <v/>
      </c>
    </row>
    <row r="104" spans="1:19" x14ac:dyDescent="0.25">
      <c r="A104">
        <v>2026</v>
      </c>
      <c r="B104" t="str">
        <v>2026-023</v>
      </c>
      <c r="C104" t="str">
        <v>Realizado</v>
      </c>
      <c r="D104" t="str">
        <v>Tcendo o Futuro 2</v>
      </c>
      <c r="E104">
        <v>4</v>
      </c>
      <c r="F104" t="str">
        <v>Cinthia Thais de Carvalho Luz Thomazi</v>
      </c>
      <c r="G104">
        <v>5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2026-023</v>
      </c>
      <c r="C105" t="str">
        <v>Realizado</v>
      </c>
      <c r="D105" t="str">
        <v>Tcendo o Futuro 2</v>
      </c>
      <c r="E105">
        <v>4</v>
      </c>
      <c r="F105" t="str">
        <v>Adriana Cuoco Portugal</v>
      </c>
      <c r="G105">
        <v>5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2026-023</v>
      </c>
      <c r="C106" t="str">
        <v>Realizado</v>
      </c>
      <c r="D106" t="str">
        <v>Tcendo o Futuro 2</v>
      </c>
      <c r="E106">
        <v>4</v>
      </c>
      <c r="F106" t="str">
        <v>Fernanda Viana de Souza</v>
      </c>
      <c r="G106">
        <v>5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2026-023</v>
      </c>
      <c r="C107" t="str">
        <v>Realizado</v>
      </c>
      <c r="D107" t="str">
        <v>Tcendo o Futuro 2</v>
      </c>
      <c r="E107">
        <v>4</v>
      </c>
      <c r="F107" t="str">
        <v>Denise Duarte Guirra Kuhlmann</v>
      </c>
      <c r="G107">
        <v>5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2026-023</v>
      </c>
      <c r="C108" t="str">
        <v>Realizado</v>
      </c>
      <c r="D108" t="str">
        <v>Tcendo o Futuro 2</v>
      </c>
      <c r="E108">
        <v>4</v>
      </c>
      <c r="F108" t="str">
        <v>Priscila Nolasco de Oliveira</v>
      </c>
      <c r="G108">
        <v>5</v>
      </c>
      <c r="H108">
        <v>4</v>
      </c>
      <c r="I108">
        <v>1.2</v>
      </c>
      <c r="J108">
        <v>5.2</v>
      </c>
      <c r="R108" t="str">
        <v/>
      </c>
      <c r="S108" t="str">
        <v/>
      </c>
    </row>
    <row r="109" spans="1:19" x14ac:dyDescent="0.25">
      <c r="A109">
        <v>2026</v>
      </c>
      <c r="B109" t="str">
        <v>2026-022</v>
      </c>
      <c r="C109" t="str">
        <v>Realizado</v>
      </c>
      <c r="D109" t="str">
        <v>UniTCDF: Ciências Contábeis</v>
      </c>
      <c r="E109">
        <v>3</v>
      </c>
      <c r="F109" t="str">
        <v>Fernanda Viana de Souza</v>
      </c>
      <c r="G109">
        <v>2</v>
      </c>
      <c r="H109">
        <v>3</v>
      </c>
      <c r="I109">
        <v>0.9</v>
      </c>
      <c r="J109">
        <v>3.9</v>
      </c>
      <c r="R109" t="str">
        <v/>
      </c>
      <c r="S109" t="str">
        <v/>
      </c>
    </row>
    <row r="110" spans="1:19" x14ac:dyDescent="0.25">
      <c r="A110">
        <v>2026</v>
      </c>
      <c r="B110" t="str">
        <v>2026-022</v>
      </c>
      <c r="C110" t="str">
        <v>Realizado</v>
      </c>
      <c r="D110" t="str">
        <v>UniTCDF: Ciências Contábeis</v>
      </c>
      <c r="E110">
        <v>3</v>
      </c>
      <c r="F110" t="str">
        <v>Túllio Herbeth Teixeira Moraes</v>
      </c>
      <c r="G110">
        <v>2</v>
      </c>
      <c r="H110">
        <v>3</v>
      </c>
      <c r="I110">
        <v>0.9</v>
      </c>
      <c r="J110">
        <v>3.9</v>
      </c>
      <c r="R110" t="str">
        <v/>
      </c>
      <c r="S110" t="str">
        <v/>
      </c>
    </row>
    <row r="111" spans="1:19" x14ac:dyDescent="0.25">
      <c r="A111">
        <v>2026</v>
      </c>
      <c r="B111" t="str">
        <v>2026-029</v>
      </c>
      <c r="C111" t="str">
        <v>Realizado</v>
      </c>
      <c r="D111" t="str">
        <v>UniTCDF: TCDF e a Fiscalização de Obras</v>
      </c>
      <c r="E111">
        <v>4</v>
      </c>
      <c r="F111" t="str">
        <v>Adriana Cuoco Portugal</v>
      </c>
      <c r="G111">
        <v>1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3056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19" t="s">
        <v>3057</v>
      </c>
      <c r="B4" s="220"/>
      <c r="D4" s="221" t="s">
        <v>3058</v>
      </c>
      <c r="E4" s="222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16" t="s">
        <v>3061</v>
      </c>
      <c r="B8" s="216"/>
      <c r="D8" s="216" t="s">
        <v>3062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16" t="s">
        <v>3071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3122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9" t="s">
        <v>3123</v>
      </c>
    </row>
    <row r="4" spans="1:8" ht="21.95" customHeight="1" x14ac:dyDescent="0.25">
      <c r="A4" s="224" t="s">
        <v>3124</v>
      </c>
      <c r="B4" s="225"/>
      <c r="D4" s="224" t="s">
        <v>3125</v>
      </c>
      <c r="E4" s="225"/>
      <c r="G4" s="224" t="s">
        <v>3126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8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3132</v>
      </c>
      <c r="B1" s="229"/>
      <c r="C1" s="229"/>
      <c r="D1" s="229"/>
      <c r="E1" s="229"/>
      <c r="F1" s="229"/>
    </row>
    <row r="2" spans="1:7" x14ac:dyDescent="0.25">
      <c r="A2" s="230" t="s">
        <v>3133</v>
      </c>
      <c r="B2" s="230"/>
      <c r="C2" s="230"/>
      <c r="D2" s="230"/>
      <c r="E2" s="230"/>
      <c r="F2" s="230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44.500000000000007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80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156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79" priority="1">
      <formula>$J2="CORRIGIR"</formula>
    </cfRule>
  </conditionalFormatting>
  <conditionalFormatting sqref="A2:L65">
    <cfRule type="expression" dxfId="78" priority="2">
      <formula>$J2="REVISAR"</formula>
    </cfRule>
  </conditionalFormatting>
  <conditionalFormatting sqref="A2:L65">
    <cfRule type="expression" dxfId="77" priority="3">
      <formula>$J2="OK"</formula>
    </cfRule>
  </conditionalFormatting>
  <conditionalFormatting sqref="I2:I65">
    <cfRule type="containsText" dxfId="76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2026-08-04T21:04:09Z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