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471" documentId="13_ncr:1_{6A2CC3E2-FAFB-4D8F-B284-5E8FB5045DFE}" xr6:coauthVersionLast="47" xr6:coauthVersionMax="47" xr10:uidLastSave="{BA042EDA-CBAA-4738-88F9-E6F5ADFBC73F}"/>
  <bookViews>
    <workbookView xWindow="-289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 iterateDelta="1E-4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35" i="3" l="1"/>
  <c r="A736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E108" i="28" a="1"/>
  <c r="E109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S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W6" i="3" l="1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AE33" i="20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58" i="23" l="1"/>
  <c r="D58" i="23"/>
  <c r="B58" i="23"/>
  <c r="E58" i="23"/>
  <c r="F58" i="23"/>
  <c r="C57" i="23"/>
  <c r="B57" i="23"/>
  <c r="E57" i="23"/>
  <c r="F57" i="23"/>
  <c r="D57" i="23"/>
  <c r="R4" i="20" s="1" a="1"/>
  <c r="S4" i="20" s="1" a="1"/>
  <c r="T4" i="20" l="1" a="1"/>
  <c r="A2" i="20" l="1" a="1"/>
  <c r="A5" i="23" s="1" a="1"/>
  <c r="E56" i="23" l="1"/>
  <c r="D56" i="23"/>
  <c r="B56" i="23"/>
  <c r="C56" i="23"/>
  <c r="F56" i="23"/>
  <c r="E105" i="23"/>
  <c r="D45" i="23"/>
  <c r="F16" i="23"/>
  <c r="E32" i="23"/>
  <c r="C44" i="23"/>
  <c r="F10" i="23"/>
  <c r="B35" i="23"/>
  <c r="E41" i="23"/>
  <c r="F14" i="23"/>
  <c r="D41" i="23"/>
  <c r="F12" i="23"/>
  <c r="D50" i="23"/>
  <c r="C53" i="23"/>
  <c r="F26" i="23"/>
  <c r="C39" i="23"/>
  <c r="D21" i="23"/>
  <c r="E48" i="23"/>
  <c r="D40" i="23"/>
  <c r="B30" i="23"/>
  <c r="F6" i="23"/>
  <c r="E20" i="23"/>
  <c r="D27" i="23"/>
  <c r="B44" i="23"/>
  <c r="F50" i="23"/>
  <c r="F15" i="23"/>
  <c r="D48" i="23"/>
  <c r="B15" i="23"/>
  <c r="F11" i="23"/>
  <c r="B24" i="23"/>
  <c r="F39" i="23"/>
  <c r="C27" i="23"/>
  <c r="F45" i="23"/>
  <c r="D30" i="23"/>
  <c r="C22" i="23"/>
  <c r="E40" i="23"/>
  <c r="E47" i="23"/>
  <c r="F46" i="23"/>
  <c r="F19" i="23"/>
  <c r="F28" i="23"/>
  <c r="C29" i="23"/>
  <c r="F54" i="23"/>
  <c r="F49" i="23"/>
  <c r="E46" i="23"/>
  <c r="B53" i="23"/>
  <c r="F35" i="23"/>
  <c r="F21" i="23"/>
  <c r="E27" i="23"/>
  <c r="D17" i="23"/>
  <c r="E6" i="23"/>
  <c r="B27" i="23"/>
  <c r="D6" i="23"/>
  <c r="C35" i="23"/>
  <c r="E55" i="23"/>
  <c r="F30" i="23"/>
  <c r="D47" i="23"/>
  <c r="F8" i="23"/>
  <c r="B22" i="23"/>
  <c r="C13" i="23"/>
  <c r="D13" i="23"/>
  <c r="E37" i="23"/>
  <c r="E7" i="23"/>
  <c r="C19" i="23"/>
  <c r="C32" i="23"/>
  <c r="E23" i="23"/>
  <c r="B11" i="23"/>
  <c r="C15" i="23"/>
  <c r="B51" i="23"/>
  <c r="C45" i="23"/>
  <c r="C26" i="23"/>
  <c r="B20" i="23"/>
  <c r="C8" i="23"/>
  <c r="B54" i="23"/>
  <c r="B31" i="23"/>
  <c r="C11" i="23"/>
  <c r="C38" i="23"/>
  <c r="F24" i="23"/>
  <c r="E42" i="23"/>
  <c r="C54" i="23"/>
  <c r="C48" i="23"/>
  <c r="E38" i="23"/>
  <c r="B50" i="23"/>
  <c r="B21" i="23"/>
  <c r="D7" i="23"/>
  <c r="E19" i="23"/>
  <c r="D29" i="23"/>
  <c r="C50" i="23"/>
  <c r="B37" i="23"/>
  <c r="C9" i="23"/>
  <c r="D54" i="23"/>
  <c r="F25" i="23"/>
  <c r="D19" i="23"/>
  <c r="C24" i="23"/>
  <c r="F52" i="23"/>
  <c r="B28" i="23"/>
  <c r="D10" i="23"/>
  <c r="C28" i="23"/>
  <c r="F43" i="23"/>
  <c r="C18" i="23"/>
  <c r="C49" i="23"/>
  <c r="C25" i="23"/>
  <c r="D28" i="23"/>
  <c r="B40" i="23"/>
  <c r="B7" i="23"/>
  <c r="B16" i="23"/>
  <c r="B26" i="23"/>
  <c r="E49" i="23"/>
  <c r="D23" i="23"/>
  <c r="E30" i="23"/>
  <c r="D37" i="23"/>
  <c r="C52" i="23"/>
  <c r="B29" i="23"/>
  <c r="B42" i="23"/>
  <c r="F29" i="23"/>
  <c r="D43" i="23"/>
  <c r="F13" i="23"/>
  <c r="E28" i="23"/>
  <c r="B8" i="23"/>
  <c r="B25" i="23"/>
  <c r="B49" i="23"/>
  <c r="B18" i="23"/>
  <c r="D44" i="23"/>
  <c r="B19" i="23"/>
  <c r="B47" i="23"/>
  <c r="D16" i="23"/>
  <c r="E12" i="23"/>
  <c r="D14" i="23"/>
  <c r="B10" i="23"/>
  <c r="B38" i="23"/>
  <c r="C51" i="23"/>
  <c r="F32" i="23"/>
  <c r="E34" i="23"/>
  <c r="E24" i="23"/>
  <c r="F22" i="23"/>
  <c r="F53" i="23"/>
  <c r="F37" i="23"/>
  <c r="B32" i="23"/>
  <c r="C34" i="23"/>
  <c r="C42" i="23"/>
  <c r="F47" i="23"/>
  <c r="E15" i="23"/>
  <c r="F36" i="23"/>
  <c r="D25" i="23"/>
  <c r="B45" i="23"/>
  <c r="E18" i="23"/>
  <c r="C7" i="23"/>
  <c r="F33" i="23"/>
  <c r="D33" i="23"/>
  <c r="E43" i="23"/>
  <c r="E16" i="23"/>
  <c r="E22" i="23"/>
  <c r="C47" i="23"/>
  <c r="C12" i="23"/>
  <c r="B55" i="23"/>
  <c r="E33" i="23"/>
  <c r="D49" i="23"/>
  <c r="D36" i="23"/>
  <c r="F38" i="23"/>
  <c r="F34" i="23"/>
  <c r="D8" i="23"/>
  <c r="D26" i="23"/>
  <c r="F55" i="23"/>
  <c r="B17" i="23"/>
  <c r="D22" i="23"/>
  <c r="D12" i="23"/>
  <c r="B34" i="23"/>
  <c r="E44" i="23"/>
  <c r="F27" i="23"/>
  <c r="E31" i="23"/>
  <c r="E51" i="23"/>
  <c r="C41" i="23"/>
  <c r="E50" i="23"/>
  <c r="B33" i="23"/>
  <c r="C46" i="23"/>
  <c r="C40" i="23"/>
  <c r="F7" i="23"/>
  <c r="B48" i="23"/>
  <c r="D24" i="23"/>
  <c r="C33" i="23"/>
  <c r="C16" i="23"/>
  <c r="E10" i="23"/>
  <c r="F42" i="23"/>
  <c r="B6" i="23"/>
  <c r="E52" i="23"/>
  <c r="E36" i="23"/>
  <c r="C43" i="23"/>
  <c r="B43" i="23"/>
  <c r="D35" i="23"/>
  <c r="D9" i="23"/>
  <c r="E8" i="23"/>
  <c r="D31" i="23"/>
  <c r="B12" i="23"/>
  <c r="E53" i="23"/>
  <c r="D34" i="23"/>
  <c r="F20" i="23"/>
  <c r="D20" i="23"/>
  <c r="E13" i="23"/>
  <c r="F17" i="23"/>
  <c r="C36" i="23"/>
  <c r="F41" i="23"/>
  <c r="B23" i="23"/>
  <c r="C17" i="23"/>
  <c r="B46" i="23"/>
  <c r="B39" i="23"/>
  <c r="C10" i="23"/>
  <c r="B36" i="23"/>
  <c r="E21" i="23"/>
  <c r="D51" i="23"/>
  <c r="B13" i="23"/>
  <c r="B14" i="23"/>
  <c r="E54" i="23"/>
  <c r="F48" i="23"/>
  <c r="C55" i="23"/>
  <c r="E26" i="23"/>
  <c r="E35" i="23"/>
  <c r="F44" i="23"/>
  <c r="D46" i="23"/>
  <c r="D15" i="23"/>
  <c r="D38" i="23"/>
  <c r="E45" i="23"/>
  <c r="F23" i="23"/>
  <c r="D18" i="23"/>
  <c r="C20" i="23"/>
  <c r="C37" i="23"/>
  <c r="C6" i="23"/>
  <c r="E25" i="23"/>
  <c r="D32" i="23"/>
  <c r="D52" i="23"/>
  <c r="F18" i="23"/>
  <c r="D55" i="23"/>
  <c r="E14" i="23"/>
  <c r="C30" i="23"/>
  <c r="E17" i="23"/>
  <c r="C21" i="23"/>
  <c r="D39" i="23"/>
  <c r="F51" i="23"/>
  <c r="F31" i="23"/>
  <c r="E39" i="23"/>
  <c r="B41" i="23"/>
  <c r="F40" i="23"/>
  <c r="D11" i="23"/>
  <c r="D42" i="23"/>
  <c r="C23" i="23"/>
  <c r="B52" i="23"/>
  <c r="B9" i="23"/>
  <c r="C31" i="23"/>
  <c r="C14" i="23"/>
  <c r="E9" i="23"/>
  <c r="E29" i="23"/>
  <c r="E11" i="23"/>
  <c r="F9" i="23"/>
  <c r="D53" i="23"/>
  <c r="E5" i="23" l="1"/>
  <c r="B5" i="23"/>
  <c r="B105" i="23" s="1"/>
  <c r="D5" i="23"/>
  <c r="C5" i="23"/>
  <c r="C105" i="23" s="1"/>
  <c r="F5" i="23"/>
  <c r="F105" i="23" s="1"/>
  <c r="G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<sst xmlns="http://schemas.openxmlformats.org/spreadsheetml/2006/main" count="7279" uniqueCount="3199">
  <si>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</si>
  <si>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</si>
  <si>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</si>
  <si>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</si>
  <si>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</si>
  <si>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</si>
  <si>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</si>
  <si>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</si>
  <si>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</si>
  <si>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</si>
  <si>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</si>
  <si>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</si>
  <si>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</si>
  <si>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</si>
  <si>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</si>
  <si>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</si>
  <si>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</si>
  <si>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</si>
  <si>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</si>
  <si>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</si>
  <si>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</si>
  <si>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</si>
  <si>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</si>
  <si>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</si>
  <si>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</si>
  <si>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</si>
  <si>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</si>
  <si>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</si>
  <si>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</si>
  <si>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</si>
  <si>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</si>
  <si>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</si>
  <si>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</si>
  <si>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</si>
  <si>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</si>
  <si>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</si>
  <si>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</si>
  <si>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</si>
  <si>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</si>
  <si>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</si>
  <si>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</si>
  <si>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</si>
  <si>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</si>
  <si>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</si>
  <si>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</si>
  <si>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</si>
  <si>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</si>
  <si>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</si>
  <si>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</si>
  <si>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</si>
  <si>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</si>
  <si>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</si>
  <si>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</si>
  <si>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</si>
  <si>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</si>
  <si>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</si>
  <si>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</si>
  <si>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</si>
  <si>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</si>
  <si>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</si>
  <si>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</si>
  <si>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</si>
  <si>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</si>
  <si>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</si>
  <si>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</si>
  <si>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</si>
  <si>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</si>
  <si>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</si>
  <si>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</si>
  <si>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</si>
  <si>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</si>
  <si>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</si>
  <si>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</si>
  <si>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</si>
  <si>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</si>
  <si>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</si>
  <si>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</si>
  <si>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</si>
  <si>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</si>
  <si>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</si>
  <si>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</si>
  <si>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</si>
  <si>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</si>
  <si>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</si>
  <si>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</si>
  <si>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</si>
  <si>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</si>
  <si>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</si>
  <si>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</si>
  <si>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</si>
  <si>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</si>
  <si>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</si>
  <si>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</si>
  <si>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</si>
  <si>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</si>
  <si>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</si>
  <si>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</si>
  <si>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</si>
  <si>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</si>
  <si>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</si>
  <si>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</si>
  <si>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</si>
  <si>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</si>
  <si>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</si>
  <si>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</si>
  <si>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</si>
  <si>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</si>
  <si>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</si>
  <si>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</si>
  <si>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</si>
  <si>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</si>
  <si>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</si>
  <si>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</si>
  <si>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</si>
  <si>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</si>
  <si>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</si>
  <si>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</si>
  <si>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</si>
  <si>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</si>
  <si>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</si>
  <si>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</si>
  <si>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</si>
  <si>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</si>
  <si>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</si>
  <si>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</si>
  <si>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</si>
  <si>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</si>
  <si>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</si>
  <si>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</si>
  <si>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</si>
  <si>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</si>
  <si>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</si>
  <si>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</si>
  <si>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</si>
  <si>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</si>
  <si>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</si>
  <si>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</si>
  <si>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</si>
  <si>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</si>
  <si>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</si>
  <si>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</si>
  <si>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</si>
  <si>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</si>
  <si>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</si>
  <si>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</si>
  <si>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</si>
  <si>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</si>
  <si>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</si>
  <si>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</si>
  <si>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</si>
  <si>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</si>
  <si>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</si>
  <si>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</si>
  <si>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</si>
  <si>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</si>
  <si>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</si>
  <si>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</si>
  <si>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</si>
  <si>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</si>
  <si>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</si>
  <si>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</si>
  <si>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</si>
  <si>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</si>
  <si>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</si>
  <si>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</si>
  <si>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</si>
  <si>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</si>
  <si>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</si>
  <si>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</si>
  <si>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</si>
  <si>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</si>
  <si>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</si>
  <si>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</si>
  <si>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</si>
  <si>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</si>
  <si>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</si>
  <si>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</si>
  <si>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</si>
  <si>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</si>
  <si>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</si>
  <si>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</si>
  <si>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</si>
  <si>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</si>
  <si>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</si>
  <si>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</si>
  <si>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</si>
  <si>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</si>
  <si>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</si>
  <si>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</si>
  <si>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</si>
  <si>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</si>
  <si>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</si>
  <si>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</si>
  <si>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</si>
  <si>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</si>
  <si>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</si>
  <si>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</si>
  <si>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</si>
  <si>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</si>
  <si>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</si>
  <si>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</si>
  <si>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</si>
  <si>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</si>
  <si>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</si>
  <si>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</si>
  <si>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</si>
  <si>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</si>
  <si>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</si>
  <si>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</si>
  <si>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</si>
  <si>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</si>
  <si>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</si>
  <si>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</si>
  <si>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</si>
  <si>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</si>
  <si>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</si>
  <si>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</si>
  <si>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</si>
  <si>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</si>
  <si>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</si>
  <si>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</si>
  <si>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</si>
  <si>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</si>
  <si>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</si>
  <si>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</si>
  <si>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</si>
  <si>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</si>
  <si>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</si>
  <si>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</si>
  <si>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</si>
  <si>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</si>
  <si>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</si>
  <si>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</si>
  <si>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</si>
  <si>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</si>
  <si>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</si>
  <si>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</si>
  <si>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</si>
  <si>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</si>
  <si>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</si>
  <si>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</si>
  <si>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</si>
  <si>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</si>
  <si>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</si>
  <si>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</si>
  <si>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</si>
  <si>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</si>
  <si>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</si>
  <si>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</si>
  <si>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</si>
  <si>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</si>
  <si>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</si>
  <si>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</si>
  <si>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</si>
  <si>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</si>
  <si>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</si>
  <si>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</si>
  <si>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</si>
  <si>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</si>
  <si>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</si>
  <si>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</si>
  <si>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</si>
  <si>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</si>
  <si>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</si>
  <si>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</si>
  <si>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</si>
  <si>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</si>
  <si>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</si>
  <si>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</si>
  <si>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</si>
  <si>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</si>
  <si>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</si>
  <si>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</si>
  <si>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</si>
  <si>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</si>
  <si>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</si>
  <si>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</si>
  <si>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</si>
  <si>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</si>
  <si>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</si>
  <si>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</si>
  <si>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</si>
  <si>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</si>
  <si>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</si>
  <si>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</si>
  <si>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</si>
  <si>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</si>
  <si>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</si>
  <si>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</si>
  <si>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</si>
  <si>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</si>
  <si>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</si>
  <si>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</si>
  <si>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</si>
  <si>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</si>
  <si>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</si>
  <si>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</si>
  <si>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</si>
  <si>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</si>
  <si>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</si>
  <si>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</si>
  <si>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</si>
  <si>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</si>
  <si>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</si>
  <si>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</si>
  <si>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</si>
  <si>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</si>
  <si>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</si>
  <si>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</si>
  <si>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</si>
  <si>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</si>
  <si>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</si>
  <si>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</si>
  <si>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</si>
  <si>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</si>
  <si>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</si>
  <si>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</si>
  <si>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</si>
  <si>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</si>
  <si>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</si>
  <si>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</si>
  <si>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</si>
  <si>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</si>
  <si>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</si>
  <si>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</si>
  <si>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</si>
  <si>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</si>
  <si>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</si>
  <si>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</si>
  <si>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</si>
  <si>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</si>
  <si>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</si>
  <si>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</si>
  <si>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</si>
  <si>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</si>
  <si>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</si>
  <si>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</si>
  <si>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</si>
  <si>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</si>
  <si>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</si>
  <si>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</si>
  <si>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</si>
  <si>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</si>
  <si>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</si>
  <si>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</si>
  <si>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</si>
  <si>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</si>
  <si>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</si>
  <si>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</si>
  <si>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</si>
  <si>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</si>
  <si>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</si>
  <si>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</si>
  <si>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</si>
  <si>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</si>
  <si>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</si>
  <si>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</si>
  <si>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</si>
  <si>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</si>
  <si>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</si>
  <si>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</si>
  <si>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</si>
  <si>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</si>
  <si>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</si>
  <si>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</si>
  <si>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</si>
  <si>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</si>
  <si>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</si>
  <si>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</si>
  <si>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</si>
  <si>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</si>
  <si>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</si>
  <si>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</si>
  <si>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</si>
  <si>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</si>
  <si>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</si>
  <si>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</si>
  <si>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</si>
  <si>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</si>
  <si>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</si>
  <si>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</si>
  <si>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</si>
  <si>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</si>
  <si>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</si>
  <si>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</si>
  <si>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</si>
  <si>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</si>
  <si>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</si>
  <si>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</si>
  <si>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</si>
  <si>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</si>
  <si>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</si>
  <si>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</si>
  <si>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</si>
  <si>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</si>
  <si>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</si>
  <si>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</si>
  <si>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</si>
  <si>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</si>
  <si>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</si>
  <si>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</si>
  <si>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</si>
  <si>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</si>
  <si>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</si>
  <si>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</si>
  <si>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</si>
  <si>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</si>
  <si>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</si>
  <si>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</si>
  <si>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</si>
  <si>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</si>
  <si>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</si>
  <si>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</si>
  <si>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</si>
  <si>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</si>
  <si>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</si>
  <si>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</si>
  <si>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</si>
  <si>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</si>
  <si>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</si>
  <si>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</si>
  <si>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</si>
  <si>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</si>
  <si>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</si>
  <si>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</si>
  <si>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</si>
  <si>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</si>
  <si>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</si>
  <si>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</si>
  <si>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</si>
  <si>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</si>
  <si>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</si>
  <si>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</si>
  <si>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</si>
  <si>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</si>
  <si>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</si>
  <si>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</si>
  <si>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</si>
  <si>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</si>
  <si>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</si>
  <si>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</si>
  <si>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</si>
  <si>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</si>
  <si>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</si>
  <si>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</si>
  <si>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</si>
  <si>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</si>
  <si>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</si>
  <si>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</si>
  <si>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</si>
  <si>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</si>
  <si>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</si>
  <si>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</si>
  <si>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</si>
  <si>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</si>
  <si>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</si>
  <si>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</si>
  <si>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</si>
  <si>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</si>
  <si>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</si>
  <si>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</si>
  <si>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</si>
  <si>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</si>
  <si>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</si>
  <si>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</si>
  <si>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</si>
  <si>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</si>
  <si>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</si>
  <si>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</si>
  <si>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</si>
  <si>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</si>
  <si>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</si>
  <si>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</si>
  <si>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</si>
  <si>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</si>
  <si>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</si>
  <si>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</si>
  <si>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</si>
  <si>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</si>
  <si>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</si>
  <si>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</si>
  <si>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</si>
  <si>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</si>
  <si>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</si>
  <si>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</si>
  <si>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</si>
  <si>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</si>
  <si>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</si>
  <si>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</si>
  <si>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</si>
  <si>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</si>
  <si>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</si>
  <si>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</si>
  <si>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</si>
  <si>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</si>
  <si>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</si>
  <si>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</si>
  <si>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</si>
  <si>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</si>
  <si>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</si>
  <si>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</si>
  <si>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</si>
  <si>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</si>
  <si>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</si>
  <si>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</si>
  <si>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</si>
  <si>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</si>
  <si>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</si>
  <si>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</si>
  <si>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</si>
  <si>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</si>
  <si>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</si>
  <si>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</si>
  <si>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</si>
  <si>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</si>
  <si>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</si>
  <si>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</si>
  <si>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</si>
  <si>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</si>
  <si>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</si>
  <si>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</si>
  <si>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</si>
  <si>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</si>
  <si>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</si>
  <si>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</si>
  <si>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</si>
  <si>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</si>
  <si>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</si>
  <si>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</si>
  <si>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</si>
  <si>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</si>
  <si>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</si>
  <si>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</si>
  <si>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</si>
  <si>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</si>
  <si>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</si>
  <si>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</si>
  <si>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</si>
  <si>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</si>
  <si>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</si>
  <si>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</si>
  <si>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</si>
  <si>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</si>
  <si>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</si>
  <si>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</si>
  <si>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</si>
  <si>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</si>
  <si>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</si>
  <si>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</si>
  <si>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</si>
  <si>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</si>
  <si>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</si>
  <si>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</si>
  <si>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</si>
  <si>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</si>
  <si>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</si>
  <si>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</si>
  <si>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</si>
  <si>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</si>
  <si>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</si>
  <si>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</si>
  <si>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</si>
  <si>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</si>
  <si>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</si>
  <si>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</si>
  <si>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</si>
  <si>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</si>
  <si>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</si>
  <si>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</si>
  <si>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</si>
  <si>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</si>
  <si>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</si>
  <si>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</si>
  <si>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</si>
  <si>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</si>
  <si>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</si>
  <si>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</si>
  <si>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</si>
  <si>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</si>
  <si>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</si>
  <si>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</si>
  <si>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</si>
  <si>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</si>
  <si>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</si>
  <si>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</si>
  <si>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</si>
  <si>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</si>
  <si>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</si>
  <si>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</si>
  <si>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</si>
  <si>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</si>
  <si>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</si>
  <si>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</si>
  <si>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</si>
  <si>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</si>
  <si>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</si>
  <si>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</si>
  <si>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</si>
  <si>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</si>
  <si>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</si>
  <si>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</si>
  <si>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</si>
  <si>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</si>
  <si>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</si>
  <si>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</si>
  <si>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</si>
  <si>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</si>
  <si>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</si>
  <si>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</si>
  <si>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</si>
  <si>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</si>
  <si>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</si>
  <si>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</si>
  <si>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</si>
  <si>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</si>
  <si>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</si>
  <si>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</si>
  <si>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</si>
  <si>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</si>
  <si>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</si>
  <si>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</si>
  <si>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</si>
  <si>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</si>
  <si>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</si>
  <si>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</si>
  <si>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</si>
  <si>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</si>
  <si>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</si>
  <si>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</si>
  <si>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</si>
  <si>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</si>
  <si>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</si>
  <si>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</si>
  <si>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</si>
  <si>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</si>
  <si>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</si>
  <si>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</si>
  <si>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</si>
  <si>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</si>
  <si>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</si>
  <si>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</si>
  <si>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</si>
  <si>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</si>
  <si>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</si>
  <si>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</si>
  <si>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</si>
  <si>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</si>
  <si>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</si>
  <si>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</si>
  <si>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</si>
  <si>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</si>
  <si>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</si>
  <si>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</si>
  <si>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</si>
  <si>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</si>
  <si>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</si>
  <si>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</si>
  <si>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</si>
  <si>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</si>
  <si>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</si>
  <si>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</si>
  <si>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</si>
  <si>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</si>
  <si>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</si>
  <si>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</si>
  <si>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</si>
  <si>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</si>
  <si>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</si>
  <si>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</si>
  <si>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</si>
  <si>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</si>
  <si>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</si>
  <si>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</si>
  <si>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</si>
  <si>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</si>
  <si>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</si>
  <si>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</si>
  <si>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</si>
  <si>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</si>
  <si>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</si>
  <si>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</si>
  <si>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</si>
  <si>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</si>
  <si>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</si>
  <si>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</si>
  <si>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</si>
  <si>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</si>
  <si>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</si>
  <si>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</si>
  <si>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</si>
  <si>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</si>
  <si>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</si>
  <si>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</si>
  <si>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</si>
  <si>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</si>
  <si>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</si>
  <si>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</si>
  <si>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</si>
  <si>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</si>
  <si>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</si>
  <si>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</si>
  <si>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</si>
  <si>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</si>
  <si>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</si>
  <si>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</si>
  <si>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</si>
  <si>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</si>
  <si>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</si>
  <si>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</si>
  <si>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</si>
  <si>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</si>
  <si>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</si>
  <si>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</si>
  <si>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</si>
  <si>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</si>
  <si>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</si>
  <si>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</si>
  <si>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</si>
  <si>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</si>
  <si>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</si>
  <si>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</si>
  <si>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</si>
  <si>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</si>
  <si>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</si>
  <si>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</si>
  <si>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</si>
  <si>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</si>
  <si>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</si>
  <si>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</si>
  <si>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</si>
  <si>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</si>
  <si>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</si>
  <si>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</si>
  <si>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</si>
  <si>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</si>
  <si>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</si>
  <si>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</si>
  <si>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</si>
  <si>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</si>
  <si>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</si>
  <si>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</si>
  <si>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</si>
  <si>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</si>
  <si>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</si>
  <si>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</si>
  <si>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</si>
  <si>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</si>
  <si>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</si>
  <si>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</si>
  <si>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</si>
  <si>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</si>
  <si>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</si>
  <si>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</si>
  <si>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</si>
  <si>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</si>
  <si>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</si>
  <si>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</si>
  <si>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</si>
  <si>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</si>
  <si>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</si>
  <si>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</si>
  <si>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</si>
  <si>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</si>
  <si>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</si>
  <si>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</si>
  <si>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</si>
  <si>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</si>
  <si>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</si>
  <si>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</si>
  <si>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</si>
  <si>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</si>
  <si>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</si>
  <si>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</si>
  <si>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</si>
  <si>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</si>
  <si>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</si>
  <si>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</si>
  <si>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</si>
  <si>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</si>
  <si>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</si>
  <si>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</si>
  <si>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</si>
  <si>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</si>
  <si>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</si>
  <si>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</si>
  <si>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</si>
  <si>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</si>
  <si>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</si>
  <si>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</si>
  <si>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</si>
  <si>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</si>
  <si>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</si>
  <si>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</si>
  <si>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</si>
  <si>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</si>
  <si>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</si>
  <si>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</si>
  <si>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</si>
  <si>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</si>
  <si>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</si>
  <si>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</si>
  <si>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</si>
  <si>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</si>
  <si>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</si>
  <si>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</si>
  <si>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</si>
  <si>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</si>
  <si>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</si>
  <si>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</si>
  <si>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</si>
  <si>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</si>
  <si>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</si>
  <si>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</si>
  <si>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</si>
  <si>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</si>
  <si>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</si>
  <si>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</si>
  <si>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</si>
  <si>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</si>
  <si>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</si>
  <si>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</si>
  <si>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</si>
  <si>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</si>
  <si>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</si>
  <si>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</si>
  <si>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</si>
  <si>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</si>
  <si>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</si>
  <si>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</si>
  <si>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</si>
  <si>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</si>
  <si>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</si>
  <si>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</si>
  <si>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</si>
  <si>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</si>
  <si>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</si>
  <si>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</si>
  <si>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</si>
  <si>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</si>
  <si>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</si>
  <si>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</si>
  <si>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</si>
  <si>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</si>
  <si>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</si>
  <si>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</si>
  <si>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</si>
  <si>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</si>
  <si>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</si>
  <si>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</si>
  <si>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</si>
  <si>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</si>
  <si>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</si>
  <si>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</si>
  <si>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</si>
  <si>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</si>
  <si>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</si>
  <si>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</si>
  <si>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</si>
  <si>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</si>
  <si>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</si>
  <si>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</si>
  <si>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</si>
  <si>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</si>
  <si>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</si>
  <si>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</si>
  <si>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</si>
  <si>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</si>
  <si>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</si>
  <si>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</si>
  <si>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</si>
  <si>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</si>
  <si>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</si>
  <si>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</si>
  <si>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</si>
  <si>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</si>
  <si>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</si>
  <si>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</si>
  <si>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</si>
  <si>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</si>
  <si>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</si>
  <si>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</si>
  <si>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</si>
  <si>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</si>
  <si>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</si>
  <si>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</si>
  <si>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</si>
  <si>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</si>
  <si>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</si>
  <si>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</si>
  <si>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</si>
  <si>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</si>
  <si>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</si>
  <si>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</si>
  <si>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</si>
  <si>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</si>
  <si>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</si>
  <si>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</si>
  <si>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</si>
  <si>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</si>
  <si>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</si>
  <si>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</si>
  <si>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</si>
  <si>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</si>
  <si>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</si>
  <si>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</si>
  <si>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</si>
  <si>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</si>
  <si>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</si>
  <si>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</si>
  <si>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</si>
  <si>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</si>
  <si>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</si>
  <si>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</si>
  <si>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</si>
  <si>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</si>
  <si>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</si>
  <si>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</si>
  <si>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</si>
  <si>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</si>
  <si>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</si>
  <si>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</si>
  <si>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</si>
  <si>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</si>
  <si>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</si>
  <si>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</si>
  <si>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</si>
  <si>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</si>
  <si>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</si>
  <si>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</si>
  <si>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</si>
  <si>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</si>
  <si>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</si>
  <si>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</si>
  <si>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</si>
  <si>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</si>
  <si>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</si>
  <si>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</si>
  <si>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</si>
  <si>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</si>
  <si>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</si>
  <si>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</si>
  <si>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</si>
  <si>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</si>
  <si>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</si>
  <si>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</si>
  <si>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</si>
  <si>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</si>
  <si>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</si>
  <si>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</si>
  <si>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</si>
  <si>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</si>
  <si>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</si>
  <si>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</si>
  <si>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</si>
  <si>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</si>
  <si>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</si>
  <si>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</si>
  <si>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</si>
  <si>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</si>
  <si>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</si>
  <si>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</si>
  <si>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</si>
  <si>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</si>
  <si>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</si>
  <si>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</si>
  <si>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</si>
  <si>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</si>
  <si>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</si>
  <si>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</si>
  <si>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</si>
  <si>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</si>
  <si>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</si>
  <si>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</si>
  <si>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</si>
  <si>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</si>
  <si>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</si>
  <si>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</si>
  <si>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</si>
  <si>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</si>
  <si>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</si>
  <si>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</si>
  <si>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</si>
  <si>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</si>
  <si>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</si>
  <si>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</si>
  <si>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</si>
  <si>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</si>
  <si>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</si>
  <si>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</si>
  <si>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</si>
  <si>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</si>
  <si>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</si>
  <si>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</si>
  <si>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</si>
  <si>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</si>
  <si>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</si>
  <si>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</si>
  <si>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</si>
  <si>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</si>
  <si>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</si>
  <si>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</si>
  <si>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</si>
  <si>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</si>
  <si>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</si>
  <si>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</si>
  <si>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</si>
  <si>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</si>
  <si>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</si>
  <si>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</si>
  <si>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</si>
  <si>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</si>
  <si>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</si>
  <si>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</si>
  <si>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</si>
  <si>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</si>
  <si>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</si>
  <si>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</si>
  <si>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</si>
  <si>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</si>
  <si>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</si>
  <si>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</si>
  <si>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</si>
  <si>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</si>
  <si>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</si>
  <si>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</si>
  <si>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</si>
  <si>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</si>
  <si>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</si>
  <si>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</si>
  <si>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</si>
  <si>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</si>
  <si>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</si>
  <si>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</si>
  <si>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</si>
  <si>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</si>
  <si>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</si>
  <si>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</si>
  <si>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</si>
  <si>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</si>
  <si>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</si>
  <si>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</si>
  <si>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</si>
  <si>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</si>
  <si>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</si>
  <si>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</si>
  <si>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</si>
  <si>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</si>
  <si>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</si>
  <si>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</si>
  <si>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</si>
  <si>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</si>
  <si>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</si>
  <si>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</si>
  <si>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</si>
  <si>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</si>
  <si>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</si>
  <si>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</si>
  <si>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</si>
  <si>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</si>
  <si>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</si>
  <si>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</si>
  <si>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</si>
  <si>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</si>
  <si>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</si>
  <si>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</si>
  <si>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</si>
  <si>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</si>
  <si>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</si>
  <si>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</si>
  <si>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</si>
  <si>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</si>
  <si>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</si>
  <si>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</si>
  <si>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</si>
  <si>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</si>
  <si>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</si>
  <si>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</si>
  <si>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</si>
  <si>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</si>
  <si>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</si>
  <si>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</si>
  <si>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</si>
  <si>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</si>
  <si>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</si>
  <si>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</si>
  <si>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</si>
  <si>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</si>
  <si>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</si>
  <si>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</si>
  <si>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</si>
  <si>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</si>
  <si>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</si>
  <si>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</si>
  <si>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</si>
  <si>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</si>
  <si>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</si>
  <si>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</si>
  <si>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</si>
  <si>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</si>
  <si>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</si>
  <si>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</si>
  <si>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</si>
  <si>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</si>
  <si>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</si>
  <si>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</si>
  <si>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</si>
  <si>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</si>
  <si>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</si>
  <si>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</si>
  <si>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</si>
  <si>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</si>
  <si>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</si>
  <si>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</si>
  <si>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</si>
  <si>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</si>
  <si>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</si>
  <si>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</si>
  <si>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</si>
  <si>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</si>
  <si>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</si>
  <si>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</si>
  <si>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</si>
  <si>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</si>
  <si>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</si>
  <si>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</si>
  <si>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</si>
  <si>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</si>
  <si>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</si>
  <si>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</si>
  <si>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</si>
  <si>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</si>
  <si>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</si>
  <si>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</si>
  <si>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</si>
  <si>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</si>
  <si>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</si>
  <si>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</si>
  <si>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</si>
  <si>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</si>
  <si>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</si>
  <si>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</si>
  <si>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</si>
  <si>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</si>
  <si>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</si>
  <si>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</si>
  <si>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</si>
  <si>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</si>
  <si>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</si>
  <si>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</si>
  <si>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</si>
  <si>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</si>
  <si>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</si>
  <si>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</si>
  <si>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</si>
  <si>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</si>
  <si>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</si>
  <si>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</si>
  <si>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</si>
  <si>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</si>
  <si>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</si>
  <si>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</si>
  <si>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</si>
  <si>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</si>
  <si>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</si>
  <si>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</si>
  <si>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</si>
  <si>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</si>
  <si>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</si>
  <si>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</si>
  <si>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</si>
  <si>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</si>
  <si>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</si>
  <si>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</si>
  <si>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</si>
  <si>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</si>
  <si>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</si>
  <si>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</si>
  <si>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</si>
  <si>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</si>
  <si>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</si>
  <si>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</si>
  <si>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</si>
  <si>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</si>
  <si>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</si>
  <si>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</si>
  <si>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</si>
  <si>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</si>
  <si>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</si>
  <si>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</si>
  <si>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</si>
  <si>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</si>
  <si>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</si>
  <si>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</si>
  <si>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</si>
  <si>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</si>
  <si>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</si>
  <si>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</si>
  <si>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</si>
  <si>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</si>
  <si>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</si>
  <si>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</si>
  <si>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</si>
  <si>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</si>
  <si>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</si>
  <si>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</si>
  <si>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</si>
  <si>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</si>
  <si>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</si>
  <si>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</si>
  <si>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</si>
  <si>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</si>
  <si>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</si>
  <si>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</si>
  <si>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</si>
  <si>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</si>
  <si>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</si>
  <si>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</si>
  <si>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</si>
  <si>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</si>
  <si>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</si>
  <si>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</si>
  <si>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</si>
  <si>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</si>
  <si>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</si>
  <si>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</si>
  <si>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</si>
  <si>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</si>
  <si>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</si>
  <si>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</si>
  <si>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</si>
  <si>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</si>
  <si>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</si>
  <si>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</si>
  <si>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</si>
  <si>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</si>
  <si>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</si>
  <si>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</si>
  <si>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</si>
  <si>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</si>
  <si>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</si>
  <si>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</si>
  <si>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</si>
  <si>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</si>
  <si>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</si>
  <si>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</si>
  <si>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</si>
  <si>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</si>
  <si>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</si>
  <si>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</si>
  <si>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</si>
  <si>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</si>
  <si>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</si>
  <si>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</si>
  <si>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</si>
  <si>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</si>
  <si>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</si>
  <si>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</si>
  <si>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</si>
  <si>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</si>
  <si>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</si>
  <si>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</si>
  <si>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</si>
  <si>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</si>
  <si>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</si>
  <si>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</si>
  <si>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</si>
  <si>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</si>
  <si>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</si>
  <si>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</si>
  <si>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</si>
  <si>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</si>
  <si>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</si>
  <si>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</si>
  <si>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</si>
  <si>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</si>
  <si>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</si>
  <si>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</si>
  <si>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</si>
  <si>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</si>
  <si>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</si>
  <si>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</si>
  <si>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</si>
  <si>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</si>
  <si>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</si>
  <si>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</si>
  <si>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</si>
  <si>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</si>
  <si>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</si>
  <si>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</si>
  <si>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</si>
  <si>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</si>
  <si>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</si>
  <si>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</si>
  <si>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</si>
  <si>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</si>
  <si>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</si>
  <si>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</si>
  <si>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</si>
  <si>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</si>
  <si>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</si>
  <si>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</si>
  <si>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</si>
  <si>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</si>
  <si>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</si>
  <si>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</si>
  <si>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</si>
  <si>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</si>
  <si>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</si>
  <si>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</si>
  <si>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</si>
  <si>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</si>
  <si>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</si>
  <si>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</si>
  <si>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</si>
  <si>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</si>
  <si>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</si>
  <si>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</si>
  <si>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</si>
  <si>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</si>
  <si>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</si>
  <si>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</si>
  <si>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</si>
  <si>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</si>
  <si>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</si>
  <si>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</si>
  <si>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</si>
  <si>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</si>
  <si>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</si>
  <si>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</si>
  <si>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</si>
  <si>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</si>
  <si>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</si>
  <si>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</si>
  <si>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</si>
  <si>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</si>
  <si>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</si>
  <si>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</si>
  <si>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</si>
  <si>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</si>
  <si>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</si>
  <si>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</si>
  <si>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</si>
  <si>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</si>
  <si>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</si>
  <si>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</si>
  <si>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</si>
  <si>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</si>
  <si>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</si>
  <si>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</si>
  <si>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</si>
  <si>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</si>
  <si>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</si>
  <si>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</si>
  <si>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</si>
  <si>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</si>
  <si>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</si>
  <si>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</si>
  <si>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</si>
  <si>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</si>
  <si>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</si>
  <si>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</si>
  <si>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</si>
  <si>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</si>
  <si>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</si>
  <si>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</si>
  <si>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</si>
  <si>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</si>
  <si>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</si>
  <si>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</si>
  <si>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</si>
  <si>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</si>
  <si>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</si>
  <si>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</si>
  <si>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</si>
  <si>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</si>
  <si>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</si>
  <si>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</si>
  <si>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</si>
  <si>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</si>
  <si>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</si>
  <si>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</si>
  <si>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</si>
  <si>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</si>
  <si>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</si>
  <si>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</si>
  <si>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</si>
  <si>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</si>
  <si>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</si>
  <si>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</si>
  <si>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</si>
  <si>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</si>
  <si>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</si>
  <si>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</si>
  <si>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</si>
  <si>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</si>
  <si>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</si>
  <si>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</si>
  <si>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</si>
  <si>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</si>
  <si>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</si>
  <si>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</si>
  <si>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</si>
  <si>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</si>
  <si>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</si>
  <si>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</si>
  <si>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</si>
  <si>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</si>
  <si>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</si>
  <si>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</si>
  <si>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</si>
  <si>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</si>
  <si>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</si>
  <si>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</si>
  <si>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</si>
  <si>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</si>
  <si>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</si>
  <si>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</si>
  <si>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</si>
  <si>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</si>
  <si>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</si>
  <si>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</si>
  <si>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</si>
  <si>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</si>
  <si>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</si>
  <si>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</si>
  <si>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</si>
  <si>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</si>
  <si>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</si>
  <si>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</si>
  <si>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</si>
  <si>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</si>
  <si>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</si>
  <si>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</si>
  <si>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</si>
  <si>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</si>
  <si>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</si>
  <si>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</si>
  <si>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</si>
  <si>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</si>
  <si>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</si>
  <si>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</si>
  <si>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</si>
  <si>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</si>
  <si>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</si>
  <si>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</si>
  <si>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</si>
  <si>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</si>
  <si>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</si>
  <si>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</si>
  <si>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</si>
  <si>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</si>
  <si>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</si>
  <si>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</si>
  <si>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</si>
  <si>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</si>
  <si>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</si>
  <si>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</si>
  <si>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</si>
  <si>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</si>
  <si>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</si>
  <si>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</si>
  <si>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</si>
  <si>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</si>
  <si>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</si>
  <si>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</si>
  <si>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</si>
  <si>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</si>
  <si>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</si>
  <si>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</si>
  <si>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</si>
  <si>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</si>
  <si>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</si>
  <si>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</si>
  <si>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</si>
  <si>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</si>
  <si>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</si>
  <si>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</si>
  <si>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</si>
  <si>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</si>
  <si>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</si>
  <si>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</si>
  <si>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</si>
  <si>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</si>
  <si>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</si>
  <si>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</si>
  <si>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</si>
  <si>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</si>
  <si>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</si>
  <si>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</si>
  <si>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</si>
  <si>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</si>
  <si>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</si>
  <si>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</si>
  <si>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</si>
  <si>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</si>
  <si>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</si>
  <si>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</si>
  <si>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</si>
  <si>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</si>
  <si>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</si>
  <si>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</si>
  <si>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</si>
  <si>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</si>
  <si>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</si>
  <si>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</si>
  <si>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</si>
  <si>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</si>
  <si>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</si>
  <si>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</si>
  <si>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</si>
  <si>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</si>
  <si>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</si>
  <si>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</si>
  <si>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</si>
  <si>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</si>
  <si>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</si>
  <si>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</si>
  <si>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</si>
  <si>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</si>
  <si>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</si>
  <si>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</si>
  <si>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</si>
  <si>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</si>
  <si>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</si>
  <si>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</si>
  <si>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</si>
  <si>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</si>
  <si>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</si>
  <si>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</si>
  <si>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</si>
  <si>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</si>
  <si>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</si>
  <si>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</si>
  <si>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</si>
  <si>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</si>
  <si>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</si>
  <si>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</si>
  <si>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</si>
  <si>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</si>
  <si>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</si>
  <si>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</si>
  <si>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</si>
  <si>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</si>
  <si>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</si>
  <si>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</si>
  <si>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</si>
  <si>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</si>
  <si>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</si>
  <si>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</si>
  <si>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</si>
  <si>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</si>
  <si>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</si>
  <si>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</si>
  <si>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</si>
  <si>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</si>
  <si>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</si>
  <si>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</si>
  <si>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</si>
  <si>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</si>
  <si>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</si>
  <si>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</si>
  <si>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</si>
  <si>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</si>
  <si>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</si>
  <si>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</si>
  <si>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</si>
  <si>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</si>
  <si>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</si>
  <si>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</si>
  <si>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</si>
  <si>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</si>
  <si>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</si>
  <si>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</si>
  <si>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</si>
  <si>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</si>
  <si>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</si>
  <si>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</si>
  <si>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</si>
  <si>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</si>
  <si>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</si>
  <si>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</si>
  <si>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</si>
  <si>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</si>
  <si>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</si>
  <si>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</si>
  <si>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</si>
  <si>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</si>
  <si>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</si>
  <si>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</si>
  <si>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</si>
  <si>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</si>
  <si>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</si>
  <si>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</si>
  <si>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</si>
  <si>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</si>
  <si>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</si>
  <si>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</si>
  <si>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</si>
  <si>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</si>
  <si>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</si>
  <si>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</si>
  <si>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</si>
  <si>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</si>
  <si>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</si>
  <si>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</si>
  <si>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</si>
  <si>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</si>
  <si>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</si>
  <si>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</si>
  <si>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</si>
  <si>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</si>
  <si>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</si>
  <si>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</si>
  <si>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</si>
  <si>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</si>
  <si>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</si>
  <si>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</si>
  <si>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</si>
  <si>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</si>
  <si>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</si>
  <si>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</si>
  <si>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</si>
  <si>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</si>
  <si>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</si>
  <si>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</si>
  <si>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</si>
  <si>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</si>
  <si>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</si>
  <si>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</si>
  <si>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</si>
  <si>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</si>
  <si>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</si>
  <si>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</si>
  <si>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</si>
  <si>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</si>
  <si>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</si>
  <si>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</si>
  <si>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</si>
  <si>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</si>
  <si>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</si>
  <si>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</si>
  <si>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</si>
  <si>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</si>
  <si>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</si>
  <si>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</si>
  <si>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</si>
  <si>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</si>
  <si>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</si>
  <si>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</si>
  <si>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</si>
  <si>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</si>
  <si>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</si>
  <si>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</si>
  <si>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</si>
  <si>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</si>
  <si>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</si>
  <si>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</si>
  <si>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</si>
  <si>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</si>
  <si>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</si>
  <si>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</si>
  <si>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</si>
  <si>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</si>
  <si>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</si>
  <si>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</si>
  <si>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</si>
  <si>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</si>
  <si>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</si>
  <si>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</si>
  <si>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</si>
  <si>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</si>
  <si>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</si>
  <si>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</si>
  <si>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</si>
  <si>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</si>
  <si>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</si>
  <si>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</si>
  <si>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</si>
  <si>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</si>
  <si>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</si>
  <si>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</si>
  <si>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</si>
  <si>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</si>
  <si>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</si>
  <si>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</si>
  <si>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</si>
  <si>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</si>
  <si>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</si>
  <si>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</si>
  <si>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</si>
  <si>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</si>
  <si>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</si>
  <si>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</si>
  <si>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</si>
  <si>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</si>
  <si>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</si>
  <si>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</si>
  <si>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</si>
  <si>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</si>
  <si>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</si>
  <si>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</si>
  <si>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</si>
  <si>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</si>
  <si>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</si>
  <si>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</si>
  <si>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</si>
  <si>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</si>
  <si>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</si>
  <si>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</si>
  <si>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</si>
  <si>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</si>
  <si>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</si>
  <si>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</si>
  <si>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</si>
  <si>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</si>
  <si>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</si>
  <si>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</si>
  <si>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</si>
  <si>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</si>
  <si>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</si>
  <si>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</si>
  <si>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</si>
  <si>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</si>
  <si>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</si>
  <si>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</si>
  <si>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</si>
  <si>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</si>
  <si>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</si>
  <si>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</si>
  <si>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</si>
  <si>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</si>
  <si>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</si>
  <si>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</si>
  <si>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</si>
  <si>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</si>
  <si>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</si>
  <si>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</si>
  <si>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</si>
  <si>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</si>
  <si>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</si>
  <si>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</si>
  <si>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</si>
  <si>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</si>
  <si>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</si>
  <si>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</si>
  <si>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</si>
  <si>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</si>
  <si>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</si>
  <si>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</si>
  <si>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</si>
  <si>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</si>
  <si>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</si>
  <si>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</si>
  <si>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</si>
  <si>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</si>
  <si>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</si>
  <si>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</si>
  <si>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</si>
  <si>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</si>
  <si>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</si>
  <si>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</si>
  <si>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</si>
  <si>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</si>
  <si>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</si>
  <si>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</si>
  <si>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</si>
  <si>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</si>
  <si>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</si>
  <si>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</si>
  <si>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</si>
  <si>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</si>
  <si>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</si>
  <si>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</si>
  <si>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</si>
  <si>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</si>
  <si>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</si>
  <si>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</si>
  <si>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</si>
  <si>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</si>
  <si>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</si>
  <si>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</si>
  <si>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</si>
  <si>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</si>
  <si>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</si>
  <si>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</si>
  <si>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</si>
  <si>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</si>
  <si>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</si>
  <si>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</si>
  <si>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</si>
  <si>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</si>
  <si>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</si>
  <si>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</si>
  <si>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</si>
  <si>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</si>
  <si>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</si>
  <si>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</si>
  <si>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</si>
  <si>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</si>
  <si>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</si>
  <si>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</si>
  <si>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</si>
  <si>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</si>
  <si>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</si>
  <si>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</si>
  <si>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</si>
  <si>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</si>
  <si>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</si>
  <si>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</si>
  <si>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</si>
  <si>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</si>
  <si>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</si>
  <si>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</si>
  <si>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</si>
  <si>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</si>
  <si>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</si>
  <si>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</si>
  <si>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</si>
  <si>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</si>
  <si>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</si>
  <si>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</si>
  <si>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</si>
  <si>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</si>
  <si>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</si>
  <si>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</si>
  <si>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</si>
  <si>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</si>
  <si>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</si>
  <si>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</si>
  <si>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</si>
  <si>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</si>
  <si>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</si>
  <si>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</si>
  <si>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</si>
  <si>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</si>
  <si>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</si>
  <si>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</si>
  <si>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</si>
  <si>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</si>
  <si>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</si>
  <si>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</si>
  <si>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</si>
  <si>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</si>
  <si>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</si>
  <si>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</si>
  <si>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</si>
  <si>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</si>
  <si>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</si>
  <si>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</si>
  <si>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</si>
  <si>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</si>
  <si>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</si>
  <si>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</si>
  <si>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</si>
  <si>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</si>
  <si>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</si>
  <si>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</si>
  <si>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</si>
  <si>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</si>
  <si>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</si>
  <si>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</si>
  <si>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</si>
  <si>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</si>
  <si>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</si>
  <si>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</si>
  <si>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</si>
  <si>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</si>
  <si>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</si>
  <si>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</si>
  <si>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</si>
  <si>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</si>
  <si>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</si>
  <si>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</si>
  <si>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</si>
  <si>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</si>
  <si>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</si>
  <si>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</si>
  <si>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</si>
  <si>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</si>
  <si>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</si>
  <si>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</si>
  <si>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</si>
  <si>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</si>
  <si>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</si>
  <si>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</si>
  <si>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</si>
  <si>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</si>
  <si>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</si>
  <si>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</si>
  <si>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</si>
  <si>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</si>
  <si>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</si>
  <si>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</si>
  <si>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</si>
  <si>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</si>
  <si>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</si>
  <si>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</si>
  <si>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</si>
  <si>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</si>
  <si>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</si>
  <si>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</si>
  <si>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</si>
  <si>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</si>
  <si>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</si>
  <si>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</si>
  <si>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</si>
  <si>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</si>
  <si>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</si>
  <si>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</si>
  <si>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</si>
  <si>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</si>
  <si>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</si>
  <si>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</si>
  <si>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</si>
  <si>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</si>
  <si>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</si>
  <si>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</si>
  <si>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</si>
  <si>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</si>
  <si>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</si>
  <si>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</si>
  <si>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</si>
  <si>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</si>
  <si>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</si>
  <si>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</si>
  <si>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</si>
  <si>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</si>
  <si>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</si>
  <si>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</si>
  <si>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</si>
  <si>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</si>
  <si>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</si>
  <si>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</si>
  <si>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</si>
  <si>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</si>
  <si>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</si>
  <si>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</si>
  <si>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</si>
  <si>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</si>
  <si>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</si>
  <si>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</si>
  <si>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</si>
  <si>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</si>
  <si>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</si>
  <si>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</si>
  <si>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</si>
  <si>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</si>
  <si>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</si>
  <si>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</si>
  <si>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</si>
  <si>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</si>
  <si>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</si>
  <si>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</si>
  <si>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</si>
  <si>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</si>
  <si>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</si>
  <si>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</si>
  <si>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</si>
  <si>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</si>
  <si>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</si>
  <si>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</si>
  <si>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</si>
  <si>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</si>
  <si>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</si>
  <si>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</si>
  <si>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</si>
  <si>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</si>
  <si>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</si>
  <si>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</si>
  <si>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</si>
  <si>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</si>
  <si>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</si>
  <si>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</si>
  <si>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</si>
  <si>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</si>
  <si>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</si>
  <si>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</si>
  <si>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</si>
  <si>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</si>
  <si>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</si>
  <si>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</si>
  <si>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</si>
  <si>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</si>
  <si>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</si>
  <si>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</si>
  <si>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</si>
  <si>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</si>
  <si>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</si>
  <si>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</si>
  <si>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</si>
  <si>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</si>
  <si>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</si>
  <si>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</si>
  <si>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</si>
  <si>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</si>
  <si>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</si>
  <si>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</si>
  <si>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</si>
  <si>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</si>
  <si>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</si>
  <si>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</si>
  <si>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</si>
  <si>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</si>
  <si>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</si>
  <si>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</si>
  <si>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</si>
  <si>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</si>
  <si>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</si>
  <si>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</si>
  <si>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</si>
  <si>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</si>
  <si>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</si>
  <si>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</si>
  <si>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</si>
  <si>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</si>
  <si>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</si>
  <si>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</si>
  <si>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</si>
  <si>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</si>
  <si>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</si>
  <si>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</si>
  <si>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</si>
  <si>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</si>
  <si>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</si>
  <si>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</si>
  <si>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</si>
  <si>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</si>
  <si>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</si>
  <si>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</si>
  <si>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</si>
  <si>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</si>
  <si>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</si>
  <si>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</si>
  <si>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</si>
  <si>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</si>
  <si>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</si>
  <si>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</si>
  <si>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</si>
  <si>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</si>
  <si>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</si>
  <si>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</si>
  <si>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</si>
  <si>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</si>
  <si>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</si>
  <si>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</si>
  <si>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</si>
  <si>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</si>
  <si>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</si>
  <si>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</si>
  <si>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</si>
  <si>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</si>
  <si>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</si>
  <si>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</si>
  <si>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</si>
  <si>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</si>
  <si>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</si>
  <si>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</si>
  <si>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</si>
  <si>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</si>
  <si>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</si>
  <si>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</si>
  <si>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</si>
  <si>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</si>
  <si>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</si>
  <si>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</si>
  <si>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</si>
  <si>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</si>
  <si>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</si>
  <si>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</si>
  <si>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</si>
  <si>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</si>
  <si>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</si>
  <si>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</si>
  <si>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</si>
  <si>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</si>
  <si>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</si>
  <si>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</si>
  <si>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</si>
  <si>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</si>
  <si>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</si>
  <si>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</si>
  <si>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</si>
  <si>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</si>
  <si>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</si>
  <si>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</si>
  <si>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</si>
  <si>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</si>
  <si>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</si>
  <si>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</si>
  <si>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</si>
  <si>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</si>
  <si>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</si>
  <si>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</si>
  <si>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</si>
  <si>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</si>
  <si>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</si>
  <si>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</si>
  <si>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</si>
  <si>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</si>
  <si>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</si>
  <si>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</si>
  <si>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</si>
  <si>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</si>
  <si>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</si>
  <si>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</si>
  <si>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</si>
  <si>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</si>
  <si>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</si>
  <si>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</si>
  <si>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</si>
  <si>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</si>
  <si>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</si>
  <si>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</si>
  <si>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</si>
  <si>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</si>
  <si>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</si>
  <si>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</si>
  <si>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</si>
  <si>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</si>
  <si>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</si>
  <si>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</si>
  <si>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</si>
  <si>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</si>
  <si>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</si>
  <si>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</si>
  <si>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</si>
  <si>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</si>
  <si>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</si>
  <si>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</si>
  <si>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</si>
  <si>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</si>
  <si>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</si>
  <si>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</si>
  <si>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</si>
  <si>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</si>
  <si>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</si>
  <si>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</si>
  <si>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</si>
  <si>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</si>
  <si>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</si>
  <si>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</si>
  <si>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</si>
  <si>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</si>
  <si>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</si>
  <si>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</si>
  <si>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</si>
  <si>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</si>
  <si>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</si>
  <si>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</si>
  <si>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</si>
  <si>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</si>
  <si>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</si>
  <si>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</si>
  <si>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</si>
  <si>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</si>
  <si>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</si>
  <si>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</si>
  <si>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</si>
  <si>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</si>
  <si>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</si>
  <si>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</si>
  <si>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</si>
  <si>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</si>
  <si>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</si>
  <si>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</si>
  <si>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</si>
  <si>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</si>
  <si>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</si>
  <si>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</si>
  <si>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</si>
  <si>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</si>
  <si>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</si>
  <si>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</si>
  <si>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</si>
  <si>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</si>
  <si>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</si>
  <si>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</si>
  <si>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</si>
  <si>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</si>
  <si>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</si>
  <si>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</si>
  <si>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</si>
  <si>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</si>
  <si>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</si>
  <si>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</si>
  <si>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</si>
  <si>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</si>
  <si>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</si>
  <si>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</si>
  <si>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</si>
  <si>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</si>
  <si>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</si>
  <si>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</si>
  <si>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</si>
  <si>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</si>
  <si>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</si>
  <si>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</si>
  <si>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</si>
  <si>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</si>
  <si>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</si>
  <si>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</si>
  <si>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</si>
  <si>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</si>
  <si>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</si>
  <si>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</si>
  <si>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</si>
  <si>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</si>
  <si>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</si>
  <si>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</si>
  <si>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</si>
  <si>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</si>
  <si>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</si>
  <si>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</si>
  <si>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</si>
  <si>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</si>
  <si>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</si>
  <si>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</si>
  <si>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</si>
  <si>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</si>
  <si>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</si>
  <si>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</si>
  <si>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</si>
  <si>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</si>
  <si>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</si>
  <si>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</si>
  <si>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</si>
  <si>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</si>
  <si>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</si>
  <si>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</si>
  <si>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</si>
  <si>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</si>
  <si>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</si>
  <si>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</si>
  <si>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</si>
  <si>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</si>
  <si>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</si>
  <si>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</si>
  <si>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</si>
  <si>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</si>
  <si>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</si>
  <si>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</si>
  <si>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</si>
  <si>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</si>
  <si>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</si>
  <si>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</si>
  <si>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</si>
  <si>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</si>
  <si>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</si>
  <si>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</si>
  <si>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</si>
  <si>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</si>
  <si>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</si>
  <si>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</si>
  <si>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</si>
  <si>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</si>
  <si>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</si>
  <si>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</si>
  <si>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</si>
  <si>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</si>
  <si>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</si>
  <si>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</si>
  <si>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</si>
  <si>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</si>
  <si>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</si>
  <si>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</si>
  <si>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</si>
  <si>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</si>
  <si>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</si>
  <si>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</si>
  <si>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</si>
  <si>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</si>
  <si>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</si>
  <si>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</si>
  <si>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</si>
  <si>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</si>
  <si>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</si>
  <si>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</si>
  <si>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</si>
  <si>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</si>
  <si>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</si>
  <si>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</si>
  <si>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</si>
  <si>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</si>
  <si>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</si>
  <si>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</si>
  <si>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</si>
  <si>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</si>
  <si>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</si>
  <si>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</si>
  <si>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</si>
  <si>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</si>
  <si>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</si>
  <si>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</si>
  <si>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</si>
  <si>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</si>
  <si>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</si>
  <si>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</si>
  <si>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</si>
  <si>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</si>
  <si>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</si>
  <si>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</si>
  <si>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</si>
  <si>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</si>
  <si>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</si>
  <si>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</si>
  <si>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</si>
  <si>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</si>
  <si>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</si>
  <si>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</si>
  <si>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</si>
  <si>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</si>
  <si>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</si>
  <si>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</si>
  <si>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</si>
  <si>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</si>
  <si>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</si>
  <si>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</si>
  <si>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</si>
  <si>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</si>
  <si>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</si>
  <si>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</si>
  <si>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</si>
  <si>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</si>
  <si>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</si>
  <si>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</si>
  <si>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</si>
  <si>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</si>
  <si>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</si>
  <si>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</si>
  <si>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</si>
  <si>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</si>
  <si>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</si>
  <si>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</si>
  <si>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</si>
  <si>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</si>
  <si>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</si>
  <si>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</si>
  <si>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</si>
  <si>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</si>
  <si>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</si>
  <si>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</si>
  <si>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</si>
  <si>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</si>
  <si>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</si>
  <si>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</si>
  <si>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</si>
  <si>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</si>
  <si>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</si>
  <si>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</si>
  <si>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</si>
  <si>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</si>
  <si>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</si>
  <si>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</si>
  <si>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</si>
  <si>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</si>
  <si>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</si>
  <si>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</si>
  <si>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</si>
  <si>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</si>
  <si>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</si>
  <si>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</si>
  <si>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</si>
  <si>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</si>
  <si>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</si>
  <si>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</si>
  <si>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</si>
  <si>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</si>
  <si>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</si>
  <si>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</si>
  <si>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</si>
  <si>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</si>
  <si>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</si>
  <si>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</si>
  <si>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</si>
  <si>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</si>
  <si>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</si>
  <si>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</si>
  <si>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</si>
  <si>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</si>
  <si>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</si>
  <si>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</si>
  <si>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</si>
  <si>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</si>
  <si>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</si>
  <si>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</si>
  <si>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</si>
  <si>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</si>
  <si>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</si>
  <si>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</si>
  <si>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</si>
  <si>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</si>
  <si>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</si>
  <si>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</si>
  <si>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</si>
  <si>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</si>
  <si>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</si>
  <si>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</si>
  <si>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</si>
  <si>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</si>
  <si>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</si>
  <si>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</si>
  <si>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</si>
  <si>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</si>
  <si>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</si>
  <si>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</si>
  <si>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</si>
  <si>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</si>
  <si>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</si>
  <si>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</si>
  <si>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</si>
  <si>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</si>
  <si>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</si>
  <si>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</si>
  <si>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</si>
  <si>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</si>
  <si>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</si>
  <si>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</si>
  <si>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</si>
  <si>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</si>
  <si>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</si>
  <si>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</si>
  <si>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</si>
  <si>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</si>
  <si>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</si>
  <si>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</si>
  <si>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</si>
  <si>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</si>
  <si>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</si>
  <si>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</si>
  <si>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</si>
  <si>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</si>
  <si>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</si>
  <si>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</si>
  <si>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</si>
  <si>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</si>
  <si>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</si>
  <si>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</si>
  <si>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</si>
  <si>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</si>
  <si>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</si>
  <si>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</si>
  <si>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</si>
  <si>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</si>
  <si>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</si>
  <si>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</si>
  <si>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</si>
  <si>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</si>
  <si>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</si>
  <si>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</si>
  <si>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</si>
  <si>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</si>
  <si>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</si>
  <si>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</si>
  <si>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</si>
  <si>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</si>
  <si>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</si>
  <si>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</si>
  <si>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</si>
  <si>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</si>
  <si>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</si>
  <si>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</si>
  <si>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</si>
  <si>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</si>
  <si>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</si>
  <si>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</si>
  <si>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</si>
  <si>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</si>
  <si>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</si>
  <si>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</si>
  <si>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</si>
  <si>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</si>
  <si>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</si>
  <si>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</si>
  <si>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</si>
  <si>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</si>
  <si>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</si>
  <si>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</si>
  <si>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</si>
  <si>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</si>
  <si>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</si>
  <si>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</si>
  <si>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</si>
  <si>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</si>
  <si>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</si>
  <si>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</si>
  <si>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</si>
  <si>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</si>
  <si>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</si>
  <si>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</si>
  <si>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</si>
  <si>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</si>
  <si>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</si>
  <si>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</si>
  <si>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</si>
  <si>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</si>
  <si>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</si>
  <si>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</si>
  <si>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</si>
  <si>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</si>
  <si>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</si>
  <si>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</si>
  <si>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</si>
  <si>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</si>
  <si>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</si>
  <si>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</si>
  <si>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</si>
  <si>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</si>
  <si>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</si>
  <si>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</si>
  <si>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</si>
  <si>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</si>
  <si>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</si>
  <si>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</si>
  <si>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</si>
  <si>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</si>
  <si>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</si>
  <si>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</si>
  <si>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</si>
  <si>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</si>
  <si>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</si>
  <si>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</si>
  <si>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</si>
  <si>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</si>
  <si>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</si>
  <si>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</si>
  <si>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</si>
  <si>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</si>
  <si>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</si>
  <si>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</si>
  <si>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</si>
  <si>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</si>
  <si>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</si>
  <si>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</si>
  <si>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</si>
  <si>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</si>
  <si>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</si>
  <si>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</si>
  <si>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</si>
  <si>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</si>
  <si>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</si>
  <si>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</si>
  <si>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</si>
  <si>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</si>
  <si>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</si>
  <si>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</si>
  <si>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</si>
  <si>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</si>
  <si>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</si>
  <si>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</si>
  <si>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</si>
  <si>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</si>
  <si>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</si>
  <si>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</si>
  <si>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</si>
  <si>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</si>
  <si>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</si>
  <si>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</si>
  <si>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</si>
  <si>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</si>
  <si>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</si>
  <si>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</si>
  <si>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</si>
  <si>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</si>
  <si>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</si>
  <si>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</si>
  <si>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</si>
  <si>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</si>
  <si>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</si>
  <si>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</si>
  <si>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</si>
  <si>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</si>
  <si>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</si>
  <si>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</si>
  <si>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</si>
  <si>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</si>
  <si>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</si>
  <si>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</si>
  <si>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</si>
  <si>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</si>
  <si>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</si>
  <si>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</si>
  <si>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</si>
  <si>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</si>
  <si>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</si>
  <si>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</si>
  <si>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</si>
  <si>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</si>
  <si>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</si>
  <si>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</si>
  <si>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</si>
  <si>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</si>
  <si>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</si>
  <si>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</si>
  <si>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</si>
  <si>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</si>
  <si>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</si>
  <si>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</si>
  <si>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</si>
  <si>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</si>
  <si>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</si>
  <si>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</si>
  <si>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</si>
  <si>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</si>
  <si>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</si>
  <si>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</si>
  <si>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</si>
  <si>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</si>
  <si>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</si>
  <si>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</si>
  <si>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</si>
  <si>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</si>
  <si>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</si>
  <si>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</si>
  <si>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</si>
  <si>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</si>
  <si>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</si>
  <si>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</si>
  <si>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</si>
  <si>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</si>
  <si>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</si>
  <si>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</si>
  <si>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</si>
  <si>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</si>
  <si>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</si>
  <si>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</si>
  <si>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</si>
  <si>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</si>
  <si>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</si>
  <si>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</si>
  <si>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</si>
  <si>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</si>
  <si>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</si>
  <si>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</si>
  <si>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</si>
  <si>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</si>
  <si>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</si>
  <si>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</si>
  <si>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</si>
  <si>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</si>
  <si>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</si>
  <si>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</si>
  <si>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</si>
  <si>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</si>
  <si>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</si>
  <si>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</si>
  <si>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</si>
  <si>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</si>
  <si>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</si>
  <si>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</si>
  <si>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</si>
  <si>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</si>
  <si>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</si>
  <si>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</si>
  <si>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</si>
  <si>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</si>
  <si>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</si>
  <si>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</si>
  <si>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</si>
  <si>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</si>
  <si>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</si>
  <si>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</si>
  <si>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</si>
  <si>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</si>
  <si>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</si>
  <si>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</si>
  <si>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</si>
  <si>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</si>
  <si>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</si>
  <si>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</si>
  <si>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</si>
  <si>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</si>
  <si>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</si>
  <si>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</si>
  <si>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</si>
  <si>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</si>
  <si>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</si>
  <si>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</si>
  <si>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</si>
  <si>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</si>
  <si>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</si>
  <si>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</si>
  <si>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</si>
  <si>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</si>
  <si>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</si>
  <si>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</si>
  <si>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</si>
  <si>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</si>
  <si>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</si>
  <si>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</si>
  <si>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</si>
  <si>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</si>
  <si>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</si>
  <si>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</si>
  <si>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</si>
  <si>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</si>
  <si>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</si>
  <si>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</si>
  <si>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A realizar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</si>
  <si>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</si>
  <si>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</si>
  <si>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</si>
  <si>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</si>
  <si>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</si>
  <si>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</si>
  <si>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</si>
  <si>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</si>
  <si>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</si>
  <si>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</si>
  <si>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</si>
  <si>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</si>
  <si>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</si>
  <si>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6843/2026</t>
  </si>
  <si>
    <t>Contratações de TIC com base na jurisprudência do TCDF - EAD</t>
  </si>
  <si>
    <t>01/07/2026</t>
  </si>
  <si>
    <t>31/12/2026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</si>
  <si>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</si>
  <si>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</si>
  <si>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</si>
  <si>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</si>
  <si>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</si>
  <si>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</si>
  <si>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</si>
  <si>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</si>
  <si>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</si>
  <si>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</si>
  <si>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</si>
  <si>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</si>
  <si>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</si>
  <si>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</si>
  <si>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</si>
  <si>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</si>
  <si>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</si>
  <si>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</si>
  <si>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</si>
  <si>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</si>
  <si>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</si>
  <si>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</si>
  <si>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</si>
  <si>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</si>
  <si>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</si>
  <si>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</si>
  <si>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</si>
  <si>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</si>
  <si>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</si>
  <si>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</si>
  <si>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</si>
  <si>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</si>
  <si>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</si>
  <si>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</si>
  <si>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</si>
  <si>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</si>
  <si>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</si>
  <si>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</si>
  <si>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</si>
  <si>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</si>
  <si>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</si>
  <si>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</si>
  <si>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</si>
  <si>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</si>
  <si>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</si>
  <si>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</si>
  <si>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</si>
  <si>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</si>
  <si>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</si>
  <si>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</si>
  <si>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</si>
  <si>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</si>
  <si>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</si>
  <si>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</si>
  <si>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</si>
  <si>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</si>
  <si>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</si>
  <si>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</si>
  <si>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</si>
  <si>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</si>
  <si>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</si>
  <si>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</si>
  <si>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</si>
  <si>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</si>
  <si>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</si>
  <si>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</si>
  <si>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</si>
  <si>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</si>
  <si>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</si>
  <si>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</si>
  <si>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</si>
  <si>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</si>
  <si>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</si>
  <si>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</si>
  <si>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</si>
  <si>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</si>
  <si>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</si>
  <si>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</si>
  <si>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</si>
  <si>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</si>
  <si>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</si>
  <si>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</si>
  <si>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</si>
  <si>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</si>
  <si>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</si>
  <si>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</si>
  <si>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</si>
  <si>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</si>
  <si>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</si>
  <si>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</si>
  <si>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</si>
  <si>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</si>
  <si>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</si>
  <si>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</si>
  <si>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</si>
  <si>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</si>
  <si>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</si>
  <si>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</si>
  <si>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</si>
  <si>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</si>
  <si>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</si>
  <si>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</si>
  <si>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</si>
  <si>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</si>
  <si>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</si>
  <si>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</si>
  <si>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</si>
  <si>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</si>
  <si>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</si>
  <si>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</si>
  <si>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</si>
  <si>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</si>
  <si>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</si>
  <si>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</si>
  <si>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</si>
  <si>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</si>
  <si>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</si>
  <si>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</si>
  <si>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</si>
  <si>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</si>
  <si>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</si>
  <si>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</si>
  <si>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</si>
  <si>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</si>
  <si>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</si>
  <si>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</si>
  <si>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</si>
  <si>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</si>
  <si>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</si>
  <si>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</si>
  <si>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</si>
  <si>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</si>
  <si>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</si>
  <si>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</si>
  <si>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</si>
  <si>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</si>
  <si>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</si>
  <si>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</si>
  <si>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</si>
  <si>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</si>
  <si>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</si>
  <si>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</si>
  <si>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</si>
  <si>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</si>
  <si>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</si>
  <si>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</si>
  <si>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</si>
  <si>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</si>
  <si>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</si>
  <si>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</si>
  <si>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</si>
  <si>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</si>
  <si>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</si>
  <si>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</si>
  <si>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</si>
  <si>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</si>
  <si>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</si>
  <si>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</si>
  <si>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</si>
  <si>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</si>
  <si>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</si>
  <si>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</si>
  <si>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</si>
  <si>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</si>
  <si>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</si>
  <si>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</si>
  <si>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</si>
  <si>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</si>
  <si>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</si>
  <si>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</si>
  <si>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</si>
  <si>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</si>
  <si>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</si>
  <si>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</si>
  <si>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</si>
  <si>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</si>
  <si>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</si>
  <si>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</si>
  <si>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</si>
  <si>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</si>
  <si>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</si>
  <si>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</si>
  <si>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</si>
  <si>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</si>
  <si>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 para servidores do GDF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</si>
  <si>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</si>
  <si>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</si>
  <si>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</si>
  <si>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</si>
  <si>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</si>
  <si>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</si>
  <si>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</si>
  <si>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</si>
  <si>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</si>
  <si>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</si>
  <si>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</si>
  <si>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</si>
  <si>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</si>
  <si>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</si>
  <si>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</si>
  <si>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</si>
  <si>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</si>
  <si>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</si>
  <si>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</si>
  <si>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</si>
  <si>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</si>
  <si>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</si>
  <si>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</si>
  <si>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</si>
  <si>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</si>
  <si>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</si>
  <si>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</si>
  <si>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</si>
  <si>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</si>
  <si>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</si>
  <si>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</si>
  <si>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</t>
  </si>
  <si>
    <t>20/08/2026</t>
  </si>
  <si>
    <t>2026-056</t>
  </si>
  <si>
    <t>21/08/2026</t>
  </si>
  <si>
    <t>2026-059</t>
  </si>
  <si>
    <t>24/09/2026</t>
  </si>
  <si>
    <t>2026-060</t>
  </si>
  <si>
    <t>25/09/2026</t>
  </si>
  <si>
    <t>2026-061</t>
  </si>
  <si>
    <t>08/10/2026</t>
  </si>
  <si>
    <t>2026-062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</si>
  <si>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</si>
  <si>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</si>
  <si>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</si>
  <si>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</si>
  <si>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</si>
  <si>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</si>
  <si>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2026-018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</si>
  <si>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</si>
  <si>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</si>
  <si>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</si>
  <si>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2026-023</t>
  </si>
  <si>
    <t>Tcendo o Futuro 2</t>
  </si>
  <si>
    <t>08/05/2026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</si>
  <si>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</si>
  <si>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</si>
  <si>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</si>
  <si>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</si>
  <si>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</si>
  <si>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</si>
  <si>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</si>
  <si>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</si>
  <si>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</si>
  <si>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</si>
  <si>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</si>
  <si>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</si>
  <si>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</si>
  <si>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</si>
  <si>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</si>
  <si>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</si>
  <si>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(Fernanda e Túlio)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</si>
  <si>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</si>
  <si>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</si>
  <si>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</si>
  <si>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</si>
  <si>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</si>
  <si>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</si>
  <si>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</si>
  <si>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2026-076</t>
  </si>
  <si>
    <t>Visita dos Filhos ao trabalho</t>
  </si>
  <si>
    <t>2026-077</t>
  </si>
  <si>
    <t>Exibição de filme: Consciência Negra</t>
  </si>
  <si>
    <t>2026-078</t>
  </si>
  <si>
    <t>Hackaton</t>
  </si>
  <si>
    <t>220/2026</t>
  </si>
  <si>
    <t>Café e Tertúlia: Gincana dos Neurotransmissores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</si>
  <si>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</si>
  <si>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</si>
  <si>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</si>
  <si>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</si>
  <si>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</si>
  <si>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02 e 04/09/2026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</si>
  <si>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</si>
  <si>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</si>
  <si>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</si>
  <si>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</si>
  <si>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</si>
  <si>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</si>
  <si>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</si>
  <si>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</si>
  <si>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</si>
  <si>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</si>
  <si>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</si>
  <si>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</si>
  <si>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</si>
  <si>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</si>
  <si>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</si>
  <si>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</si>
  <si>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</si>
  <si>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</si>
  <si>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</si>
  <si>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</si>
  <si>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</si>
  <si>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</si>
  <si>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</si>
  <si>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</si>
  <si>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</si>
  <si>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</si>
  <si>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</si>
  <si>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</si>
  <si>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</si>
  <si>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</si>
  <si>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</si>
  <si>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</si>
  <si>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</si>
  <si>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</si>
  <si>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</si>
  <si>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</si>
  <si>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</si>
  <si>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</si>
  <si>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</si>
  <si>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</si>
  <si>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</si>
  <si>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</si>
  <si>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</si>
  <si>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</si>
  <si>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</si>
  <si>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</si>
  <si>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</si>
  <si>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</si>
  <si>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</si>
  <si>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</si>
  <si>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</si>
  <si>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</si>
  <si>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</si>
  <si>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</si>
  <si>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</si>
  <si>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</si>
  <si>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</si>
  <si>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</si>
  <si>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</si>
  <si>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</si>
  <si>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</si>
  <si>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</si>
  <si>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</si>
  <si>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</si>
  <si>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</si>
  <si>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</si>
  <si>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</si>
  <si>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</si>
  <si>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</si>
  <si>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</si>
  <si>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</si>
  <si>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</si>
  <si>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</si>
  <si>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</si>
  <si>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</si>
  <si>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</si>
  <si>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</si>
  <si>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</si>
  <si>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</si>
  <si>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</si>
  <si>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</si>
  <si>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</si>
  <si>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</si>
  <si>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</si>
  <si>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</si>
  <si>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</si>
  <si>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</si>
  <si>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</si>
  <si>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</si>
  <si>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</si>
  <si>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</si>
  <si>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</si>
  <si>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</si>
  <si>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</si>
  <si>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</si>
  <si>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</si>
  <si>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</si>
  <si>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</si>
  <si>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</si>
  <si>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</si>
  <si>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</si>
  <si>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</si>
  <si>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</si>
  <si>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</si>
  <si>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</si>
  <si>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</si>
  <si>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</si>
  <si>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</si>
  <si>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</si>
  <si>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</si>
  <si>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</si>
  <si>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</si>
  <si>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</si>
  <si>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</si>
  <si>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</si>
  <si>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</si>
  <si>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</si>
  <si>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</si>
  <si>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</si>
  <si>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</si>
  <si>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</si>
  <si>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</si>
  <si>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</si>
  <si>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</si>
  <si>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</si>
  <si>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</si>
  <si>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</si>
  <si>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</si>
  <si>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</si>
  <si>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</si>
  <si>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</si>
  <si>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</si>
  <si>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</si>
  <si>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</si>
  <si>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</si>
  <si>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</si>
  <si>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</si>
  <si>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</si>
  <si>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</si>
  <si>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</si>
  <si>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</si>
  <si>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</si>
  <si>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</si>
  <si>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</si>
  <si>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</si>
  <si>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</si>
  <si>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</si>
  <si>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</si>
  <si>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</si>
  <si>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</si>
  <si>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</si>
  <si>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</si>
  <si>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</si>
  <si>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</si>
  <si>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</si>
  <si>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</si>
  <si>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</si>
  <si>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</si>
  <si>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</si>
  <si>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</si>
  <si>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</si>
  <si>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</si>
  <si>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</si>
  <si>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</si>
  <si>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</si>
  <si>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</si>
  <si>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</si>
  <si>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</si>
  <si>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</si>
  <si>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</si>
  <si>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</si>
  <si>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</si>
  <si>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</si>
  <si>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</si>
  <si>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</si>
  <si>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</si>
  <si>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</si>
  <si>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</si>
  <si>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</si>
  <si>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</si>
  <si>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</si>
  <si>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</si>
  <si>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</si>
  <si>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</si>
  <si>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</si>
  <si>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</si>
  <si>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</si>
  <si>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</si>
  <si>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</si>
  <si>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</si>
  <si>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</si>
  <si>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</si>
  <si>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</si>
  <si>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</si>
  <si>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</si>
  <si>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</si>
  <si>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</si>
  <si>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</si>
  <si>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</si>
  <si>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</si>
  <si>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10199/2026</t>
  </si>
  <si>
    <t>2026-083</t>
  </si>
  <si>
    <t>Oficina básica de Power Automate</t>
  </si>
  <si>
    <t>01 e 02/09/2026</t>
  </si>
  <si>
    <t>Contratações de TIC com base na jurisprudência do TCDF - SGDI</t>
  </si>
  <si>
    <t>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</si>
</sst>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59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3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4" fillId="7" borderId="0" xfId="0" applyFont="1" applyFill="1"/>
    <xf numFmtId="0" fontId="15" fillId="7" borderId="0" xfId="0" applyFont="1" applyFill="1"/>
    <xf numFmtId="0" fontId="54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69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9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7" fillId="0" borderId="0" xfId="0" applyFont="1"/>
    <xf numFmtId="0" fontId="58" fillId="0" borderId="0" xfId="0" applyFont="1"/>
    <xf numFmtId="0" fontId="0" fillId="0" borderId="0" xfId="0" applyAlignment="1">
      <alignment horizontal="left"/>
    </xf>
    <xf numFmtId="0" fontId="48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170" fontId="48" fillId="0" borderId="1" xfId="0" applyNumberFormat="1" applyFont="1" applyBorder="1" applyAlignment="1">
      <alignment horizontal="center" vertical="center"/>
    </xf>
    <xf numFmtId="169" fontId="48" fillId="0" borderId="1" xfId="2" applyNumberFormat="1" applyFont="1" applyFill="1" applyBorder="1" applyAlignment="1">
      <alignment horizontal="center" vertical="center"/>
    </xf>
    <xf numFmtId="165" fontId="48" fillId="0" borderId="1" xfId="2" applyNumberFormat="1" applyFont="1" applyFill="1" applyBorder="1" applyAlignment="1">
      <alignment vertical="center"/>
    </xf>
    <xf numFmtId="170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horizontal="center" vertical="center"/>
    </xf>
    <xf numFmtId="165" fontId="48" fillId="0" borderId="2" xfId="2" applyNumberFormat="1" applyFont="1" applyFill="1" applyBorder="1" applyAlignment="1">
      <alignment vertical="center"/>
    </xf>
    <xf numFmtId="3" fontId="48" fillId="0" borderId="1" xfId="0" quotePrefix="1" applyNumberFormat="1" applyFont="1" applyBorder="1" applyAlignment="1">
      <alignment horizontal="center" vertical="center"/>
    </xf>
    <xf numFmtId="44" fontId="48" fillId="0" borderId="1" xfId="2" applyFont="1" applyFill="1" applyBorder="1" applyAlignment="1">
      <alignment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18</c:v>
                </c:pt>
                <c:pt idx="1">
                  <c:v>23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772</c:v>
                </c:pt>
                <c:pt idx="1">
                  <c:v>1486</c:v>
                </c:pt>
                <c:pt idx="2">
                  <c:v>510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3</c:v>
                </c:pt>
                <c:pt idx="5">
                  <c:v>8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5</c:v>
                </c:pt>
                <c:pt idx="1">
                  <c:v>2</c:v>
                </c:pt>
                <c:pt idx="2">
                  <c:v>2</c:v>
                </c:pt>
                <c:pt idx="3">
                  <c:v>0</c:v>
                </c:pt>
                <c:pt idx="4">
                  <c:v>3</c:v>
                </c:pt>
                <c:pt idx="5">
                  <c:v>14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>
    <filterColumn colId="2">
      <filters>
        <filter val="Em andamento"/>
        <filter val="Realizado"/>
      </filters>
    </filterColumn>
  </autoFilter>
  <tableColumns count="20">
    <tableColumn id="1" xr3:uid="{022FA08A-515E-453B-85A4-E200B40364EE}" name="ID" dataDxfId="46" totalsRowDxfId="45"/>
    <tableColumn id="2" xr3:uid="{19532738-24D5-4BD5-BE04-C19DCC5894A1}" name="Ano" dataDxfId="44" totalsRowDxfId="43"/>
    <tableColumn id="3" xr3:uid="{8DE0B36A-F0DC-47A1-A74E-F4BE63A4FB1D}" name="Status Evento" dataDxfId="42" totalsRowDxfId="41"/>
    <tableColumn id="4" xr3:uid="{C1159FBD-CCD0-4CA2-BB8C-598E3AB5DDD8}" name="Processo" dataDxfId="40" totalsRowDxfId="39"/>
    <tableColumn id="5" xr3:uid="{A32670A4-BE4F-480D-8DE9-8FF18024C829}" name="Curso" dataDxfId="38" totalsRowDxfId="37"/>
    <tableColumn id="8" xr3:uid="{905DEA0A-D099-47EA-972D-1012D71C7792}" name="Público-Alvo" dataDxfId="36" totalsRowDxfId="35"/>
    <tableColumn id="9" xr3:uid="{7DC0A0BE-8030-47CA-AF56-2C13C9FF7AE5}" name="Programa" dataDxfId="34" totalsRowDxfId="33"/>
    <tableColumn id="11" xr3:uid="{2B799ACD-69E4-46A5-9A4F-F7E3D7A47CE9}" name="Data TXT" dataDxfId="32" totalsRowDxfId="31"/>
    <tableColumn id="12" xr3:uid="{62016C67-3729-4C41-B72D-09D6616B7474}" name="Início" dataDxfId="30" totalsRowDxfId="29"/>
    <tableColumn id="13" xr3:uid="{E4F20518-0042-40C0-B590-B7616F2843A5}" name="Término" dataDxfId="28" totalsRowDxfId="27"/>
    <tableColumn id="14" xr3:uid="{4D6C4412-CFEE-4506-830E-F79FD008371B}" name="Modalidade" dataDxfId="26" totalsRowDxfId="25"/>
    <tableColumn id="15" xr3:uid="{12EC931A-E71B-4AEB-B20B-0F9EA63D0C71}" name="Valor instrutoria" dataDxfId="24" totalsRowDxfId="23" dataCellStyle="Moeda"/>
    <tableColumn id="17" xr3:uid="{8FCDFADA-4FA3-41E0-86FF-E623116BAFEB}" name="Nota Av. Reação" dataDxfId="22" totalsRowDxfId="21"/>
    <tableColumn id="19" xr3:uid="{316EB379-BB97-4F60-9566-576B25A26B0E}" name="Qtd Vagas" dataDxfId="20" totalsRowDxfId="19"/>
    <tableColumn id="20" xr3:uid="{59A9FB16-6726-411C-88B5-8165DD520DA3}" name="P. Servidores" dataDxfId="18" totalsRowDxfId="17"/>
    <tableColumn id="21" xr3:uid="{0246E091-ADCD-4F62-8F95-84B21E8A7BE1}" name="P. Jurisdicionados" dataDxfId="16" totalsRowDxfId="15"/>
    <tableColumn id="22" xr3:uid="{1B6DBD6D-C072-4600-81C1-69D6F4422D7D}" name="P. Sociedade" dataDxfId="14" totalsRowDxfId="13"/>
    <tableColumn id="23" xr3:uid="{109F7E4E-776C-4249-88BE-FEC3A375D7D9}" name="Total Part." dataDxfId="12" totalsRowDxfId="11"/>
    <tableColumn id="24" xr3:uid="{C67AA4C6-834C-4EBB-839B-EF0CDD50F649}" name="C.H." dataDxfId="10" totalsRowDxfId="9"/>
    <tableColumn id="26" xr3:uid="{973608F6-3E97-493C-AC61-980F73C13CD6}" name="Instrutor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9" totalsRowShown="0">
  <autoFilter ref="A3:E109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topLeftCell="E1" zoomScaleNormal="100" workbookViewId="0">
      <pane ySplit="1" topLeftCell="A648" activePane="bottomLeft" state="frozen"/>
      <selection pane="bottomLeft" activeCell="L681" sqref="L681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9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 x14ac:dyDescent="0.2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 x14ac:dyDescent="0.2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aca="1" ref="W3" ca="1">TEXT(W2,"0")&amp;"-"&amp;TEXT(MAX(IFERROR((LEFT(Tabela2[ID],4)=TEXT(W2,"0"))*VALUE(RIGHT(Tabela2[ID],3)),0))+1,"000")</f>
        <v>2026-084</v>
      </c>
    </row>
    <row r="4" spans="1:23" ht="15" x14ac:dyDescent="0.2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 ca="1">COUNTA(Tabela2[ID])</f>
        <v>1499</v>
      </c>
    </row>
    <row r="5" spans="1:23" ht="15" x14ac:dyDescent="0.2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x14ac:dyDescent="0.2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aca="1" ref="W6" ca="1">SUMPRODUCT((Tabela2[Ano]&lt;&gt;"")*(Tabela2[ID]=""))</f>
        <v>0</v>
      </c>
    </row>
    <row r="7" spans="1:23" ht="15" x14ac:dyDescent="0.2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x14ac:dyDescent="0.2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 x14ac:dyDescent="0.2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 x14ac:dyDescent="0.2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 x14ac:dyDescent="0.2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 x14ac:dyDescent="0.2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 x14ac:dyDescent="0.2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 x14ac:dyDescent="0.2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 x14ac:dyDescent="0.2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 x14ac:dyDescent="0.2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 x14ac:dyDescent="0.2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 x14ac:dyDescent="0.2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 x14ac:dyDescent="0.2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 x14ac:dyDescent="0.2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 x14ac:dyDescent="0.2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 x14ac:dyDescent="0.2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 x14ac:dyDescent="0.2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 x14ac:dyDescent="0.2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 x14ac:dyDescent="0.2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 x14ac:dyDescent="0.2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 x14ac:dyDescent="0.2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 x14ac:dyDescent="0.2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 x14ac:dyDescent="0.2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 x14ac:dyDescent="0.2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 x14ac:dyDescent="0.2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 x14ac:dyDescent="0.2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 x14ac:dyDescent="0.2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 x14ac:dyDescent="0.2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 x14ac:dyDescent="0.2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 x14ac:dyDescent="0.2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 x14ac:dyDescent="0.2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 x14ac:dyDescent="0.2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 x14ac:dyDescent="0.2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 x14ac:dyDescent="0.2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 x14ac:dyDescent="0.2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 x14ac:dyDescent="0.2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 x14ac:dyDescent="0.2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 x14ac:dyDescent="0.2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 x14ac:dyDescent="0.2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 x14ac:dyDescent="0.2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 x14ac:dyDescent="0.2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 x14ac:dyDescent="0.2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 x14ac:dyDescent="0.2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 x14ac:dyDescent="0.2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 x14ac:dyDescent="0.2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 x14ac:dyDescent="0.2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 x14ac:dyDescent="0.2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 x14ac:dyDescent="0.2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 x14ac:dyDescent="0.2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 x14ac:dyDescent="0.2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 x14ac:dyDescent="0.2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 x14ac:dyDescent="0.2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 x14ac:dyDescent="0.2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 x14ac:dyDescent="0.2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 x14ac:dyDescent="0.2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 x14ac:dyDescent="0.2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 x14ac:dyDescent="0.2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 x14ac:dyDescent="0.2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 x14ac:dyDescent="0.2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 x14ac:dyDescent="0.2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 x14ac:dyDescent="0.2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 x14ac:dyDescent="0.2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 x14ac:dyDescent="0.2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 x14ac:dyDescent="0.2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 x14ac:dyDescent="0.2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 x14ac:dyDescent="0.2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 x14ac:dyDescent="0.2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 x14ac:dyDescent="0.2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 x14ac:dyDescent="0.2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 x14ac:dyDescent="0.2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 x14ac:dyDescent="0.2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 x14ac:dyDescent="0.2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 x14ac:dyDescent="0.2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 x14ac:dyDescent="0.2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 x14ac:dyDescent="0.2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 x14ac:dyDescent="0.2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 x14ac:dyDescent="0.2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 x14ac:dyDescent="0.2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 x14ac:dyDescent="0.2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 x14ac:dyDescent="0.2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 x14ac:dyDescent="0.2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 x14ac:dyDescent="0.2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 x14ac:dyDescent="0.2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 x14ac:dyDescent="0.2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 x14ac:dyDescent="0.2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 x14ac:dyDescent="0.2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 x14ac:dyDescent="0.2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 x14ac:dyDescent="0.2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 x14ac:dyDescent="0.2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 x14ac:dyDescent="0.2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 x14ac:dyDescent="0.2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 x14ac:dyDescent="0.2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 x14ac:dyDescent="0.2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 x14ac:dyDescent="0.2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 x14ac:dyDescent="0.2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 x14ac:dyDescent="0.2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 x14ac:dyDescent="0.2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 x14ac:dyDescent="0.2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 x14ac:dyDescent="0.2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 x14ac:dyDescent="0.2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 x14ac:dyDescent="0.2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 x14ac:dyDescent="0.2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 x14ac:dyDescent="0.2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 x14ac:dyDescent="0.2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 x14ac:dyDescent="0.2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 x14ac:dyDescent="0.2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 x14ac:dyDescent="0.2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 x14ac:dyDescent="0.2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 x14ac:dyDescent="0.2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 x14ac:dyDescent="0.2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 x14ac:dyDescent="0.2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 x14ac:dyDescent="0.2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 x14ac:dyDescent="0.2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 x14ac:dyDescent="0.2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 x14ac:dyDescent="0.2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 x14ac:dyDescent="0.2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 x14ac:dyDescent="0.2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 x14ac:dyDescent="0.2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 x14ac:dyDescent="0.2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 x14ac:dyDescent="0.2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 x14ac:dyDescent="0.2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 x14ac:dyDescent="0.2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 x14ac:dyDescent="0.2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 x14ac:dyDescent="0.2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 x14ac:dyDescent="0.2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 x14ac:dyDescent="0.2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 x14ac:dyDescent="0.2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 x14ac:dyDescent="0.2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 x14ac:dyDescent="0.2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 x14ac:dyDescent="0.2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 x14ac:dyDescent="0.2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 x14ac:dyDescent="0.2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 x14ac:dyDescent="0.2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 x14ac:dyDescent="0.2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 x14ac:dyDescent="0.2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 x14ac:dyDescent="0.2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 x14ac:dyDescent="0.2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 x14ac:dyDescent="0.2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 x14ac:dyDescent="0.2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 x14ac:dyDescent="0.2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 x14ac:dyDescent="0.2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 x14ac:dyDescent="0.2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 x14ac:dyDescent="0.2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 x14ac:dyDescent="0.2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 x14ac:dyDescent="0.2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 x14ac:dyDescent="0.2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 x14ac:dyDescent="0.2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 x14ac:dyDescent="0.2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 x14ac:dyDescent="0.2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 x14ac:dyDescent="0.2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 x14ac:dyDescent="0.2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 x14ac:dyDescent="0.2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 x14ac:dyDescent="0.2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 x14ac:dyDescent="0.2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 x14ac:dyDescent="0.2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 x14ac:dyDescent="0.2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 x14ac:dyDescent="0.2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 x14ac:dyDescent="0.2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 x14ac:dyDescent="0.2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 x14ac:dyDescent="0.2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 x14ac:dyDescent="0.2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 x14ac:dyDescent="0.2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 x14ac:dyDescent="0.2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 x14ac:dyDescent="0.2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 x14ac:dyDescent="0.2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 x14ac:dyDescent="0.2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 x14ac:dyDescent="0.2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 x14ac:dyDescent="0.2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 x14ac:dyDescent="0.2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 x14ac:dyDescent="0.2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 x14ac:dyDescent="0.2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 x14ac:dyDescent="0.2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 x14ac:dyDescent="0.2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 x14ac:dyDescent="0.2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 x14ac:dyDescent="0.2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 x14ac:dyDescent="0.2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 x14ac:dyDescent="0.2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 x14ac:dyDescent="0.2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 x14ac:dyDescent="0.2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 x14ac:dyDescent="0.2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 x14ac:dyDescent="0.2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 x14ac:dyDescent="0.2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 x14ac:dyDescent="0.2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 x14ac:dyDescent="0.2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 x14ac:dyDescent="0.2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 x14ac:dyDescent="0.2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 x14ac:dyDescent="0.2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 x14ac:dyDescent="0.2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 x14ac:dyDescent="0.2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 x14ac:dyDescent="0.2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 x14ac:dyDescent="0.2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 x14ac:dyDescent="0.2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 x14ac:dyDescent="0.2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 x14ac:dyDescent="0.2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 x14ac:dyDescent="0.2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 x14ac:dyDescent="0.2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 x14ac:dyDescent="0.2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 x14ac:dyDescent="0.2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 x14ac:dyDescent="0.2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 x14ac:dyDescent="0.2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 x14ac:dyDescent="0.2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 x14ac:dyDescent="0.2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 x14ac:dyDescent="0.2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 x14ac:dyDescent="0.2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 x14ac:dyDescent="0.2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 x14ac:dyDescent="0.2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 x14ac:dyDescent="0.2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 x14ac:dyDescent="0.2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 x14ac:dyDescent="0.2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 x14ac:dyDescent="0.2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 x14ac:dyDescent="0.2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 x14ac:dyDescent="0.2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 x14ac:dyDescent="0.2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 x14ac:dyDescent="0.2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 x14ac:dyDescent="0.2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 x14ac:dyDescent="0.2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 x14ac:dyDescent="0.2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 x14ac:dyDescent="0.2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 x14ac:dyDescent="0.2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 x14ac:dyDescent="0.2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 x14ac:dyDescent="0.2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 x14ac:dyDescent="0.2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 x14ac:dyDescent="0.2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 x14ac:dyDescent="0.2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 x14ac:dyDescent="0.2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 x14ac:dyDescent="0.2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 x14ac:dyDescent="0.2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 x14ac:dyDescent="0.2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 x14ac:dyDescent="0.2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 x14ac:dyDescent="0.2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 x14ac:dyDescent="0.2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 x14ac:dyDescent="0.2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 x14ac:dyDescent="0.2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 x14ac:dyDescent="0.2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 x14ac:dyDescent="0.2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 x14ac:dyDescent="0.2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 x14ac:dyDescent="0.2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 x14ac:dyDescent="0.2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 x14ac:dyDescent="0.2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 x14ac:dyDescent="0.2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 x14ac:dyDescent="0.2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 x14ac:dyDescent="0.2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 x14ac:dyDescent="0.2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 x14ac:dyDescent="0.2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 x14ac:dyDescent="0.2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 x14ac:dyDescent="0.2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 x14ac:dyDescent="0.2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 x14ac:dyDescent="0.2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 x14ac:dyDescent="0.2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 x14ac:dyDescent="0.2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 x14ac:dyDescent="0.2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 x14ac:dyDescent="0.2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 x14ac:dyDescent="0.2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 x14ac:dyDescent="0.2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 x14ac:dyDescent="0.2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 x14ac:dyDescent="0.2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 x14ac:dyDescent="0.2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 x14ac:dyDescent="0.2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 x14ac:dyDescent="0.2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 x14ac:dyDescent="0.2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 x14ac:dyDescent="0.2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 x14ac:dyDescent="0.2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 x14ac:dyDescent="0.2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 x14ac:dyDescent="0.2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 x14ac:dyDescent="0.2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 x14ac:dyDescent="0.2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 x14ac:dyDescent="0.2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 x14ac:dyDescent="0.2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 x14ac:dyDescent="0.2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 x14ac:dyDescent="0.2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 x14ac:dyDescent="0.2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45" x14ac:dyDescent="0.2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 x14ac:dyDescent="0.2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 x14ac:dyDescent="0.2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 x14ac:dyDescent="0.2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 x14ac:dyDescent="0.2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 x14ac:dyDescent="0.2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 x14ac:dyDescent="0.2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 x14ac:dyDescent="0.2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 x14ac:dyDescent="0.2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 x14ac:dyDescent="0.2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 x14ac:dyDescent="0.2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 x14ac:dyDescent="0.2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 x14ac:dyDescent="0.2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 x14ac:dyDescent="0.2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 x14ac:dyDescent="0.2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 x14ac:dyDescent="0.2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 x14ac:dyDescent="0.2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 x14ac:dyDescent="0.2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 x14ac:dyDescent="0.2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 x14ac:dyDescent="0.2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 x14ac:dyDescent="0.2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 x14ac:dyDescent="0.2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 x14ac:dyDescent="0.2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 x14ac:dyDescent="0.2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 x14ac:dyDescent="0.2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 x14ac:dyDescent="0.2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 x14ac:dyDescent="0.2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 x14ac:dyDescent="0.2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 x14ac:dyDescent="0.2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 x14ac:dyDescent="0.2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 x14ac:dyDescent="0.2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 x14ac:dyDescent="0.2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 x14ac:dyDescent="0.2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 x14ac:dyDescent="0.2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135" x14ac:dyDescent="0.2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 x14ac:dyDescent="0.2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 x14ac:dyDescent="0.2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 x14ac:dyDescent="0.2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 x14ac:dyDescent="0.2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 x14ac:dyDescent="0.2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 x14ac:dyDescent="0.2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 x14ac:dyDescent="0.2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 x14ac:dyDescent="0.2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 x14ac:dyDescent="0.2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 x14ac:dyDescent="0.2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 x14ac:dyDescent="0.2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 x14ac:dyDescent="0.2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 x14ac:dyDescent="0.2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 x14ac:dyDescent="0.2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 x14ac:dyDescent="0.2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75" x14ac:dyDescent="0.2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 x14ac:dyDescent="0.2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 x14ac:dyDescent="0.2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 x14ac:dyDescent="0.2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 x14ac:dyDescent="0.2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 x14ac:dyDescent="0.2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 x14ac:dyDescent="0.2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 x14ac:dyDescent="0.2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 x14ac:dyDescent="0.2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 x14ac:dyDescent="0.2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 x14ac:dyDescent="0.2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 x14ac:dyDescent="0.2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 x14ac:dyDescent="0.2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 x14ac:dyDescent="0.2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 x14ac:dyDescent="0.2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 x14ac:dyDescent="0.2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 x14ac:dyDescent="0.2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 x14ac:dyDescent="0.2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 x14ac:dyDescent="0.2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 x14ac:dyDescent="0.2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 x14ac:dyDescent="0.2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 x14ac:dyDescent="0.2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 x14ac:dyDescent="0.2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 x14ac:dyDescent="0.2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 x14ac:dyDescent="0.2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 x14ac:dyDescent="0.2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 x14ac:dyDescent="0.2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 x14ac:dyDescent="0.2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 x14ac:dyDescent="0.2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 x14ac:dyDescent="0.2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 x14ac:dyDescent="0.2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 x14ac:dyDescent="0.2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 x14ac:dyDescent="0.2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 x14ac:dyDescent="0.2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 x14ac:dyDescent="0.2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 x14ac:dyDescent="0.2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 x14ac:dyDescent="0.2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 x14ac:dyDescent="0.2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 x14ac:dyDescent="0.2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 x14ac:dyDescent="0.2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 x14ac:dyDescent="0.2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 x14ac:dyDescent="0.2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 x14ac:dyDescent="0.2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 x14ac:dyDescent="0.2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 x14ac:dyDescent="0.2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 x14ac:dyDescent="0.2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 x14ac:dyDescent="0.2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 x14ac:dyDescent="0.2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 x14ac:dyDescent="0.2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 x14ac:dyDescent="0.2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 x14ac:dyDescent="0.2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 x14ac:dyDescent="0.2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 x14ac:dyDescent="0.2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 x14ac:dyDescent="0.2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 x14ac:dyDescent="0.2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 x14ac:dyDescent="0.2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 x14ac:dyDescent="0.2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 x14ac:dyDescent="0.2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 x14ac:dyDescent="0.2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 x14ac:dyDescent="0.2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 x14ac:dyDescent="0.2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 x14ac:dyDescent="0.2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 x14ac:dyDescent="0.2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 x14ac:dyDescent="0.2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 x14ac:dyDescent="0.2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 x14ac:dyDescent="0.2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 x14ac:dyDescent="0.2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 x14ac:dyDescent="0.2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 x14ac:dyDescent="0.2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 x14ac:dyDescent="0.2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 x14ac:dyDescent="0.2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 x14ac:dyDescent="0.2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 x14ac:dyDescent="0.2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 x14ac:dyDescent="0.2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 x14ac:dyDescent="0.2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 x14ac:dyDescent="0.2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 x14ac:dyDescent="0.2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 x14ac:dyDescent="0.2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 x14ac:dyDescent="0.2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 x14ac:dyDescent="0.2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 x14ac:dyDescent="0.2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 x14ac:dyDescent="0.2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 x14ac:dyDescent="0.2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 x14ac:dyDescent="0.2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 x14ac:dyDescent="0.2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 x14ac:dyDescent="0.2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 x14ac:dyDescent="0.2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 x14ac:dyDescent="0.2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 x14ac:dyDescent="0.2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 x14ac:dyDescent="0.2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 x14ac:dyDescent="0.2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 x14ac:dyDescent="0.2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 x14ac:dyDescent="0.2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 x14ac:dyDescent="0.2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 x14ac:dyDescent="0.2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 x14ac:dyDescent="0.2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 x14ac:dyDescent="0.2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 x14ac:dyDescent="0.2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 x14ac:dyDescent="0.2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 x14ac:dyDescent="0.2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 x14ac:dyDescent="0.2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 x14ac:dyDescent="0.2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 x14ac:dyDescent="0.2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 x14ac:dyDescent="0.2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 x14ac:dyDescent="0.2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 x14ac:dyDescent="0.2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 x14ac:dyDescent="0.2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 x14ac:dyDescent="0.2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 x14ac:dyDescent="0.2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 x14ac:dyDescent="0.2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 x14ac:dyDescent="0.2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 x14ac:dyDescent="0.2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 x14ac:dyDescent="0.2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 x14ac:dyDescent="0.2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 x14ac:dyDescent="0.2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 x14ac:dyDescent="0.2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 x14ac:dyDescent="0.2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 x14ac:dyDescent="0.2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 x14ac:dyDescent="0.2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 x14ac:dyDescent="0.2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 x14ac:dyDescent="0.2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 x14ac:dyDescent="0.2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 x14ac:dyDescent="0.2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 x14ac:dyDescent="0.2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 x14ac:dyDescent="0.2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 x14ac:dyDescent="0.2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 x14ac:dyDescent="0.2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 x14ac:dyDescent="0.2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 x14ac:dyDescent="0.2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 x14ac:dyDescent="0.2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 x14ac:dyDescent="0.2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 x14ac:dyDescent="0.2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 x14ac:dyDescent="0.2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 x14ac:dyDescent="0.2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 x14ac:dyDescent="0.2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 x14ac:dyDescent="0.2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 x14ac:dyDescent="0.2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 x14ac:dyDescent="0.2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 x14ac:dyDescent="0.25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 x14ac:dyDescent="0.25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 x14ac:dyDescent="0.25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 x14ac:dyDescent="0.25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 x14ac:dyDescent="0.25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 x14ac:dyDescent="0.25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 x14ac:dyDescent="0.25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 x14ac:dyDescent="0.25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 x14ac:dyDescent="0.25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 x14ac:dyDescent="0.25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 x14ac:dyDescent="0.25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 x14ac:dyDescent="0.25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 x14ac:dyDescent="0.25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 x14ac:dyDescent="0.25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 x14ac:dyDescent="0.25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 x14ac:dyDescent="0.25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 x14ac:dyDescent="0.25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 x14ac:dyDescent="0.25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 x14ac:dyDescent="0.25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 x14ac:dyDescent="0.25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 x14ac:dyDescent="0.25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 x14ac:dyDescent="0.25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 x14ac:dyDescent="0.25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 x14ac:dyDescent="0.25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 x14ac:dyDescent="0.25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 x14ac:dyDescent="0.25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 x14ac:dyDescent="0.25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 x14ac:dyDescent="0.25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 x14ac:dyDescent="0.25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 x14ac:dyDescent="0.25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 x14ac:dyDescent="0.25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 x14ac:dyDescent="0.25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 x14ac:dyDescent="0.25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 x14ac:dyDescent="0.25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 x14ac:dyDescent="0.25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 x14ac:dyDescent="0.25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 x14ac:dyDescent="0.25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 x14ac:dyDescent="0.25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 x14ac:dyDescent="0.25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 x14ac:dyDescent="0.25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 x14ac:dyDescent="0.25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 x14ac:dyDescent="0.25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 x14ac:dyDescent="0.25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 x14ac:dyDescent="0.25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 x14ac:dyDescent="0.25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 x14ac:dyDescent="0.25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 x14ac:dyDescent="0.25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 x14ac:dyDescent="0.25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 x14ac:dyDescent="0.25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 x14ac:dyDescent="0.25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 x14ac:dyDescent="0.25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 x14ac:dyDescent="0.25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 x14ac:dyDescent="0.25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 x14ac:dyDescent="0.25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 x14ac:dyDescent="0.25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 x14ac:dyDescent="0.25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 x14ac:dyDescent="0.25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 x14ac:dyDescent="0.25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 x14ac:dyDescent="0.25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 x14ac:dyDescent="0.25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 x14ac:dyDescent="0.25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 x14ac:dyDescent="0.25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 x14ac:dyDescent="0.25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 x14ac:dyDescent="0.25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 x14ac:dyDescent="0.25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 x14ac:dyDescent="0.25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 x14ac:dyDescent="0.25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 x14ac:dyDescent="0.25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 x14ac:dyDescent="0.25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 x14ac:dyDescent="0.25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 x14ac:dyDescent="0.25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 x14ac:dyDescent="0.25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 x14ac:dyDescent="0.25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 x14ac:dyDescent="0.25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 x14ac:dyDescent="0.25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 x14ac:dyDescent="0.25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 x14ac:dyDescent="0.25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 x14ac:dyDescent="0.25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 x14ac:dyDescent="0.25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 x14ac:dyDescent="0.25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 x14ac:dyDescent="0.25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 x14ac:dyDescent="0.25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 x14ac:dyDescent="0.25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 x14ac:dyDescent="0.25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 x14ac:dyDescent="0.25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 x14ac:dyDescent="0.25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 x14ac:dyDescent="0.25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 x14ac:dyDescent="0.25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 x14ac:dyDescent="0.25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 x14ac:dyDescent="0.25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 x14ac:dyDescent="0.25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 x14ac:dyDescent="0.25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 x14ac:dyDescent="0.25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 x14ac:dyDescent="0.25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 x14ac:dyDescent="0.25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 x14ac:dyDescent="0.25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 x14ac:dyDescent="0.25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 x14ac:dyDescent="0.25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 x14ac:dyDescent="0.25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 x14ac:dyDescent="0.25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 x14ac:dyDescent="0.25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 x14ac:dyDescent="0.25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 x14ac:dyDescent="0.25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 x14ac:dyDescent="0.25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 x14ac:dyDescent="0.25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 x14ac:dyDescent="0.25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 x14ac:dyDescent="0.25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 x14ac:dyDescent="0.25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 x14ac:dyDescent="0.25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 x14ac:dyDescent="0.25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 x14ac:dyDescent="0.25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 x14ac:dyDescent="0.25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30" x14ac:dyDescent="0.25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30" x14ac:dyDescent="0.25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 x14ac:dyDescent="0.25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 x14ac:dyDescent="0.25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 x14ac:dyDescent="0.25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 x14ac:dyDescent="0.25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 x14ac:dyDescent="0.25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 x14ac:dyDescent="0.25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 x14ac:dyDescent="0.25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 x14ac:dyDescent="0.25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 x14ac:dyDescent="0.25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 x14ac:dyDescent="0.25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 x14ac:dyDescent="0.25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 x14ac:dyDescent="0.25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 x14ac:dyDescent="0.25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 x14ac:dyDescent="0.25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 x14ac:dyDescent="0.25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 x14ac:dyDescent="0.25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 x14ac:dyDescent="0.25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 x14ac:dyDescent="0.25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 x14ac:dyDescent="0.25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 x14ac:dyDescent="0.25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 x14ac:dyDescent="0.25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 x14ac:dyDescent="0.25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 x14ac:dyDescent="0.25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 x14ac:dyDescent="0.25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 x14ac:dyDescent="0.25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 x14ac:dyDescent="0.25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 x14ac:dyDescent="0.25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30" x14ac:dyDescent="0.25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 x14ac:dyDescent="0.25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 x14ac:dyDescent="0.25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 x14ac:dyDescent="0.25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 x14ac:dyDescent="0.25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 x14ac:dyDescent="0.25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 x14ac:dyDescent="0.25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 x14ac:dyDescent="0.25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 x14ac:dyDescent="0.25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 x14ac:dyDescent="0.25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 x14ac:dyDescent="0.25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 x14ac:dyDescent="0.25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 x14ac:dyDescent="0.25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 x14ac:dyDescent="0.25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 x14ac:dyDescent="0.25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 x14ac:dyDescent="0.25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 x14ac:dyDescent="0.25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30" x14ac:dyDescent="0.25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 x14ac:dyDescent="0.25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30" x14ac:dyDescent="0.25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 x14ac:dyDescent="0.25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/>
      <c r="M627" s="134"/>
      <c r="N627" s="135"/>
      <c r="O627" s="136">
        <v>0</v>
      </c>
      <c r="P627" s="136">
        <v>0</v>
      </c>
      <c r="Q627" s="136">
        <v>0</v>
      </c>
      <c r="R627" s="136">
        <f t="shared" si="10"/>
        <v>0</v>
      </c>
      <c r="S627" s="127"/>
      <c r="T627" s="130" t="s">
        <v>479</v>
      </c>
    </row>
    <row r="628" spans="1:20" ht="30" x14ac:dyDescent="0.25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 x14ac:dyDescent="0.25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 x14ac:dyDescent="0.25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 x14ac:dyDescent="0.25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 x14ac:dyDescent="0.25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 x14ac:dyDescent="0.25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 x14ac:dyDescent="0.25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 x14ac:dyDescent="0.25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 x14ac:dyDescent="0.25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 x14ac:dyDescent="0.25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 x14ac:dyDescent="0.25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 x14ac:dyDescent="0.25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 x14ac:dyDescent="0.25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 x14ac:dyDescent="0.25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 x14ac:dyDescent="0.25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 x14ac:dyDescent="0.25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30" x14ac:dyDescent="0.25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30" x14ac:dyDescent="0.25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 x14ac:dyDescent="0.25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 x14ac:dyDescent="0.25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 x14ac:dyDescent="0.25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 x14ac:dyDescent="0.25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 x14ac:dyDescent="0.25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 x14ac:dyDescent="0.25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 x14ac:dyDescent="0.25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 x14ac:dyDescent="0.25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 x14ac:dyDescent="0.25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 x14ac:dyDescent="0.25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>
        <v>5</v>
      </c>
      <c r="N655" s="135">
        <v>1</v>
      </c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 x14ac:dyDescent="0.25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 x14ac:dyDescent="0.25">
      <c r="A657" s="191" t="s">
        <v>2686</v>
      </c>
      <c r="B657" s="127">
        <v>2026</v>
      </c>
      <c r="C657" s="183" t="s">
        <v>22</v>
      </c>
      <c r="D657" s="183" t="s">
        <v>2687</v>
      </c>
      <c r="E657" s="184" t="s">
        <v>2688</v>
      </c>
      <c r="F657" s="185" t="s">
        <v>69</v>
      </c>
      <c r="G657" s="186" t="s">
        <v>79</v>
      </c>
      <c r="H657" s="191" t="s">
        <v>2689</v>
      </c>
      <c r="I657" s="192">
        <v>46237</v>
      </c>
      <c r="J657" s="192">
        <v>46238</v>
      </c>
      <c r="K657" s="183" t="s">
        <v>38</v>
      </c>
      <c r="L657" s="227">
        <v>3340.91</v>
      </c>
      <c r="M657" s="188">
        <v>4.79</v>
      </c>
      <c r="N657" s="189">
        <v>400</v>
      </c>
      <c r="O657" s="190">
        <v>166</v>
      </c>
      <c r="P657" s="190">
        <v>286</v>
      </c>
      <c r="Q657" s="190">
        <v>20</v>
      </c>
      <c r="R657" s="190">
        <f>IF(B657="","",SUM(O657:Q657))</f>
        <v>472</v>
      </c>
      <c r="S657" s="183">
        <v>8</v>
      </c>
      <c r="T657" s="186" t="s">
        <v>2690</v>
      </c>
    </row>
    <row r="658" spans="1:20" ht="15" x14ac:dyDescent="0.25">
      <c r="A658" s="191" t="s">
        <v>2691</v>
      </c>
      <c r="B658" s="127">
        <v>2026</v>
      </c>
      <c r="C658" s="127" t="s">
        <v>22</v>
      </c>
      <c r="D658" s="173" t="s">
        <v>2692</v>
      </c>
      <c r="E658" s="162" t="s">
        <v>2693</v>
      </c>
      <c r="F658" s="129" t="s">
        <v>69</v>
      </c>
      <c r="G658" s="174" t="s">
        <v>2694</v>
      </c>
      <c r="H658" s="175" t="s">
        <v>2695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 hidden="1" x14ac:dyDescent="0.25">
      <c r="A659" s="137" t="s">
        <v>2696</v>
      </c>
      <c r="B659" s="127">
        <v>2026</v>
      </c>
      <c r="C659" s="183" t="s">
        <v>2697</v>
      </c>
      <c r="D659" s="183" t="s">
        <v>2698</v>
      </c>
      <c r="E659" s="184" t="s">
        <v>2699</v>
      </c>
      <c r="F659" s="185" t="s">
        <v>24</v>
      </c>
      <c r="G659" s="186" t="s">
        <v>2700</v>
      </c>
      <c r="H659" s="191" t="s">
        <v>2701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 hidden="1" x14ac:dyDescent="0.25">
      <c r="A660" s="191" t="s">
        <v>2702</v>
      </c>
      <c r="B660" s="127">
        <v>2026</v>
      </c>
      <c r="C660" s="183" t="s">
        <v>2697</v>
      </c>
      <c r="D660" s="183" t="s">
        <v>2703</v>
      </c>
      <c r="E660" s="184" t="s">
        <v>2704</v>
      </c>
      <c r="F660" s="185" t="s">
        <v>24</v>
      </c>
      <c r="G660" s="186" t="s">
        <v>206</v>
      </c>
      <c r="H660" s="191" t="s">
        <v>2705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2706</v>
      </c>
    </row>
    <row r="661" spans="1:20" ht="15" x14ac:dyDescent="0.25">
      <c r="A661" s="137" t="s">
        <v>2707</v>
      </c>
      <c r="B661" s="127">
        <v>2026</v>
      </c>
      <c r="C661" s="127" t="s">
        <v>22</v>
      </c>
      <c r="D661" s="127" t="s">
        <v>2708</v>
      </c>
      <c r="E661" s="128" t="s">
        <v>2138</v>
      </c>
      <c r="F661" s="129" t="s">
        <v>69</v>
      </c>
      <c r="G661" s="130" t="s">
        <v>79</v>
      </c>
      <c r="H661" s="131" t="s">
        <v>2709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 hidden="1" x14ac:dyDescent="0.25">
      <c r="A662" s="191" t="s">
        <v>2710</v>
      </c>
      <c r="B662" s="127">
        <v>2026</v>
      </c>
      <c r="C662" s="183" t="s">
        <v>2697</v>
      </c>
      <c r="D662" s="183" t="s">
        <v>2711</v>
      </c>
      <c r="E662" s="184" t="s">
        <v>2712</v>
      </c>
      <c r="F662" s="185" t="s">
        <v>69</v>
      </c>
      <c r="G662" s="186" t="s">
        <v>79</v>
      </c>
      <c r="H662" s="191" t="s">
        <v>2701</v>
      </c>
      <c r="I662" s="192" t="s">
        <v>2713</v>
      </c>
      <c r="J662" s="192" t="s">
        <v>2714</v>
      </c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9.66</v>
      </c>
      <c r="T662" s="186" t="s">
        <v>2715</v>
      </c>
    </row>
    <row r="663" spans="1:20" ht="30" hidden="1" x14ac:dyDescent="0.25">
      <c r="A663" s="191" t="s">
        <v>2716</v>
      </c>
      <c r="B663" s="127">
        <v>2026</v>
      </c>
      <c r="C663" s="164" t="s">
        <v>2697</v>
      </c>
      <c r="D663" s="127" t="s">
        <v>2717</v>
      </c>
      <c r="E663" s="162" t="s">
        <v>2718</v>
      </c>
      <c r="F663" s="129" t="s">
        <v>88</v>
      </c>
      <c r="G663" s="130" t="s">
        <v>2719</v>
      </c>
      <c r="H663" s="131" t="s">
        <v>2720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2721</v>
      </c>
    </row>
    <row r="664" spans="1:20" ht="15" x14ac:dyDescent="0.25">
      <c r="A664" s="191" t="s">
        <v>2722</v>
      </c>
      <c r="B664" s="127">
        <v>2026</v>
      </c>
      <c r="C664" s="183" t="s">
        <v>22</v>
      </c>
      <c r="D664" s="183" t="s">
        <v>2723</v>
      </c>
      <c r="E664" s="184" t="s">
        <v>2724</v>
      </c>
      <c r="F664" s="185" t="s">
        <v>24</v>
      </c>
      <c r="G664" s="186" t="s">
        <v>25</v>
      </c>
      <c r="H664" s="191" t="s">
        <v>2725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2726</v>
      </c>
    </row>
    <row r="665" spans="1:20" ht="15" x14ac:dyDescent="0.25">
      <c r="A665" s="137" t="s">
        <v>2727</v>
      </c>
      <c r="B665" s="127">
        <v>2026</v>
      </c>
      <c r="C665" s="183" t="s">
        <v>22</v>
      </c>
      <c r="D665" s="183" t="s">
        <v>2728</v>
      </c>
      <c r="E665" s="184" t="s">
        <v>2676</v>
      </c>
      <c r="F665" s="185" t="s">
        <v>24</v>
      </c>
      <c r="G665" s="186" t="s">
        <v>42</v>
      </c>
      <c r="H665" s="191" t="s">
        <v>2729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 x14ac:dyDescent="0.25">
      <c r="A666" s="137" t="s">
        <v>2730</v>
      </c>
      <c r="B666" s="127">
        <v>2026</v>
      </c>
      <c r="C666" s="183" t="s">
        <v>22</v>
      </c>
      <c r="D666" s="183" t="s">
        <v>2731</v>
      </c>
      <c r="E666" s="184" t="s">
        <v>2732</v>
      </c>
      <c r="F666" s="185" t="s">
        <v>24</v>
      </c>
      <c r="G666" s="186" t="s">
        <v>371</v>
      </c>
      <c r="H666" s="191" t="s">
        <v>2733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 x14ac:dyDescent="0.25">
      <c r="A667" s="137" t="s">
        <v>2734</v>
      </c>
      <c r="B667" s="127">
        <v>2026</v>
      </c>
      <c r="C667" s="127" t="s">
        <v>22</v>
      </c>
      <c r="D667" s="173" t="s">
        <v>2735</v>
      </c>
      <c r="E667" s="180" t="s">
        <v>2736</v>
      </c>
      <c r="F667" s="129" t="s">
        <v>88</v>
      </c>
      <c r="G667" s="130" t="s">
        <v>2719</v>
      </c>
      <c r="H667" s="175" t="s">
        <v>2737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 x14ac:dyDescent="0.25">
      <c r="A668" s="191" t="s">
        <v>2738</v>
      </c>
      <c r="B668" s="127">
        <v>2026</v>
      </c>
      <c r="C668" s="215" t="s">
        <v>22</v>
      </c>
      <c r="D668" s="183" t="s">
        <v>2739</v>
      </c>
      <c r="E668" s="184" t="s">
        <v>2740</v>
      </c>
      <c r="F668" s="185" t="s">
        <v>88</v>
      </c>
      <c r="G668" s="186" t="s">
        <v>2719</v>
      </c>
      <c r="H668" s="191" t="s">
        <v>2741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 x14ac:dyDescent="0.25">
      <c r="A669" s="191" t="s">
        <v>2742</v>
      </c>
      <c r="B669" s="127">
        <v>2026</v>
      </c>
      <c r="C669" s="127" t="s">
        <v>22</v>
      </c>
      <c r="D669" s="173" t="s">
        <v>2743</v>
      </c>
      <c r="E669" s="180" t="s">
        <v>2744</v>
      </c>
      <c r="F669" s="129" t="s">
        <v>69</v>
      </c>
      <c r="G669" s="174" t="s">
        <v>2694</v>
      </c>
      <c r="H669" s="175" t="s">
        <v>2745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2746</v>
      </c>
    </row>
    <row r="670" spans="1:20" ht="30" x14ac:dyDescent="0.25">
      <c r="A670" s="191" t="s">
        <v>2747</v>
      </c>
      <c r="B670" s="127">
        <v>2026</v>
      </c>
      <c r="C670" s="127" t="s">
        <v>22</v>
      </c>
      <c r="D670" s="173" t="s">
        <v>2743</v>
      </c>
      <c r="E670" s="208" t="s">
        <v>2748</v>
      </c>
      <c r="F670" s="129" t="s">
        <v>69</v>
      </c>
      <c r="G670" s="174" t="s">
        <v>2694</v>
      </c>
      <c r="H670" s="175" t="s">
        <v>2749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2746</v>
      </c>
    </row>
    <row r="671" spans="1:20" ht="15" hidden="1" x14ac:dyDescent="0.25">
      <c r="A671" s="191" t="s">
        <v>2750</v>
      </c>
      <c r="B671" s="127">
        <v>2026</v>
      </c>
      <c r="C671" s="183" t="s">
        <v>2697</v>
      </c>
      <c r="D671" s="183" t="s">
        <v>2751</v>
      </c>
      <c r="E671" s="184" t="s">
        <v>2752</v>
      </c>
      <c r="F671" s="185" t="s">
        <v>69</v>
      </c>
      <c r="G671" s="186" t="s">
        <v>79</v>
      </c>
      <c r="H671" s="209" t="s">
        <v>2753</v>
      </c>
      <c r="I671" s="192">
        <v>46259</v>
      </c>
      <c r="J671" s="192">
        <v>46268</v>
      </c>
      <c r="K671" s="183" t="s">
        <v>38</v>
      </c>
      <c r="L671" s="187"/>
      <c r="M671" s="188"/>
      <c r="N671" s="189">
        <v>30</v>
      </c>
      <c r="O671" s="190"/>
      <c r="P671" s="190"/>
      <c r="Q671" s="190"/>
      <c r="R671" s="190">
        <f>IF(B671="","",SUM(O671:Q671))</f>
        <v>0</v>
      </c>
      <c r="S671" s="183">
        <v>20</v>
      </c>
      <c r="T671" s="186" t="s">
        <v>2754</v>
      </c>
    </row>
    <row r="672" spans="1:20" ht="15" x14ac:dyDescent="0.25">
      <c r="A672" s="137" t="s">
        <v>2755</v>
      </c>
      <c r="B672" s="127">
        <v>2026</v>
      </c>
      <c r="C672" s="183" t="s">
        <v>22</v>
      </c>
      <c r="D672" s="183" t="s">
        <v>2756</v>
      </c>
      <c r="E672" s="184" t="s">
        <v>2757</v>
      </c>
      <c r="F672" s="185" t="s">
        <v>24</v>
      </c>
      <c r="G672" s="186" t="s">
        <v>25</v>
      </c>
      <c r="H672" s="191" t="s">
        <v>2758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2759</v>
      </c>
    </row>
    <row r="673" spans="1:20" ht="15" x14ac:dyDescent="0.25">
      <c r="A673" s="137" t="s">
        <v>2760</v>
      </c>
      <c r="B673" s="127">
        <v>2026</v>
      </c>
      <c r="C673" s="127" t="s">
        <v>22</v>
      </c>
      <c r="D673" s="127" t="s">
        <v>2761</v>
      </c>
      <c r="E673" s="128" t="s">
        <v>2762</v>
      </c>
      <c r="F673" s="129" t="s">
        <v>24</v>
      </c>
      <c r="G673" s="144" t="s">
        <v>371</v>
      </c>
      <c r="H673" s="155" t="s">
        <v>2763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2764</v>
      </c>
    </row>
    <row r="674" spans="1:20" ht="15" x14ac:dyDescent="0.25">
      <c r="A674" s="137" t="s">
        <v>2765</v>
      </c>
      <c r="B674" s="127">
        <v>2026</v>
      </c>
      <c r="C674" s="127" t="s">
        <v>22</v>
      </c>
      <c r="D674" s="127" t="s">
        <v>2766</v>
      </c>
      <c r="E674" s="128" t="s">
        <v>2767</v>
      </c>
      <c r="F674" s="129" t="s">
        <v>69</v>
      </c>
      <c r="G674" s="130" t="s">
        <v>2694</v>
      </c>
      <c r="H674" s="172" t="s">
        <v>2768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2769</v>
      </c>
    </row>
    <row r="675" spans="1:20" ht="15" x14ac:dyDescent="0.25">
      <c r="A675" s="137" t="s">
        <v>2770</v>
      </c>
      <c r="B675" s="127">
        <v>2026</v>
      </c>
      <c r="C675" s="127" t="s">
        <v>22</v>
      </c>
      <c r="D675" s="173" t="s">
        <v>2771</v>
      </c>
      <c r="E675" s="128" t="s">
        <v>2772</v>
      </c>
      <c r="F675" s="129" t="s">
        <v>69</v>
      </c>
      <c r="G675" s="174" t="s">
        <v>2694</v>
      </c>
      <c r="H675" s="217" t="s">
        <v>2773</v>
      </c>
      <c r="I675" s="219">
        <v>46120</v>
      </c>
      <c r="J675" s="219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2769</v>
      </c>
    </row>
    <row r="676" spans="1:20" ht="15" x14ac:dyDescent="0.25">
      <c r="A676" s="137" t="s">
        <v>2774</v>
      </c>
      <c r="B676" s="127">
        <v>2026</v>
      </c>
      <c r="C676" s="127" t="s">
        <v>22</v>
      </c>
      <c r="D676" s="127" t="s">
        <v>2775</v>
      </c>
      <c r="E676" s="128" t="s">
        <v>2776</v>
      </c>
      <c r="F676" s="129" t="s">
        <v>69</v>
      </c>
      <c r="G676" s="130" t="s">
        <v>79</v>
      </c>
      <c r="H676" s="127" t="s">
        <v>2777</v>
      </c>
      <c r="I676" s="132">
        <v>46105</v>
      </c>
      <c r="J676" s="132">
        <v>46105</v>
      </c>
      <c r="K676" s="127" t="s">
        <v>27</v>
      </c>
      <c r="L676" s="171">
        <v>0</v>
      </c>
      <c r="M676" s="134"/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 hidden="1" x14ac:dyDescent="0.25">
      <c r="A677" s="137" t="s">
        <v>2778</v>
      </c>
      <c r="B677" s="127">
        <v>2026</v>
      </c>
      <c r="C677" s="193" t="s">
        <v>2697</v>
      </c>
      <c r="D677" s="193" t="s">
        <v>2779</v>
      </c>
      <c r="E677" s="184" t="s">
        <v>2780</v>
      </c>
      <c r="F677" s="185" t="s">
        <v>69</v>
      </c>
      <c r="G677" s="194" t="s">
        <v>2694</v>
      </c>
      <c r="H677" s="195" t="s">
        <v>2701</v>
      </c>
      <c r="I677" s="196">
        <v>46157</v>
      </c>
      <c r="J677" s="196">
        <v>46387</v>
      </c>
      <c r="K677" s="183" t="s">
        <v>38</v>
      </c>
      <c r="L677" s="197"/>
      <c r="M677" s="198"/>
      <c r="N677" s="199"/>
      <c r="O677" s="200"/>
      <c r="P677" s="200"/>
      <c r="Q677" s="200"/>
      <c r="R677" s="200">
        <f>IF(B677="","",SUM(O677:Q677))</f>
        <v>0</v>
      </c>
      <c r="S677" s="193">
        <v>65</v>
      </c>
      <c r="T677" s="186" t="s">
        <v>2746</v>
      </c>
    </row>
    <row r="678" spans="1:20" ht="15" x14ac:dyDescent="0.25">
      <c r="A678" s="191" t="s">
        <v>2781</v>
      </c>
      <c r="B678" s="127">
        <v>2026</v>
      </c>
      <c r="C678" s="193" t="s">
        <v>22</v>
      </c>
      <c r="D678" s="193" t="s">
        <v>2782</v>
      </c>
      <c r="E678" s="184" t="s">
        <v>2783</v>
      </c>
      <c r="F678" s="185" t="s">
        <v>69</v>
      </c>
      <c r="G678" s="194" t="s">
        <v>79</v>
      </c>
      <c r="H678" s="195" t="s">
        <v>2784</v>
      </c>
      <c r="I678" s="196">
        <v>46246</v>
      </c>
      <c r="J678" s="196">
        <v>46246</v>
      </c>
      <c r="K678" s="183" t="s">
        <v>38</v>
      </c>
      <c r="L678" s="187">
        <v>2347</v>
      </c>
      <c r="M678" s="198">
        <v>4.75</v>
      </c>
      <c r="N678" s="199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3">
        <v>4</v>
      </c>
      <c r="T678" s="186" t="s">
        <v>1958</v>
      </c>
    </row>
    <row r="679" spans="1:20" ht="15" x14ac:dyDescent="0.25">
      <c r="A679" s="191" t="s">
        <v>2785</v>
      </c>
      <c r="B679" s="127">
        <v>2026</v>
      </c>
      <c r="C679" s="193" t="s">
        <v>22</v>
      </c>
      <c r="D679" s="193" t="s">
        <v>2786</v>
      </c>
      <c r="E679" s="203" t="s">
        <v>2787</v>
      </c>
      <c r="F679" s="185" t="s">
        <v>69</v>
      </c>
      <c r="G679" s="186" t="s">
        <v>79</v>
      </c>
      <c r="H679" s="195" t="s">
        <v>2788</v>
      </c>
      <c r="I679" s="196">
        <v>46247</v>
      </c>
      <c r="J679" s="196">
        <v>46247</v>
      </c>
      <c r="K679" s="183" t="s">
        <v>38</v>
      </c>
      <c r="L679" s="197">
        <v>1770</v>
      </c>
      <c r="M679" s="198" t="s">
        <v>3198</v>
      </c>
      <c r="N679" s="199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3">
        <v>4</v>
      </c>
      <c r="T679" s="194" t="s">
        <v>2789</v>
      </c>
    </row>
    <row r="680" spans="1:20" ht="15" hidden="1" x14ac:dyDescent="0.25">
      <c r="A680" s="137" t="s">
        <v>2790</v>
      </c>
      <c r="B680" s="127">
        <v>2026</v>
      </c>
      <c r="C680" s="168" t="s">
        <v>2791</v>
      </c>
      <c r="D680" s="152" t="s">
        <v>2792</v>
      </c>
      <c r="E680" s="153" t="s">
        <v>2793</v>
      </c>
      <c r="F680" s="129" t="s">
        <v>24</v>
      </c>
      <c r="G680" s="130" t="s">
        <v>2794</v>
      </c>
      <c r="H680" s="155" t="s">
        <v>2795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2796</v>
      </c>
    </row>
    <row r="681" spans="1:20" ht="15" x14ac:dyDescent="0.25">
      <c r="A681" s="191" t="s">
        <v>2797</v>
      </c>
      <c r="B681" s="127">
        <v>2026</v>
      </c>
      <c r="C681" s="168" t="s">
        <v>22</v>
      </c>
      <c r="D681" s="152" t="s">
        <v>2792</v>
      </c>
      <c r="E681" s="153" t="s">
        <v>2798</v>
      </c>
      <c r="F681" s="129" t="s">
        <v>24</v>
      </c>
      <c r="G681" s="154" t="s">
        <v>2794</v>
      </c>
      <c r="H681" s="155" t="s">
        <v>2799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2796</v>
      </c>
    </row>
    <row r="682" spans="1:20" ht="15" hidden="1" x14ac:dyDescent="0.25">
      <c r="A682" s="191" t="s">
        <v>2800</v>
      </c>
      <c r="B682" s="127">
        <v>2026</v>
      </c>
      <c r="C682" s="193" t="s">
        <v>2791</v>
      </c>
      <c r="D682" s="152" t="s">
        <v>2792</v>
      </c>
      <c r="E682" s="153" t="s">
        <v>2798</v>
      </c>
      <c r="F682" s="185" t="s">
        <v>24</v>
      </c>
      <c r="G682" s="194" t="s">
        <v>2794</v>
      </c>
      <c r="H682" s="195" t="s">
        <v>2801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2796</v>
      </c>
    </row>
    <row r="683" spans="1:20" ht="15" x14ac:dyDescent="0.25">
      <c r="A683" s="137" t="s">
        <v>2802</v>
      </c>
      <c r="B683" s="127">
        <v>2026</v>
      </c>
      <c r="C683" s="152" t="s">
        <v>22</v>
      </c>
      <c r="D683" s="152" t="s">
        <v>2803</v>
      </c>
      <c r="E683" s="153" t="s">
        <v>2804</v>
      </c>
      <c r="F683" s="129" t="s">
        <v>24</v>
      </c>
      <c r="G683" s="130" t="s">
        <v>42</v>
      </c>
      <c r="H683" s="218" t="s">
        <v>2805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2806</v>
      </c>
    </row>
    <row r="684" spans="1:20" ht="15" x14ac:dyDescent="0.25">
      <c r="A684" s="191" t="s">
        <v>2807</v>
      </c>
      <c r="B684" s="152">
        <v>2026</v>
      </c>
      <c r="C684" s="168" t="s">
        <v>22</v>
      </c>
      <c r="D684" s="152" t="s">
        <v>2808</v>
      </c>
      <c r="E684" s="153" t="s">
        <v>2809</v>
      </c>
      <c r="F684" s="161" t="s">
        <v>24</v>
      </c>
      <c r="G684" s="154" t="s">
        <v>25</v>
      </c>
      <c r="H684" s="207" t="s">
        <v>2810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2811</v>
      </c>
    </row>
    <row r="685" spans="1:20" ht="15" x14ac:dyDescent="0.25">
      <c r="A685" s="137" t="s">
        <v>2812</v>
      </c>
      <c r="B685" s="152">
        <v>2026</v>
      </c>
      <c r="C685" s="127" t="s">
        <v>22</v>
      </c>
      <c r="D685" s="131" t="s">
        <v>2813</v>
      </c>
      <c r="E685" s="128" t="s">
        <v>2814</v>
      </c>
      <c r="F685" s="129" t="s">
        <v>24</v>
      </c>
      <c r="G685" s="144" t="s">
        <v>2794</v>
      </c>
      <c r="H685" s="131" t="s">
        <v>2815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2796</v>
      </c>
    </row>
    <row r="686" spans="1:20" ht="15" x14ac:dyDescent="0.25">
      <c r="A686" s="137" t="s">
        <v>2816</v>
      </c>
      <c r="B686" s="152">
        <v>2026</v>
      </c>
      <c r="C686" s="127" t="s">
        <v>22</v>
      </c>
      <c r="D686" s="127" t="s">
        <v>2817</v>
      </c>
      <c r="E686" s="128" t="s">
        <v>2818</v>
      </c>
      <c r="F686" s="129" t="s">
        <v>69</v>
      </c>
      <c r="G686" s="130" t="s">
        <v>2694</v>
      </c>
      <c r="H686" s="131" t="s">
        <v>2819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2746</v>
      </c>
    </row>
    <row r="687" spans="1:20" ht="15" x14ac:dyDescent="0.25">
      <c r="A687" s="191" t="s">
        <v>2820</v>
      </c>
      <c r="B687" s="152">
        <v>2026</v>
      </c>
      <c r="C687" s="127" t="s">
        <v>22</v>
      </c>
      <c r="D687" s="173" t="s">
        <v>2821</v>
      </c>
      <c r="E687" s="180" t="s">
        <v>2822</v>
      </c>
      <c r="F687" s="216" t="s">
        <v>24</v>
      </c>
      <c r="G687" s="174" t="s">
        <v>42</v>
      </c>
      <c r="H687" s="175" t="s">
        <v>2823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 t="s">
        <v>3198</v>
      </c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 x14ac:dyDescent="0.25">
      <c r="A688" s="191" t="s">
        <v>2824</v>
      </c>
      <c r="B688" s="152">
        <v>2026</v>
      </c>
      <c r="C688" s="183" t="s">
        <v>22</v>
      </c>
      <c r="D688" s="183" t="s">
        <v>2825</v>
      </c>
      <c r="E688" s="184" t="s">
        <v>2826</v>
      </c>
      <c r="F688" s="185" t="s">
        <v>69</v>
      </c>
      <c r="G688" s="186" t="s">
        <v>79</v>
      </c>
      <c r="H688" s="191" t="s">
        <v>2827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2828</v>
      </c>
    </row>
    <row r="689" spans="1:20" ht="15" x14ac:dyDescent="0.25">
      <c r="A689" s="137" t="s">
        <v>2829</v>
      </c>
      <c r="B689" s="152">
        <v>2026</v>
      </c>
      <c r="C689" s="127" t="s">
        <v>22</v>
      </c>
      <c r="D689" s="127" t="s">
        <v>2830</v>
      </c>
      <c r="E689" s="128" t="s">
        <v>2831</v>
      </c>
      <c r="F689" s="129" t="s">
        <v>24</v>
      </c>
      <c r="G689" s="144" t="s">
        <v>2700</v>
      </c>
      <c r="H689" s="131" t="s">
        <v>2832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2833</v>
      </c>
    </row>
    <row r="690" spans="1:20" ht="15" x14ac:dyDescent="0.25">
      <c r="A690" s="137" t="s">
        <v>2834</v>
      </c>
      <c r="B690" s="152">
        <v>2026</v>
      </c>
      <c r="C690" s="127" t="s">
        <v>22</v>
      </c>
      <c r="D690" s="127" t="s">
        <v>2830</v>
      </c>
      <c r="E690" s="128" t="s">
        <v>2835</v>
      </c>
      <c r="F690" s="129" t="s">
        <v>24</v>
      </c>
      <c r="G690" s="144" t="s">
        <v>2700</v>
      </c>
      <c r="H690" s="131" t="s">
        <v>2836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2828</v>
      </c>
    </row>
    <row r="691" spans="1:20" ht="15" x14ac:dyDescent="0.25">
      <c r="A691" s="137" t="s">
        <v>2837</v>
      </c>
      <c r="B691" s="152">
        <v>2026</v>
      </c>
      <c r="C691" s="183" t="s">
        <v>22</v>
      </c>
      <c r="D691" s="183" t="s">
        <v>2838</v>
      </c>
      <c r="E691" s="184" t="s">
        <v>2839</v>
      </c>
      <c r="F691" s="185" t="s">
        <v>24</v>
      </c>
      <c r="G691" s="186" t="s">
        <v>2700</v>
      </c>
      <c r="H691" s="191" t="s">
        <v>2840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2828</v>
      </c>
    </row>
    <row r="692" spans="1:20" ht="15" x14ac:dyDescent="0.25">
      <c r="A692" s="191" t="s">
        <v>2841</v>
      </c>
      <c r="B692" s="152">
        <v>2026</v>
      </c>
      <c r="C692" s="183" t="s">
        <v>22</v>
      </c>
      <c r="D692" s="183" t="s">
        <v>2838</v>
      </c>
      <c r="E692" s="184" t="s">
        <v>2842</v>
      </c>
      <c r="F692" s="185" t="s">
        <v>24</v>
      </c>
      <c r="G692" s="186" t="s">
        <v>2700</v>
      </c>
      <c r="H692" s="191" t="s">
        <v>2843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2828</v>
      </c>
    </row>
    <row r="693" spans="1:20" ht="15" hidden="1" x14ac:dyDescent="0.25">
      <c r="A693" s="191" t="s">
        <v>2844</v>
      </c>
      <c r="B693" s="152">
        <v>2026</v>
      </c>
      <c r="C693" s="183" t="s">
        <v>2697</v>
      </c>
      <c r="D693" s="183" t="s">
        <v>2845</v>
      </c>
      <c r="E693" s="184" t="s">
        <v>2846</v>
      </c>
      <c r="F693" s="185" t="s">
        <v>24</v>
      </c>
      <c r="G693" s="186" t="s">
        <v>25</v>
      </c>
      <c r="H693" s="191" t="s">
        <v>2701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 hidden="1" x14ac:dyDescent="0.25">
      <c r="A694" s="191" t="s">
        <v>2847</v>
      </c>
      <c r="B694" s="152">
        <v>2026</v>
      </c>
      <c r="C694" s="127" t="s">
        <v>2697</v>
      </c>
      <c r="D694" s="173" t="s">
        <v>2848</v>
      </c>
      <c r="E694" s="180" t="s">
        <v>2849</v>
      </c>
      <c r="F694" s="129" t="s">
        <v>69</v>
      </c>
      <c r="G694" s="130" t="s">
        <v>79</v>
      </c>
      <c r="H694" s="175" t="s">
        <v>2850</v>
      </c>
      <c r="I694" s="176">
        <v>46335</v>
      </c>
      <c r="J694" s="176">
        <v>46335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 hidden="1" x14ac:dyDescent="0.25">
      <c r="A695" s="191" t="s">
        <v>2851</v>
      </c>
      <c r="B695" s="152">
        <v>2026</v>
      </c>
      <c r="C695" s="183" t="s">
        <v>2697</v>
      </c>
      <c r="D695" s="183" t="s">
        <v>2852</v>
      </c>
      <c r="E695" s="184" t="s">
        <v>2853</v>
      </c>
      <c r="F695" s="185" t="s">
        <v>69</v>
      </c>
      <c r="G695" s="186" t="s">
        <v>79</v>
      </c>
      <c r="H695" s="191" t="s">
        <v>2854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 x14ac:dyDescent="0.25">
      <c r="A696" s="137" t="s">
        <v>2855</v>
      </c>
      <c r="B696" s="152">
        <v>2026</v>
      </c>
      <c r="C696" s="127" t="s">
        <v>22</v>
      </c>
      <c r="D696" s="127" t="s">
        <v>2856</v>
      </c>
      <c r="E696" s="128" t="s">
        <v>2857</v>
      </c>
      <c r="F696" s="129" t="s">
        <v>69</v>
      </c>
      <c r="G696" s="130" t="s">
        <v>79</v>
      </c>
      <c r="H696" s="131" t="s">
        <v>2858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 x14ac:dyDescent="0.25">
      <c r="A697" s="137" t="s">
        <v>2859</v>
      </c>
      <c r="B697" s="152">
        <v>2026</v>
      </c>
      <c r="C697" s="127" t="s">
        <v>22</v>
      </c>
      <c r="D697" s="173" t="s">
        <v>2860</v>
      </c>
      <c r="E697" s="180" t="s">
        <v>2861</v>
      </c>
      <c r="F697" s="129" t="s">
        <v>24</v>
      </c>
      <c r="G697" s="144" t="s">
        <v>2700</v>
      </c>
      <c r="H697" s="175" t="s">
        <v>2862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2828</v>
      </c>
    </row>
    <row r="698" spans="1:20" ht="15" hidden="1" x14ac:dyDescent="0.25">
      <c r="A698" s="191" t="s">
        <v>2863</v>
      </c>
      <c r="B698" s="152">
        <v>2026</v>
      </c>
      <c r="C698" s="183" t="s">
        <v>2791</v>
      </c>
      <c r="D698" s="183" t="s">
        <v>2864</v>
      </c>
      <c r="E698" s="184" t="s">
        <v>2865</v>
      </c>
      <c r="F698" s="185" t="s">
        <v>24</v>
      </c>
      <c r="G698" s="186" t="s">
        <v>75</v>
      </c>
      <c r="H698" s="191" t="s">
        <v>2866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2867</v>
      </c>
    </row>
    <row r="699" spans="1:20" ht="15" x14ac:dyDescent="0.25">
      <c r="A699" s="137" t="s">
        <v>2868</v>
      </c>
      <c r="B699" s="152">
        <v>2026</v>
      </c>
      <c r="C699" s="127" t="s">
        <v>22</v>
      </c>
      <c r="D699" s="127" t="s">
        <v>2869</v>
      </c>
      <c r="E699" s="128" t="s">
        <v>2870</v>
      </c>
      <c r="F699" s="129" t="s">
        <v>24</v>
      </c>
      <c r="G699" s="130" t="s">
        <v>206</v>
      </c>
      <c r="H699" s="131" t="s">
        <v>2871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2872</v>
      </c>
    </row>
    <row r="700" spans="1:20" ht="15" x14ac:dyDescent="0.25">
      <c r="A700" s="191" t="s">
        <v>2873</v>
      </c>
      <c r="B700" s="152">
        <v>2026</v>
      </c>
      <c r="C700" s="183" t="s">
        <v>22</v>
      </c>
      <c r="D700" s="183" t="s">
        <v>2874</v>
      </c>
      <c r="E700" s="184" t="s">
        <v>2875</v>
      </c>
      <c r="F700" s="185" t="s">
        <v>88</v>
      </c>
      <c r="G700" s="186" t="s">
        <v>2719</v>
      </c>
      <c r="H700" s="191" t="s">
        <v>2876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 t="shared" ref="R700:R711" si="12">IF(B700="","",SUM(O700:Q700))</f>
        <v>42</v>
      </c>
      <c r="S700" s="183">
        <v>12</v>
      </c>
      <c r="T700" s="186" t="s">
        <v>2452</v>
      </c>
    </row>
    <row r="701" spans="1:20" ht="15" x14ac:dyDescent="0.25">
      <c r="A701" s="191" t="s">
        <v>2877</v>
      </c>
      <c r="B701" s="152">
        <v>2026</v>
      </c>
      <c r="C701" s="183" t="s">
        <v>22</v>
      </c>
      <c r="D701" s="183" t="s">
        <v>2878</v>
      </c>
      <c r="E701" s="184" t="s">
        <v>2879</v>
      </c>
      <c r="F701" s="185" t="s">
        <v>24</v>
      </c>
      <c r="G701" s="186" t="s">
        <v>75</v>
      </c>
      <c r="H701" s="191" t="s">
        <v>2880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 t="shared" si="12"/>
        <v>15</v>
      </c>
      <c r="S701" s="183">
        <v>24</v>
      </c>
      <c r="T701" s="186" t="s">
        <v>2811</v>
      </c>
    </row>
    <row r="702" spans="1:20" ht="15" x14ac:dyDescent="0.25">
      <c r="A702" s="191" t="s">
        <v>2881</v>
      </c>
      <c r="B702" s="152">
        <v>2026</v>
      </c>
      <c r="C702" s="183" t="s">
        <v>22</v>
      </c>
      <c r="D702" s="183" t="s">
        <v>2882</v>
      </c>
      <c r="E702" s="184" t="s">
        <v>2883</v>
      </c>
      <c r="F702" s="185" t="s">
        <v>69</v>
      </c>
      <c r="G702" s="186" t="s">
        <v>79</v>
      </c>
      <c r="H702" s="191" t="s">
        <v>2788</v>
      </c>
      <c r="I702" s="192">
        <v>46247</v>
      </c>
      <c r="J702" s="192">
        <v>46247</v>
      </c>
      <c r="K702" s="183" t="s">
        <v>38</v>
      </c>
      <c r="L702" s="187">
        <v>3520</v>
      </c>
      <c r="M702" s="188">
        <v>4.8499999999999996</v>
      </c>
      <c r="N702" s="189">
        <v>30</v>
      </c>
      <c r="O702" s="190">
        <v>7</v>
      </c>
      <c r="P702" s="190">
        <v>44</v>
      </c>
      <c r="Q702" s="190">
        <v>0</v>
      </c>
      <c r="R702" s="190">
        <f t="shared" si="12"/>
        <v>51</v>
      </c>
      <c r="S702" s="183">
        <v>4</v>
      </c>
      <c r="T702" s="186" t="s">
        <v>2884</v>
      </c>
    </row>
    <row r="703" spans="1:20" ht="15" x14ac:dyDescent="0.25">
      <c r="A703" s="191" t="s">
        <v>2885</v>
      </c>
      <c r="B703" s="152">
        <v>2026</v>
      </c>
      <c r="C703" s="183" t="s">
        <v>22</v>
      </c>
      <c r="D703" s="183" t="s">
        <v>2886</v>
      </c>
      <c r="E703" s="184" t="s">
        <v>2887</v>
      </c>
      <c r="F703" s="185" t="s">
        <v>69</v>
      </c>
      <c r="G703" s="186" t="s">
        <v>79</v>
      </c>
      <c r="H703" s="191" t="s">
        <v>2784</v>
      </c>
      <c r="I703" s="192">
        <v>46246</v>
      </c>
      <c r="J703" s="192">
        <v>46246</v>
      </c>
      <c r="K703" s="183" t="s">
        <v>38</v>
      </c>
      <c r="L703" s="187">
        <v>3520</v>
      </c>
      <c r="M703" s="188">
        <v>4.9400000000000004</v>
      </c>
      <c r="N703" s="189">
        <v>30</v>
      </c>
      <c r="O703" s="190">
        <v>8</v>
      </c>
      <c r="P703" s="190">
        <v>34</v>
      </c>
      <c r="Q703" s="190">
        <v>0</v>
      </c>
      <c r="R703" s="190">
        <f t="shared" si="12"/>
        <v>42</v>
      </c>
      <c r="S703" s="183">
        <v>4</v>
      </c>
      <c r="T703" s="186" t="s">
        <v>2888</v>
      </c>
    </row>
    <row r="704" spans="1:20" ht="15" x14ac:dyDescent="0.25">
      <c r="A704" s="191" t="s">
        <v>2889</v>
      </c>
      <c r="B704" s="152">
        <v>2026</v>
      </c>
      <c r="C704" s="183" t="s">
        <v>22</v>
      </c>
      <c r="D704" s="183" t="s">
        <v>2890</v>
      </c>
      <c r="E704" s="184" t="s">
        <v>2891</v>
      </c>
      <c r="F704" s="185" t="s">
        <v>69</v>
      </c>
      <c r="G704" s="186" t="s">
        <v>79</v>
      </c>
      <c r="H704" s="191" t="s">
        <v>2892</v>
      </c>
      <c r="I704" s="192">
        <v>46244</v>
      </c>
      <c r="J704" s="192">
        <v>46245</v>
      </c>
      <c r="K704" s="183" t="s">
        <v>38</v>
      </c>
      <c r="L704" s="187">
        <v>2346.2800000000002</v>
      </c>
      <c r="M704" s="188">
        <v>4.9000000000000004</v>
      </c>
      <c r="N704" s="189">
        <v>40</v>
      </c>
      <c r="O704" s="190">
        <v>2</v>
      </c>
      <c r="P704" s="190">
        <v>32</v>
      </c>
      <c r="Q704" s="190">
        <v>0</v>
      </c>
      <c r="R704" s="190">
        <f t="shared" si="12"/>
        <v>34</v>
      </c>
      <c r="S704" s="183">
        <v>8</v>
      </c>
      <c r="T704" s="205" t="s">
        <v>2715</v>
      </c>
    </row>
    <row r="705" spans="1:21" ht="15" x14ac:dyDescent="0.25">
      <c r="A705" s="191" t="s">
        <v>2893</v>
      </c>
      <c r="B705" s="152">
        <v>2026</v>
      </c>
      <c r="C705" s="183" t="s">
        <v>22</v>
      </c>
      <c r="D705" s="183" t="s">
        <v>2894</v>
      </c>
      <c r="E705" s="184" t="s">
        <v>2895</v>
      </c>
      <c r="F705" s="185" t="s">
        <v>69</v>
      </c>
      <c r="G705" s="186" t="s">
        <v>79</v>
      </c>
      <c r="H705" s="191" t="s">
        <v>2705</v>
      </c>
      <c r="I705" s="192" t="s">
        <v>2705</v>
      </c>
      <c r="J705" s="192" t="s">
        <v>2705</v>
      </c>
      <c r="K705" s="183" t="s">
        <v>38</v>
      </c>
      <c r="L705" s="187">
        <v>3520</v>
      </c>
      <c r="M705" s="188">
        <v>4.88</v>
      </c>
      <c r="N705" s="189">
        <v>30</v>
      </c>
      <c r="O705" s="190">
        <v>8</v>
      </c>
      <c r="P705" s="190">
        <v>39</v>
      </c>
      <c r="Q705" s="190">
        <v>0</v>
      </c>
      <c r="R705" s="190">
        <f t="shared" si="12"/>
        <v>47</v>
      </c>
      <c r="S705" s="183">
        <v>4</v>
      </c>
      <c r="T705" s="186" t="s">
        <v>2896</v>
      </c>
    </row>
    <row r="706" spans="1:21" ht="15" x14ac:dyDescent="0.25">
      <c r="A706" s="191" t="s">
        <v>2897</v>
      </c>
      <c r="B706" s="152">
        <v>2026</v>
      </c>
      <c r="C706" s="183" t="s">
        <v>22</v>
      </c>
      <c r="D706" s="183" t="s">
        <v>2898</v>
      </c>
      <c r="E706" s="184" t="s">
        <v>2899</v>
      </c>
      <c r="F706" s="185" t="s">
        <v>69</v>
      </c>
      <c r="G706" s="186" t="s">
        <v>79</v>
      </c>
      <c r="H706" s="191" t="s">
        <v>2900</v>
      </c>
      <c r="I706" s="192">
        <v>46244</v>
      </c>
      <c r="J706" s="192">
        <v>46244</v>
      </c>
      <c r="K706" s="183" t="s">
        <v>38</v>
      </c>
      <c r="L706" s="187">
        <v>1990</v>
      </c>
      <c r="M706" s="188">
        <v>4.58</v>
      </c>
      <c r="N706" s="189">
        <v>20</v>
      </c>
      <c r="O706" s="190">
        <v>3</v>
      </c>
      <c r="P706" s="190">
        <v>74</v>
      </c>
      <c r="Q706" s="190">
        <v>0</v>
      </c>
      <c r="R706" s="190">
        <f t="shared" si="12"/>
        <v>77</v>
      </c>
      <c r="S706" s="183">
        <v>4</v>
      </c>
      <c r="T706" s="186" t="s">
        <v>2452</v>
      </c>
    </row>
    <row r="707" spans="1:21" ht="15" x14ac:dyDescent="0.25">
      <c r="A707" s="191" t="s">
        <v>2901</v>
      </c>
      <c r="B707" s="152">
        <v>2026</v>
      </c>
      <c r="C707" s="183" t="s">
        <v>22</v>
      </c>
      <c r="D707" s="183" t="s">
        <v>2902</v>
      </c>
      <c r="E707" s="184" t="s">
        <v>2903</v>
      </c>
      <c r="F707" s="185" t="s">
        <v>69</v>
      </c>
      <c r="G707" s="186" t="s">
        <v>79</v>
      </c>
      <c r="H707" s="191" t="s">
        <v>2904</v>
      </c>
      <c r="I707" s="192">
        <v>46245</v>
      </c>
      <c r="J707" s="192">
        <v>46245</v>
      </c>
      <c r="K707" s="183" t="s">
        <v>38</v>
      </c>
      <c r="L707" s="187">
        <v>3520</v>
      </c>
      <c r="M707" s="188">
        <v>4.91</v>
      </c>
      <c r="N707" s="189">
        <v>30</v>
      </c>
      <c r="O707" s="190">
        <v>11</v>
      </c>
      <c r="P707" s="190">
        <v>46</v>
      </c>
      <c r="Q707" s="190">
        <v>0</v>
      </c>
      <c r="R707" s="190">
        <f t="shared" si="12"/>
        <v>57</v>
      </c>
      <c r="S707" s="183">
        <v>4</v>
      </c>
      <c r="T707" s="186" t="s">
        <v>2462</v>
      </c>
    </row>
    <row r="708" spans="1:21" ht="15" x14ac:dyDescent="0.25">
      <c r="A708" s="191" t="s">
        <v>2905</v>
      </c>
      <c r="B708" s="152">
        <v>2026</v>
      </c>
      <c r="C708" s="183" t="s">
        <v>22</v>
      </c>
      <c r="D708" s="183" t="s">
        <v>2906</v>
      </c>
      <c r="E708" s="184" t="s">
        <v>2907</v>
      </c>
      <c r="F708" s="185" t="s">
        <v>69</v>
      </c>
      <c r="G708" s="186" t="s">
        <v>79</v>
      </c>
      <c r="H708" s="191" t="s">
        <v>2900</v>
      </c>
      <c r="I708" s="192">
        <v>46244</v>
      </c>
      <c r="J708" s="192">
        <v>46244</v>
      </c>
      <c r="K708" s="183" t="s">
        <v>38</v>
      </c>
      <c r="L708" s="187">
        <v>3520</v>
      </c>
      <c r="M708" s="188">
        <v>4.91</v>
      </c>
      <c r="N708" s="189">
        <v>30</v>
      </c>
      <c r="O708" s="190">
        <v>8</v>
      </c>
      <c r="P708" s="190">
        <v>52</v>
      </c>
      <c r="Q708" s="190">
        <v>0</v>
      </c>
      <c r="R708" s="190">
        <f t="shared" si="12"/>
        <v>60</v>
      </c>
      <c r="S708" s="183">
        <v>4</v>
      </c>
      <c r="T708" s="186" t="s">
        <v>2908</v>
      </c>
    </row>
    <row r="709" spans="1:21" ht="15" hidden="1" x14ac:dyDescent="0.25">
      <c r="A709" s="191" t="s">
        <v>2909</v>
      </c>
      <c r="B709" s="152">
        <v>2026</v>
      </c>
      <c r="C709" s="183" t="s">
        <v>2697</v>
      </c>
      <c r="D709" s="183" t="s">
        <v>2910</v>
      </c>
      <c r="E709" s="184" t="s">
        <v>2911</v>
      </c>
      <c r="F709" s="185" t="s">
        <v>24</v>
      </c>
      <c r="G709" s="186" t="s">
        <v>75</v>
      </c>
      <c r="H709" s="191" t="s">
        <v>2912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 t="shared" si="12"/>
        <v>0</v>
      </c>
      <c r="S709" s="183">
        <v>10</v>
      </c>
      <c r="T709" s="186" t="s">
        <v>2913</v>
      </c>
      <c r="U709" s="106"/>
    </row>
    <row r="710" spans="1:21" ht="15" x14ac:dyDescent="0.25">
      <c r="A710" s="191" t="s">
        <v>2914</v>
      </c>
      <c r="B710" s="152">
        <v>2026</v>
      </c>
      <c r="C710" s="183" t="s">
        <v>22</v>
      </c>
      <c r="D710" s="183" t="s">
        <v>2915</v>
      </c>
      <c r="E710" s="184" t="s">
        <v>2916</v>
      </c>
      <c r="F710" s="185" t="s">
        <v>69</v>
      </c>
      <c r="G710" s="186" t="s">
        <v>79</v>
      </c>
      <c r="H710" s="191" t="s">
        <v>2917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 t="shared" si="12"/>
        <v>220</v>
      </c>
      <c r="S710" s="183">
        <v>4</v>
      </c>
      <c r="T710" s="186" t="s">
        <v>479</v>
      </c>
    </row>
    <row r="711" spans="1:21" ht="15" hidden="1" x14ac:dyDescent="0.25">
      <c r="A711" s="191" t="s">
        <v>2918</v>
      </c>
      <c r="B711" s="152">
        <v>2026</v>
      </c>
      <c r="C711" s="183" t="s">
        <v>2697</v>
      </c>
      <c r="D711" s="183" t="s">
        <v>2919</v>
      </c>
      <c r="E711" s="184" t="s">
        <v>2920</v>
      </c>
      <c r="F711" s="185" t="s">
        <v>24</v>
      </c>
      <c r="G711" s="186" t="s">
        <v>206</v>
      </c>
      <c r="H711" s="191" t="s">
        <v>2900</v>
      </c>
      <c r="I711" s="191" t="s">
        <v>2900</v>
      </c>
      <c r="J711" s="191" t="s">
        <v>2900</v>
      </c>
      <c r="K711" s="183" t="s">
        <v>27</v>
      </c>
      <c r="L711" s="187">
        <v>2000</v>
      </c>
      <c r="M711" s="188"/>
      <c r="N711" s="189">
        <v>170</v>
      </c>
      <c r="O711" s="190"/>
      <c r="P711" s="190"/>
      <c r="Q711" s="190"/>
      <c r="R711" s="190">
        <f t="shared" si="12"/>
        <v>0</v>
      </c>
      <c r="S711" s="183">
        <v>1</v>
      </c>
      <c r="T711" s="186" t="s">
        <v>2921</v>
      </c>
    </row>
    <row r="712" spans="1:21" ht="15" x14ac:dyDescent="0.25">
      <c r="A712" s="137" t="s">
        <v>2922</v>
      </c>
      <c r="B712" s="152">
        <v>2026</v>
      </c>
      <c r="C712" s="127" t="s">
        <v>22</v>
      </c>
      <c r="D712" s="131" t="s">
        <v>2923</v>
      </c>
      <c r="E712" s="128" t="s">
        <v>2924</v>
      </c>
      <c r="F712" s="129" t="s">
        <v>69</v>
      </c>
      <c r="G712" s="130" t="s">
        <v>79</v>
      </c>
      <c r="H712" s="131" t="s">
        <v>2925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 x14ac:dyDescent="0.25">
      <c r="A713" s="137" t="s">
        <v>2926</v>
      </c>
      <c r="B713" s="152">
        <v>2026</v>
      </c>
      <c r="C713" s="127" t="s">
        <v>22</v>
      </c>
      <c r="D713" s="131" t="s">
        <v>2923</v>
      </c>
      <c r="E713" s="128" t="s">
        <v>2927</v>
      </c>
      <c r="F713" s="129" t="s">
        <v>69</v>
      </c>
      <c r="G713" s="130" t="s">
        <v>79</v>
      </c>
      <c r="H713" s="131" t="s">
        <v>2928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15" hidden="1" x14ac:dyDescent="0.25">
      <c r="A714" s="191" t="s">
        <v>2929</v>
      </c>
      <c r="B714" s="152">
        <v>2026</v>
      </c>
      <c r="C714" s="183" t="s">
        <v>2697</v>
      </c>
      <c r="D714" s="183" t="s">
        <v>2930</v>
      </c>
      <c r="E714" s="184" t="s">
        <v>2931</v>
      </c>
      <c r="F714" s="185" t="s">
        <v>88</v>
      </c>
      <c r="G714" s="186" t="s">
        <v>2719</v>
      </c>
      <c r="H714" s="191" t="s">
        <v>2932</v>
      </c>
      <c r="I714" s="192">
        <v>46254</v>
      </c>
      <c r="J714" s="192">
        <v>46254</v>
      </c>
      <c r="K714" s="183" t="s">
        <v>38</v>
      </c>
      <c r="L714" s="187"/>
      <c r="M714" s="188"/>
      <c r="N714" s="226" t="s">
        <v>90</v>
      </c>
      <c r="O714" s="190"/>
      <c r="P714" s="190"/>
      <c r="Q714" s="190"/>
      <c r="R714" s="190">
        <f t="shared" ref="R714:R719" si="13">IF(B714="","",SUM(O714:Q714))</f>
        <v>0</v>
      </c>
      <c r="S714" s="183">
        <v>4</v>
      </c>
      <c r="T714" s="205"/>
    </row>
    <row r="715" spans="1:21" ht="15" hidden="1" x14ac:dyDescent="0.25">
      <c r="A715" s="191" t="s">
        <v>2933</v>
      </c>
      <c r="B715" s="152">
        <v>2026</v>
      </c>
      <c r="C715" s="183" t="s">
        <v>2697</v>
      </c>
      <c r="D715" s="183" t="s">
        <v>2930</v>
      </c>
      <c r="E715" s="184" t="s">
        <v>2931</v>
      </c>
      <c r="F715" s="185" t="s">
        <v>88</v>
      </c>
      <c r="G715" s="186" t="s">
        <v>2719</v>
      </c>
      <c r="H715" s="191" t="s">
        <v>2934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 t="shared" si="13"/>
        <v>0</v>
      </c>
      <c r="S715" s="183">
        <v>4</v>
      </c>
      <c r="T715" s="205"/>
    </row>
    <row r="716" spans="1:21" ht="15" hidden="1" x14ac:dyDescent="0.25">
      <c r="A716" s="191" t="s">
        <v>2935</v>
      </c>
      <c r="B716" s="152">
        <v>2026</v>
      </c>
      <c r="C716" s="183" t="s">
        <v>2697</v>
      </c>
      <c r="D716" s="183" t="s">
        <v>2930</v>
      </c>
      <c r="E716" s="184" t="s">
        <v>2931</v>
      </c>
      <c r="F716" s="185" t="s">
        <v>88</v>
      </c>
      <c r="G716" s="186" t="s">
        <v>2719</v>
      </c>
      <c r="H716" s="191" t="s">
        <v>2936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 t="shared" si="13"/>
        <v>0</v>
      </c>
      <c r="S716" s="183">
        <v>4</v>
      </c>
      <c r="T716" s="205"/>
    </row>
    <row r="717" spans="1:21" ht="15" hidden="1" x14ac:dyDescent="0.25">
      <c r="A717" s="191" t="s">
        <v>2937</v>
      </c>
      <c r="B717" s="152">
        <v>2026</v>
      </c>
      <c r="C717" s="183" t="s">
        <v>2697</v>
      </c>
      <c r="D717" s="183" t="s">
        <v>2930</v>
      </c>
      <c r="E717" s="184" t="s">
        <v>2931</v>
      </c>
      <c r="F717" s="185" t="s">
        <v>88</v>
      </c>
      <c r="G717" s="186" t="s">
        <v>2719</v>
      </c>
      <c r="H717" s="191" t="s">
        <v>2938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 t="shared" si="13"/>
        <v>0</v>
      </c>
      <c r="S717" s="183">
        <v>4</v>
      </c>
      <c r="T717" s="205"/>
    </row>
    <row r="718" spans="1:21" ht="15" hidden="1" x14ac:dyDescent="0.25">
      <c r="A718" s="191" t="s">
        <v>2939</v>
      </c>
      <c r="B718" s="152">
        <v>2026</v>
      </c>
      <c r="C718" s="183" t="s">
        <v>2697</v>
      </c>
      <c r="D718" s="183" t="s">
        <v>2930</v>
      </c>
      <c r="E718" s="184" t="s">
        <v>2931</v>
      </c>
      <c r="F718" s="185" t="s">
        <v>88</v>
      </c>
      <c r="G718" s="186" t="s">
        <v>2719</v>
      </c>
      <c r="H718" s="191" t="s">
        <v>2940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 t="shared" si="13"/>
        <v>0</v>
      </c>
      <c r="S718" s="183">
        <v>4</v>
      </c>
      <c r="T718" s="205"/>
    </row>
    <row r="719" spans="1:21" ht="15" hidden="1" x14ac:dyDescent="0.25">
      <c r="A719" s="191" t="s">
        <v>2941</v>
      </c>
      <c r="B719" s="152">
        <v>2026</v>
      </c>
      <c r="C719" s="183" t="s">
        <v>2697</v>
      </c>
      <c r="D719" s="183" t="s">
        <v>2930</v>
      </c>
      <c r="E719" s="184" t="s">
        <v>2931</v>
      </c>
      <c r="F719" s="185" t="s">
        <v>88</v>
      </c>
      <c r="G719" s="186" t="s">
        <v>2719</v>
      </c>
      <c r="H719" s="191" t="s">
        <v>2942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 t="shared" si="13"/>
        <v>0</v>
      </c>
      <c r="S719" s="183">
        <v>4</v>
      </c>
      <c r="T719" s="205"/>
    </row>
    <row r="720" spans="1:21" ht="30" x14ac:dyDescent="0.25">
      <c r="A720" s="137" t="s">
        <v>2943</v>
      </c>
      <c r="B720" s="152">
        <v>2026</v>
      </c>
      <c r="C720" s="127" t="s">
        <v>22</v>
      </c>
      <c r="D720" s="127" t="s">
        <v>2944</v>
      </c>
      <c r="E720" s="128" t="s">
        <v>2945</v>
      </c>
      <c r="F720" s="129" t="s">
        <v>24</v>
      </c>
      <c r="G720" s="130" t="s">
        <v>206</v>
      </c>
      <c r="H720" s="131" t="s">
        <v>2946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2947</v>
      </c>
    </row>
    <row r="721" spans="1:20" ht="30" x14ac:dyDescent="0.25">
      <c r="A721" s="137" t="s">
        <v>2948</v>
      </c>
      <c r="B721" s="152">
        <v>2026</v>
      </c>
      <c r="C721" s="152" t="s">
        <v>22</v>
      </c>
      <c r="D721" s="152" t="s">
        <v>2930</v>
      </c>
      <c r="E721" s="153" t="s">
        <v>2949</v>
      </c>
      <c r="F721" s="161" t="s">
        <v>88</v>
      </c>
      <c r="G721" s="168" t="s">
        <v>2719</v>
      </c>
      <c r="H721" s="155" t="s">
        <v>2950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2951</v>
      </c>
    </row>
    <row r="722" spans="1:20" ht="30" x14ac:dyDescent="0.25">
      <c r="A722" s="137" t="s">
        <v>2952</v>
      </c>
      <c r="B722" s="127">
        <v>2026</v>
      </c>
      <c r="C722" s="127" t="s">
        <v>22</v>
      </c>
      <c r="D722" s="127" t="s">
        <v>2930</v>
      </c>
      <c r="E722" s="128" t="s">
        <v>2953</v>
      </c>
      <c r="F722" s="129" t="s">
        <v>88</v>
      </c>
      <c r="G722" s="164" t="s">
        <v>2719</v>
      </c>
      <c r="H722" s="131" t="s">
        <v>2954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2951</v>
      </c>
    </row>
    <row r="723" spans="1:20" ht="15" x14ac:dyDescent="0.25">
      <c r="A723" s="137" t="s">
        <v>2955</v>
      </c>
      <c r="B723" s="152">
        <v>2026</v>
      </c>
      <c r="C723" s="183" t="s">
        <v>22</v>
      </c>
      <c r="D723" s="183" t="s">
        <v>2956</v>
      </c>
      <c r="E723" s="184" t="s">
        <v>2957</v>
      </c>
      <c r="F723" s="185" t="s">
        <v>88</v>
      </c>
      <c r="G723" s="186" t="s">
        <v>2719</v>
      </c>
      <c r="H723" s="191" t="s">
        <v>2958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 x14ac:dyDescent="0.25">
      <c r="A724" s="191" t="s">
        <v>2959</v>
      </c>
      <c r="B724" s="151">
        <v>2026</v>
      </c>
      <c r="C724" s="183" t="s">
        <v>22</v>
      </c>
      <c r="D724" s="183" t="s">
        <v>2960</v>
      </c>
      <c r="E724" s="184" t="s">
        <v>2961</v>
      </c>
      <c r="F724" s="185" t="s">
        <v>88</v>
      </c>
      <c r="G724" s="186" t="s">
        <v>2719</v>
      </c>
      <c r="H724" s="191" t="s">
        <v>2962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 x14ac:dyDescent="0.25">
      <c r="A725" s="191" t="s">
        <v>2963</v>
      </c>
      <c r="B725" s="183">
        <v>2026</v>
      </c>
      <c r="C725" s="183" t="s">
        <v>22</v>
      </c>
      <c r="D725" s="183" t="s">
        <v>2956</v>
      </c>
      <c r="E725" s="184" t="s">
        <v>2964</v>
      </c>
      <c r="F725" s="185"/>
      <c r="G725" s="186" t="s">
        <v>2719</v>
      </c>
      <c r="H725" s="191" t="s">
        <v>2965</v>
      </c>
      <c r="I725" s="192">
        <v>46183</v>
      </c>
      <c r="J725" s="192">
        <v>46183</v>
      </c>
      <c r="K725" s="183" t="s">
        <v>38</v>
      </c>
      <c r="L725" s="187"/>
      <c r="M725" s="188">
        <v>4.4400000000000004</v>
      </c>
      <c r="N725" s="189">
        <v>80</v>
      </c>
      <c r="O725" s="190">
        <v>0</v>
      </c>
      <c r="P725" s="190">
        <v>0</v>
      </c>
      <c r="Q725" s="190">
        <v>9</v>
      </c>
      <c r="R725" s="190">
        <v>9</v>
      </c>
      <c r="S725" s="183">
        <v>3</v>
      </c>
      <c r="T725" s="186" t="s">
        <v>1921</v>
      </c>
    </row>
    <row r="726" spans="1:20" ht="15" hidden="1" x14ac:dyDescent="0.25">
      <c r="A726" s="191" t="s">
        <v>2966</v>
      </c>
      <c r="B726" s="183">
        <v>2026</v>
      </c>
      <c r="C726" s="183" t="s">
        <v>2697</v>
      </c>
      <c r="D726" s="183" t="s">
        <v>2956</v>
      </c>
      <c r="E726" s="184" t="s">
        <v>2967</v>
      </c>
      <c r="F726" s="185"/>
      <c r="G726" s="186" t="s">
        <v>2719</v>
      </c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 hidden="1" x14ac:dyDescent="0.25">
      <c r="A727" s="191" t="s">
        <v>2968</v>
      </c>
      <c r="B727" s="183">
        <v>2026</v>
      </c>
      <c r="C727" s="183" t="s">
        <v>2697</v>
      </c>
      <c r="D727" s="183" t="s">
        <v>2956</v>
      </c>
      <c r="E727" s="180" t="s">
        <v>2969</v>
      </c>
      <c r="F727" s="185"/>
      <c r="G727" s="186" t="s">
        <v>2719</v>
      </c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 hidden="1" x14ac:dyDescent="0.25">
      <c r="A728" s="191" t="s">
        <v>2970</v>
      </c>
      <c r="B728" s="183">
        <v>2026</v>
      </c>
      <c r="C728" s="183" t="s">
        <v>2697</v>
      </c>
      <c r="D728" s="183" t="s">
        <v>2956</v>
      </c>
      <c r="E728" s="180" t="s">
        <v>2971</v>
      </c>
      <c r="F728" s="185"/>
      <c r="G728" s="186" t="s">
        <v>2719</v>
      </c>
      <c r="H728" s="191" t="s">
        <v>2972</v>
      </c>
      <c r="I728" s="192">
        <v>46267</v>
      </c>
      <c r="J728" s="192">
        <v>46267</v>
      </c>
      <c r="K728" s="183" t="s">
        <v>38</v>
      </c>
      <c r="L728" s="187"/>
      <c r="M728" s="188"/>
      <c r="N728" s="189">
        <v>80</v>
      </c>
      <c r="O728" s="190">
        <v>0</v>
      </c>
      <c r="P728" s="190">
        <v>0</v>
      </c>
      <c r="Q728" s="190">
        <v>80</v>
      </c>
      <c r="R728" s="190">
        <f>IF(B728="","",SUM(O728:Q728))</f>
        <v>80</v>
      </c>
      <c r="S728" s="183">
        <v>3</v>
      </c>
      <c r="T728" s="186" t="s">
        <v>1921</v>
      </c>
    </row>
    <row r="729" spans="1:20" ht="15" hidden="1" x14ac:dyDescent="0.25">
      <c r="A729" s="191" t="s">
        <v>2973</v>
      </c>
      <c r="B729" s="183">
        <v>2026</v>
      </c>
      <c r="C729" s="183" t="s">
        <v>2697</v>
      </c>
      <c r="D729" s="183" t="s">
        <v>2956</v>
      </c>
      <c r="E729" s="180" t="s">
        <v>2974</v>
      </c>
      <c r="F729" s="185"/>
      <c r="G729" s="186" t="s">
        <v>2719</v>
      </c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 hidden="1" x14ac:dyDescent="0.25">
      <c r="A730" s="175" t="s">
        <v>2975</v>
      </c>
      <c r="B730" s="183">
        <v>2026</v>
      </c>
      <c r="C730" s="183" t="s">
        <v>2697</v>
      </c>
      <c r="D730" s="183" t="s">
        <v>2956</v>
      </c>
      <c r="E730" s="203" t="s">
        <v>2976</v>
      </c>
      <c r="F730" s="185"/>
      <c r="G730" s="186" t="s">
        <v>2719</v>
      </c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>
        <f t="shared" ref="R730:R749" si="14">IF(B730="","",SUM(O730:Q730))</f>
        <v>0</v>
      </c>
      <c r="S730" s="183"/>
      <c r="T730" s="186"/>
    </row>
    <row r="731" spans="1:20" ht="15" hidden="1" x14ac:dyDescent="0.25">
      <c r="A731" s="191" t="s">
        <v>2977</v>
      </c>
      <c r="B731" s="183">
        <v>2026</v>
      </c>
      <c r="C731" s="183" t="s">
        <v>2697</v>
      </c>
      <c r="D731" s="183" t="s">
        <v>2956</v>
      </c>
      <c r="E731" s="203" t="s">
        <v>2978</v>
      </c>
      <c r="F731" s="185"/>
      <c r="G731" s="186" t="s">
        <v>2719</v>
      </c>
      <c r="H731" s="191"/>
      <c r="I731" s="192"/>
      <c r="J731" s="192"/>
      <c r="K731" s="183"/>
      <c r="L731" s="187"/>
      <c r="M731" s="188"/>
      <c r="N731" s="189"/>
      <c r="O731" s="190"/>
      <c r="P731" s="190"/>
      <c r="Q731" s="190"/>
      <c r="R731" s="190">
        <f t="shared" si="14"/>
        <v>0</v>
      </c>
      <c r="S731" s="183"/>
      <c r="T731" s="186"/>
    </row>
    <row r="732" spans="1:20" ht="15" hidden="1" x14ac:dyDescent="0.25">
      <c r="A732" s="191" t="s">
        <v>2979</v>
      </c>
      <c r="B732" s="183">
        <v>2026</v>
      </c>
      <c r="C732" s="183" t="s">
        <v>2697</v>
      </c>
      <c r="D732" s="183"/>
      <c r="E732" s="184" t="s">
        <v>2980</v>
      </c>
      <c r="F732" s="185"/>
      <c r="G732" s="186" t="s">
        <v>206</v>
      </c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>
        <f t="shared" si="14"/>
        <v>0</v>
      </c>
      <c r="S732" s="183"/>
      <c r="T732" s="186"/>
    </row>
    <row r="733" spans="1:20" ht="15" hidden="1" x14ac:dyDescent="0.25">
      <c r="A733" s="191" t="s">
        <v>2981</v>
      </c>
      <c r="B733" s="183">
        <v>2026</v>
      </c>
      <c r="C733" s="183" t="s">
        <v>2697</v>
      </c>
      <c r="D733" s="183"/>
      <c r="E733" s="203" t="s">
        <v>2982</v>
      </c>
      <c r="F733" s="185"/>
      <c r="G733" s="186" t="s">
        <v>2719</v>
      </c>
      <c r="H733" s="191"/>
      <c r="I733" s="192"/>
      <c r="J733" s="192"/>
      <c r="K733" s="183"/>
      <c r="L733" s="187"/>
      <c r="M733" s="188"/>
      <c r="N733" s="189"/>
      <c r="O733" s="190"/>
      <c r="P733" s="190"/>
      <c r="Q733" s="190"/>
      <c r="R733" s="190">
        <f t="shared" si="14"/>
        <v>0</v>
      </c>
      <c r="S733" s="183"/>
      <c r="T733" s="186"/>
    </row>
    <row r="734" spans="1:20" ht="15" hidden="1" x14ac:dyDescent="0.25">
      <c r="A734" s="191" t="s">
        <v>2983</v>
      </c>
      <c r="B734" s="183">
        <v>2026</v>
      </c>
      <c r="C734" s="183" t="s">
        <v>2697</v>
      </c>
      <c r="D734" s="183"/>
      <c r="E734" s="184" t="s">
        <v>2984</v>
      </c>
      <c r="F734" s="185"/>
      <c r="G734" s="186" t="s">
        <v>42</v>
      </c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>
        <f t="shared" si="14"/>
        <v>0</v>
      </c>
      <c r="S734" s="183"/>
      <c r="T734" s="186"/>
    </row>
    <row r="735" spans="1:20" ht="15" x14ac:dyDescent="0.25">
      <c r="A735" s="183" t="str">
        <f ca="1">IF(E735="","",IF(B735="",YEAR(TODAY()),B735)&amp;"-"&amp;TEXT(COUNTIF($B$2:B735,IF(B735="",YEAR(TODAY()),B735))+COUNTIFS($E$2:E735,"&lt;&gt;",$B$2:B735,""),"000"))</f>
        <v>2026-079</v>
      </c>
      <c r="B735" s="183">
        <v>2026</v>
      </c>
      <c r="C735" s="183" t="s">
        <v>22</v>
      </c>
      <c r="D735" s="183" t="s">
        <v>2985</v>
      </c>
      <c r="E735" s="184" t="s">
        <v>2986</v>
      </c>
      <c r="F735" s="185"/>
      <c r="G735" s="186" t="s">
        <v>206</v>
      </c>
      <c r="H735" s="191" t="s">
        <v>2985</v>
      </c>
      <c r="I735" s="192">
        <v>46122</v>
      </c>
      <c r="J735" s="192">
        <v>46122</v>
      </c>
      <c r="K735" s="183" t="s">
        <v>38</v>
      </c>
      <c r="L735" s="187"/>
      <c r="M735" s="188"/>
      <c r="N735" s="189">
        <v>170</v>
      </c>
      <c r="O735" s="190"/>
      <c r="P735" s="190">
        <v>0</v>
      </c>
      <c r="Q735" s="190">
        <v>0</v>
      </c>
      <c r="R735" s="190">
        <f t="shared" si="14"/>
        <v>0</v>
      </c>
      <c r="S735" s="183">
        <v>2</v>
      </c>
      <c r="T735" s="186" t="s">
        <v>2987</v>
      </c>
    </row>
    <row r="736" spans="1:20" ht="15" hidden="1" x14ac:dyDescent="0.25">
      <c r="A736" s="183" t="str">
        <f ca="1">IF(E736="","",IF(B736="",YEAR(TODAY()),B736)&amp;"-"&amp;TEXT(COUNTIF($B$2:B736,IF(B736="",YEAR(TODAY()),B736))+COUNTIFS($E$2:E736,"&lt;&gt;",$B$2:B736,""),"000"))</f>
        <v>2026-080</v>
      </c>
      <c r="B736" s="183">
        <v>2026</v>
      </c>
      <c r="C736" s="183" t="s">
        <v>2697</v>
      </c>
      <c r="D736" s="183" t="s">
        <v>2988</v>
      </c>
      <c r="E736" s="184" t="s">
        <v>2989</v>
      </c>
      <c r="F736" s="185"/>
      <c r="G736" s="186" t="s">
        <v>42</v>
      </c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>
        <f t="shared" si="14"/>
        <v>0</v>
      </c>
      <c r="S736" s="183"/>
      <c r="T736" s="186"/>
    </row>
    <row r="737" spans="1:20" ht="15" hidden="1" x14ac:dyDescent="0.25">
      <c r="A737" s="191" t="s">
        <v>2990</v>
      </c>
      <c r="B737" s="183">
        <v>2026</v>
      </c>
      <c r="C737" s="183" t="s">
        <v>2697</v>
      </c>
      <c r="D737" s="183" t="s">
        <v>2991</v>
      </c>
      <c r="E737" s="180" t="s">
        <v>3197</v>
      </c>
      <c r="F737" s="185"/>
      <c r="G737" s="186" t="s">
        <v>79</v>
      </c>
      <c r="H737" s="191" t="s">
        <v>2992</v>
      </c>
      <c r="I737" s="192">
        <v>46267</v>
      </c>
      <c r="J737" s="192">
        <v>46269</v>
      </c>
      <c r="K737" s="183" t="s">
        <v>38</v>
      </c>
      <c r="L737" s="187"/>
      <c r="M737" s="188"/>
      <c r="N737" s="189">
        <v>30</v>
      </c>
      <c r="O737" s="190"/>
      <c r="P737" s="190"/>
      <c r="Q737" s="190"/>
      <c r="R737" s="190">
        <f t="shared" si="14"/>
        <v>0</v>
      </c>
      <c r="S737" s="183">
        <v>8</v>
      </c>
      <c r="T737" s="186" t="s">
        <v>2715</v>
      </c>
    </row>
    <row r="738" spans="1:20" ht="15" hidden="1" x14ac:dyDescent="0.25">
      <c r="A738" s="191" t="s">
        <v>3188</v>
      </c>
      <c r="B738" s="183">
        <v>2026</v>
      </c>
      <c r="C738" s="183" t="s">
        <v>2697</v>
      </c>
      <c r="D738" s="183" t="s">
        <v>3189</v>
      </c>
      <c r="E738" s="180" t="s">
        <v>3190</v>
      </c>
      <c r="F738" s="185" t="s">
        <v>69</v>
      </c>
      <c r="G738" s="186" t="s">
        <v>2694</v>
      </c>
      <c r="H738" s="191" t="s">
        <v>3191</v>
      </c>
      <c r="I738" s="192">
        <v>46273</v>
      </c>
      <c r="J738" s="192">
        <v>46275</v>
      </c>
      <c r="K738" s="183" t="s">
        <v>38</v>
      </c>
      <c r="L738" s="187"/>
      <c r="M738" s="188"/>
      <c r="N738" s="189">
        <v>30</v>
      </c>
      <c r="O738" s="190"/>
      <c r="P738" s="190"/>
      <c r="Q738" s="190"/>
      <c r="R738" s="190">
        <f t="shared" si="14"/>
        <v>0</v>
      </c>
      <c r="S738" s="183">
        <v>12</v>
      </c>
      <c r="T738" s="186" t="s">
        <v>3192</v>
      </c>
    </row>
    <row r="739" spans="1:20" ht="15" hidden="1" x14ac:dyDescent="0.25">
      <c r="A739" s="191" t="s">
        <v>3194</v>
      </c>
      <c r="B739" s="183">
        <v>2026</v>
      </c>
      <c r="C739" s="183" t="s">
        <v>2697</v>
      </c>
      <c r="D739" s="183" t="s">
        <v>3193</v>
      </c>
      <c r="E739" s="180" t="s">
        <v>3195</v>
      </c>
      <c r="F739" s="185" t="s">
        <v>24</v>
      </c>
      <c r="G739" s="186" t="s">
        <v>2700</v>
      </c>
      <c r="H739" s="175" t="s">
        <v>3196</v>
      </c>
      <c r="I739" s="192">
        <v>46054</v>
      </c>
      <c r="J739" s="192">
        <v>46267</v>
      </c>
      <c r="K739" s="183" t="s">
        <v>38</v>
      </c>
      <c r="L739" s="187"/>
      <c r="M739" s="188"/>
      <c r="N739" s="189">
        <v>20</v>
      </c>
      <c r="O739" s="190"/>
      <c r="P739" s="190"/>
      <c r="Q739" s="190"/>
      <c r="R739" s="190">
        <f t="shared" si="14"/>
        <v>0</v>
      </c>
      <c r="S739" s="183">
        <v>9</v>
      </c>
      <c r="T739" s="186" t="s">
        <v>218</v>
      </c>
    </row>
    <row r="740" spans="1:20" ht="15" hidden="1" x14ac:dyDescent="0.25">
      <c r="A740" s="183" t="str">
        <f ca="1">IF(E740="","",IF(B740="",YEAR(TODAY()),B740)&amp;"-"&amp;TEXT(COUNTIF($B$2:B740,IF(B740="",YEAR(TODAY()),B740))+COUNTIFS($E$2:E740,"&lt;&gt;",$B$2:B740,""),"000"))</f>
        <v/>
      </c>
      <c r="B740" s="183"/>
      <c r="C740" s="183"/>
      <c r="D740" s="183"/>
      <c r="E740" s="184"/>
      <c r="F740" s="185"/>
      <c r="G740" s="186"/>
      <c r="H740" s="191"/>
      <c r="I740" s="192"/>
      <c r="J740" s="192"/>
      <c r="K740" s="183"/>
      <c r="L740" s="187"/>
      <c r="M740" s="188"/>
      <c r="N740" s="189"/>
      <c r="O740" s="190"/>
      <c r="P740" s="190"/>
      <c r="Q740" s="190"/>
      <c r="R740" s="190" t="str">
        <f t="shared" si="14"/>
        <v/>
      </c>
      <c r="S740" s="183"/>
      <c r="T740" s="186"/>
    </row>
    <row r="741" spans="1:20" ht="15" hidden="1" x14ac:dyDescent="0.25">
      <c r="A741" s="183" t="str">
        <f ca="1">IF(E741="","",IF(B741="",YEAR(TODAY()),B741)&amp;"-"&amp;TEXT(COUNTIF($B$2:B741,IF(B741="",YEAR(TODAY()),B741))+COUNTIFS($E$2:E741,"&lt;&gt;",$B$2:B741,""),"000"))</f>
        <v/>
      </c>
      <c r="B741" s="183"/>
      <c r="C741" s="183"/>
      <c r="D741" s="183"/>
      <c r="E741" s="184"/>
      <c r="F741" s="185"/>
      <c r="G741" s="186"/>
      <c r="H741" s="191"/>
      <c r="I741" s="192"/>
      <c r="J741" s="192"/>
      <c r="K741" s="183"/>
      <c r="L741" s="187"/>
      <c r="M741" s="188"/>
      <c r="N741" s="189"/>
      <c r="O741" s="190"/>
      <c r="P741" s="190"/>
      <c r="Q741" s="190"/>
      <c r="R741" s="190" t="str">
        <f t="shared" si="14"/>
        <v/>
      </c>
      <c r="S741" s="183"/>
      <c r="T741" s="186"/>
    </row>
    <row r="742" spans="1:20" ht="15" hidden="1" x14ac:dyDescent="0.25">
      <c r="A742" s="183" t="str">
        <f ca="1">IF(E742="","",IF(B742="",YEAR(TODAY()),B742)&amp;"-"&amp;TEXT(COUNTIF($B$2:B742,IF(B742="",YEAR(TODAY()),B742))+COUNTIFS($E$2:E742,"&lt;&gt;",$B$2:B742,""),"000"))</f>
        <v/>
      </c>
      <c r="B742" s="183"/>
      <c r="C742" s="183"/>
      <c r="D742" s="183"/>
      <c r="E742" s="184"/>
      <c r="F742" s="185"/>
      <c r="G742" s="186"/>
      <c r="H742" s="191"/>
      <c r="I742" s="192"/>
      <c r="J742" s="192"/>
      <c r="K742" s="183"/>
      <c r="L742" s="187"/>
      <c r="M742" s="188"/>
      <c r="N742" s="189"/>
      <c r="O742" s="190"/>
      <c r="P742" s="190"/>
      <c r="Q742" s="190"/>
      <c r="R742" s="190" t="str">
        <f t="shared" si="14"/>
        <v/>
      </c>
      <c r="S742" s="183"/>
      <c r="T742" s="186"/>
    </row>
    <row r="743" spans="1:20" ht="15" hidden="1" x14ac:dyDescent="0.25">
      <c r="A743" s="183" t="str">
        <f ca="1">IF(E743="","",IF(B743="",YEAR(TODAY()),B743)&amp;"-"&amp;TEXT(COUNTIF($B$2:B743,IF(B743="",YEAR(TODAY()),B743))+COUNTIFS($E$2:E743,"&lt;&gt;",$B$2:B743,""),"000"))</f>
        <v/>
      </c>
      <c r="B743" s="183"/>
      <c r="C743" s="183"/>
      <c r="D743" s="183"/>
      <c r="E743" s="184"/>
      <c r="F743" s="185"/>
      <c r="G743" s="186"/>
      <c r="H743" s="191"/>
      <c r="I743" s="192"/>
      <c r="J743" s="192"/>
      <c r="K743" s="183"/>
      <c r="L743" s="187"/>
      <c r="M743" s="188"/>
      <c r="N743" s="189"/>
      <c r="O743" s="190"/>
      <c r="P743" s="190"/>
      <c r="Q743" s="190"/>
      <c r="R743" s="190" t="str">
        <f t="shared" si="14"/>
        <v/>
      </c>
      <c r="S743" s="183"/>
      <c r="T743" s="186"/>
    </row>
    <row r="744" spans="1:20" ht="15" hidden="1" x14ac:dyDescent="0.25">
      <c r="A744" s="183" t="str">
        <f ca="1">IF(E744="","",IF(B744="",YEAR(TODAY()),B744)&amp;"-"&amp;TEXT(COUNTIF($B$2:B744,IF(B744="",YEAR(TODAY()),B744))+COUNTIFS($E$2:E744,"&lt;&gt;",$B$2:B744,""),"000"))</f>
        <v/>
      </c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4"/>
        <v/>
      </c>
      <c r="S744" s="183"/>
      <c r="T744" s="186"/>
    </row>
    <row r="745" spans="1:20" ht="15" hidden="1" x14ac:dyDescent="0.25">
      <c r="A745" s="183" t="str">
        <f ca="1">IF(E745="","",IF(B745="",YEAR(TODAY()),B745)&amp;"-"&amp;TEXT(COUNTIF($B$2:B745,IF(B745="",YEAR(TODAY()),B745))+COUNTIFS($E$2:E745,"&lt;&gt;",$B$2:B745,""),"000"))</f>
        <v/>
      </c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4"/>
        <v/>
      </c>
      <c r="S745" s="183"/>
      <c r="T745" s="186"/>
    </row>
    <row r="746" spans="1:20" ht="15" hidden="1" x14ac:dyDescent="0.25">
      <c r="A746" s="183" t="str">
        <f ca="1">IF(E746="","",IF(B746="",YEAR(TODAY()),B746)&amp;"-"&amp;TEXT(COUNTIF($B$2:B746,IF(B746="",YEAR(TODAY()),B746))+COUNTIFS($E$2:E746,"&lt;&gt;",$B$2:B746,""),"000"))</f>
        <v/>
      </c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4"/>
        <v/>
      </c>
      <c r="S746" s="183"/>
      <c r="T746" s="186"/>
    </row>
    <row r="747" spans="1:20" ht="15" hidden="1" x14ac:dyDescent="0.25">
      <c r="A747" s="183" t="str">
        <f ca="1">IF(E747="","",IF(B747="",YEAR(TODAY()),B747)&amp;"-"&amp;TEXT(COUNTIF($B$2:B747,IF(B747="",YEAR(TODAY()),B747))+COUNTIFS($E$2:E747,"&lt;&gt;",$B$2:B747,""),"000"))</f>
        <v/>
      </c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4"/>
        <v/>
      </c>
      <c r="S747" s="183"/>
      <c r="T747" s="186"/>
    </row>
    <row r="748" spans="1:20" ht="15" hidden="1" x14ac:dyDescent="0.25">
      <c r="A748" s="183" t="str">
        <f ca="1">IF(E748="","",IF(B748="",YEAR(TODAY()),B748)&amp;"-"&amp;TEXT(COUNTIF($B$2:B748,IF(B748="",YEAR(TODAY()),B748))+COUNTIFS($E$2:E748,"&lt;&gt;",$B$2:B748,""),"000"))</f>
        <v/>
      </c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4"/>
        <v/>
      </c>
      <c r="S748" s="183"/>
      <c r="T748" s="186"/>
    </row>
    <row r="749" spans="1:20" ht="15" hidden="1" x14ac:dyDescent="0.25">
      <c r="A749" s="183" t="str">
        <f ca="1">IF(E749="","",IF(B749="",YEAR(TODAY()),B749)&amp;"-"&amp;TEXT(COUNTIF($B$2:B749,IF(B749="",YEAR(TODAY()),B749))+COUNTIFS($E$2:E749,"&lt;&gt;",$B$2:B749,""),"000"))</f>
        <v/>
      </c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4"/>
        <v/>
      </c>
      <c r="S749" s="183"/>
      <c r="T749" s="186"/>
    </row>
    <row r="750" spans="1:20" ht="15" hidden="1" x14ac:dyDescent="0.25">
      <c r="A750" s="183" t="str">
        <f ca="1">IF(E750="","",IF(B750="",YEAR(TODAY()),B750)&amp;"-"&amp;TEXT(COUNTIF($B$2:B750,IF(B750="",YEAR(TODAY()),B750))+COUNTIFS($E$2:E750,"&lt;&gt;",$B$2:B750,""),"000"))</f>
        <v/>
      </c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 hidden="1" x14ac:dyDescent="0.25">
      <c r="A751" s="183" t="str">
        <f ca="1">IF(E751="","",IF(B751="",YEAR(TODAY()),B751)&amp;"-"&amp;TEXT(COUNTIF($B$2:B751,IF(B751="",YEAR(TODAY()),B751))+COUNTIFS($E$2:E751,"&lt;&gt;",$B$2:B751,""),"000"))</f>
        <v/>
      </c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 hidden="1" x14ac:dyDescent="0.25">
      <c r="A752" s="183" t="str">
        <f ca="1">IF(E752="","",IF(B752="",YEAR(TODAY()),B752)&amp;"-"&amp;TEXT(COUNTIF($B$2:B752,IF(B752="",YEAR(TODAY()),B752))+COUNTIFS($E$2:E752,"&lt;&gt;",$B$2:B752,""),"000"))</f>
        <v/>
      </c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 hidden="1" x14ac:dyDescent="0.25">
      <c r="A753" s="183" t="str">
        <f ca="1">IF(E753="","",IF(B753="",YEAR(TODAY()),B753)&amp;"-"&amp;TEXT(COUNTIF($B$2:B753,IF(B753="",YEAR(TODAY()),B753))+COUNTIFS($E$2:E753,"&lt;&gt;",$B$2:B753,""),"000"))</f>
        <v/>
      </c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 hidden="1" x14ac:dyDescent="0.25">
      <c r="A754" s="183" t="str">
        <f ca="1">IF(E754="","",IF(B754="",YEAR(TODAY()),B754)&amp;"-"&amp;TEXT(COUNTIF($B$2:B754,IF(B754="",YEAR(TODAY()),B754))+COUNTIFS($E$2:E754,"&lt;&gt;",$B$2:B754,""),"000"))</f>
        <v/>
      </c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 hidden="1" x14ac:dyDescent="0.25">
      <c r="A755" s="183" t="str">
        <f ca="1">IF(E755="","",IF(B755="",YEAR(TODAY()),B755)&amp;"-"&amp;TEXT(COUNTIF($B$2:B755,IF(B755="",YEAR(TODAY()),B755))+COUNTIFS($E$2:E755,"&lt;&gt;",$B$2:B755,""),"000"))</f>
        <v/>
      </c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 hidden="1" x14ac:dyDescent="0.25">
      <c r="A756" s="183" t="str">
        <f ca="1">IF(E756="","",IF(B756="",YEAR(TODAY()),B756)&amp;"-"&amp;TEXT(COUNTIF($B$2:B756,IF(B756="",YEAR(TODAY()),B756))+COUNTIFS($E$2:E756,"&lt;&gt;",$B$2:B756,""),"000"))</f>
        <v/>
      </c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 hidden="1" x14ac:dyDescent="0.25">
      <c r="A757" s="183" t="str">
        <f ca="1">IF(E757="","",IF(B757="",YEAR(TODAY()),B757)&amp;"-"&amp;TEXT(COUNTIF($B$2:B757,IF(B757="",YEAR(TODAY()),B757))+COUNTIFS($E$2:E757,"&lt;&gt;",$B$2:B757,""),"000"))</f>
        <v/>
      </c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 hidden="1" x14ac:dyDescent="0.25">
      <c r="A758" s="183" t="str">
        <f ca="1">IF(E758="","",IF(B758="",YEAR(TODAY()),B758)&amp;"-"&amp;TEXT(COUNTIF($B$2:B758,IF(B758="",YEAR(TODAY()),B758))+COUNTIFS($E$2:E758,"&lt;&gt;",$B$2:B758,""),"000"))</f>
        <v/>
      </c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 hidden="1" x14ac:dyDescent="0.25">
      <c r="A759" s="183" t="str">
        <f ca="1">IF(E759="","",IF(B759="",YEAR(TODAY()),B759)&amp;"-"&amp;TEXT(COUNTIF($B$2:B759,IF(B759="",YEAR(TODAY()),B759))+COUNTIFS($E$2:E759,"&lt;&gt;",$B$2:B759,""),"000"))</f>
        <v/>
      </c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 hidden="1" x14ac:dyDescent="0.25">
      <c r="A760" s="183" t="str">
        <f ca="1">IF(E760="","",IF(B760="",YEAR(TODAY()),B760)&amp;"-"&amp;TEXT(COUNTIF($B$2:B760,IF(B760="",YEAR(TODAY()),B760))+COUNTIFS($E$2:E760,"&lt;&gt;",$B$2:B760,""),"000"))</f>
        <v/>
      </c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 hidden="1" x14ac:dyDescent="0.25">
      <c r="A761" s="183" t="str">
        <f ca="1">IF(E761="","",IF(B761="",YEAR(TODAY()),B761)&amp;"-"&amp;TEXT(COUNTIF($B$2:B761,IF(B761="",YEAR(TODAY()),B761))+COUNTIFS($E$2:E761,"&lt;&gt;",$B$2:B761,""),"000"))</f>
        <v/>
      </c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 hidden="1" x14ac:dyDescent="0.25">
      <c r="A762" s="183" t="str">
        <f ca="1">IF(E762="","",IF(B762="",YEAR(TODAY()),B762)&amp;"-"&amp;TEXT(COUNTIF($B$2:B762,IF(B762="",YEAR(TODAY()),B762))+COUNTIFS($E$2:E762,"&lt;&gt;",$B$2:B762,""),"000"))</f>
        <v/>
      </c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 hidden="1" x14ac:dyDescent="0.25">
      <c r="A763" s="183" t="str">
        <f ca="1">IF(E763="","",IF(B763="",YEAR(TODAY()),B763)&amp;"-"&amp;TEXT(COUNTIF($B$2:B763,IF(B763="",YEAR(TODAY()),B763))+COUNTIFS($E$2:E763,"&lt;&gt;",$B$2:B763,""),"000"))</f>
        <v/>
      </c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 hidden="1" x14ac:dyDescent="0.25">
      <c r="A764" s="183" t="str">
        <f ca="1">IF(E764="","",IF(B764="",YEAR(TODAY()),B764)&amp;"-"&amp;TEXT(COUNTIF($B$2:B764,IF(B764="",YEAR(TODAY()),B764))+COUNTIFS($E$2:E764,"&lt;&gt;",$B$2:B764,""),"000"))</f>
        <v/>
      </c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 hidden="1" x14ac:dyDescent="0.25">
      <c r="A765" s="183" t="str">
        <f ca="1">IF(E765="","",IF(B765="",YEAR(TODAY()),B765)&amp;"-"&amp;TEXT(COUNTIF($B$2:B765,IF(B765="",YEAR(TODAY()),B765))+COUNTIFS($E$2:E765,"&lt;&gt;",$B$2:B765,""),"000"))</f>
        <v/>
      </c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 hidden="1" x14ac:dyDescent="0.25">
      <c r="A766" s="183" t="str">
        <f ca="1">IF(E766="","",IF(B766="",YEAR(TODAY()),B766)&amp;"-"&amp;TEXT(COUNTIF($B$2:B766,IF(B766="",YEAR(TODAY()),B766))+COUNTIFS($E$2:E766,"&lt;&gt;",$B$2:B766,""),"000"))</f>
        <v/>
      </c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 hidden="1" x14ac:dyDescent="0.25">
      <c r="A767" s="183" t="str">
        <f ca="1">IF(E767="","",IF(B767="",YEAR(TODAY()),B767)&amp;"-"&amp;TEXT(COUNTIF($B$2:B767,IF(B767="",YEAR(TODAY()),B767))+COUNTIFS($E$2:E767,"&lt;&gt;",$B$2:B767,""),"000"))</f>
        <v/>
      </c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 hidden="1" x14ac:dyDescent="0.25">
      <c r="A768" s="183" t="str">
        <f ca="1">IF(E768="","",IF(B768="",YEAR(TODAY()),B768)&amp;"-"&amp;TEXT(COUNTIF($B$2:B768,IF(B768="",YEAR(TODAY()),B768))+COUNTIFS($E$2:E768,"&lt;&gt;",$B$2:B768,""),"000"))</f>
        <v/>
      </c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 hidden="1" x14ac:dyDescent="0.25">
      <c r="A769" s="183" t="str">
        <f ca="1">IF(E769="","",IF(B769="",YEAR(TODAY()),B769)&amp;"-"&amp;TEXT(COUNTIF($B$2:B769,IF(B769="",YEAR(TODAY()),B769))+COUNTIFS($E$2:E769,"&lt;&gt;",$B$2:B769,""),"000"))</f>
        <v/>
      </c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 hidden="1" x14ac:dyDescent="0.25">
      <c r="A770" s="183" t="str">
        <f ca="1">IF(E770="","",IF(B770="",YEAR(TODAY()),B770)&amp;"-"&amp;TEXT(COUNTIF($B$2:B770,IF(B770="",YEAR(TODAY()),B770))+COUNTIFS($E$2:E770,"&lt;&gt;",$B$2:B770,""),"000"))</f>
        <v/>
      </c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 hidden="1" x14ac:dyDescent="0.25">
      <c r="A771" s="183" t="str">
        <f ca="1">IF(E771="","",IF(B771="",YEAR(TODAY()),B771)&amp;"-"&amp;TEXT(COUNTIF($B$2:B771,IF(B771="",YEAR(TODAY()),B771))+COUNTIFS($E$2:E771,"&lt;&gt;",$B$2:B771,""),"000"))</f>
        <v/>
      </c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 hidden="1" x14ac:dyDescent="0.25">
      <c r="A772" s="183" t="str">
        <f ca="1">IF(E772="","",IF(B772="",YEAR(TODAY()),B772)&amp;"-"&amp;TEXT(COUNTIF($B$2:B772,IF(B772="",YEAR(TODAY()),B772))+COUNTIFS($E$2:E772,"&lt;&gt;",$B$2:B772,""),"000"))</f>
        <v/>
      </c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 hidden="1" x14ac:dyDescent="0.25">
      <c r="A773" s="183" t="str">
        <f ca="1">IF(E773="","",IF(B773="",YEAR(TODAY()),B773)&amp;"-"&amp;TEXT(COUNTIF($B$2:B773,IF(B773="",YEAR(TODAY()),B773))+COUNTIFS($E$2:E773,"&lt;&gt;",$B$2:B773,""),"000"))</f>
        <v/>
      </c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 hidden="1" x14ac:dyDescent="0.25">
      <c r="A774" s="183" t="str">
        <f ca="1">IF(E774="","",IF(B774="",YEAR(TODAY()),B774)&amp;"-"&amp;TEXT(COUNTIF($B$2:B774,IF(B774="",YEAR(TODAY()),B774))+COUNTIFS($E$2:E774,"&lt;&gt;",$B$2:B774,""),"000"))</f>
        <v/>
      </c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 hidden="1" x14ac:dyDescent="0.25">
      <c r="A775" s="183" t="str">
        <f ca="1">IF(E775="","",IF(B775="",YEAR(TODAY()),B775)&amp;"-"&amp;TEXT(COUNTIF($B$2:B775,IF(B775="",YEAR(TODAY()),B775))+COUNTIFS($E$2:E775,"&lt;&gt;",$B$2:B775,""),"000"))</f>
        <v/>
      </c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 hidden="1" x14ac:dyDescent="0.25">
      <c r="A776" s="183" t="str">
        <f ca="1">IF(E776="","",IF(B776="",YEAR(TODAY()),B776)&amp;"-"&amp;TEXT(COUNTIF($B$2:B776,IF(B776="",YEAR(TODAY()),B776))+COUNTIFS($E$2:E776,"&lt;&gt;",$B$2:B776,""),"000"))</f>
        <v/>
      </c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 hidden="1" x14ac:dyDescent="0.25">
      <c r="A777" s="183" t="str">
        <f ca="1">IF(E777="","",IF(B777="",YEAR(TODAY()),B777)&amp;"-"&amp;TEXT(COUNTIF($B$2:B777,IF(B777="",YEAR(TODAY()),B777))+COUNTIFS($E$2:E777,"&lt;&gt;",$B$2:B777,""),"000"))</f>
        <v/>
      </c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 hidden="1" x14ac:dyDescent="0.25">
      <c r="A778" s="183" t="str">
        <f ca="1">IF(E778="","",IF(B778="",YEAR(TODAY()),B778)&amp;"-"&amp;TEXT(COUNTIF($B$2:B778,IF(B778="",YEAR(TODAY()),B778))+COUNTIFS($E$2:E778,"&lt;&gt;",$B$2:B778,""),"000"))</f>
        <v/>
      </c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 hidden="1" x14ac:dyDescent="0.25">
      <c r="A779" s="183" t="str">
        <f ca="1">IF(E779="","",IF(B779="",YEAR(TODAY()),B779)&amp;"-"&amp;TEXT(COUNTIF($B$2:B779,IF(B779="",YEAR(TODAY()),B779))+COUNTIFS($E$2:E779,"&lt;&gt;",$B$2:B779,""),"000"))</f>
        <v/>
      </c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 hidden="1" x14ac:dyDescent="0.25">
      <c r="A780" s="183" t="str">
        <f ca="1">IF(E780="","",IF(B780="",YEAR(TODAY()),B780)&amp;"-"&amp;TEXT(COUNTIF($B$2:B780,IF(B780="",YEAR(TODAY()),B780))+COUNTIFS($E$2:E780,"&lt;&gt;",$B$2:B780,""),"000"))</f>
        <v/>
      </c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 hidden="1" x14ac:dyDescent="0.25">
      <c r="A781" s="183" t="str">
        <f ca="1">IF(E781="","",IF(B781="",YEAR(TODAY()),B781)&amp;"-"&amp;TEXT(COUNTIF($B$2:B781,IF(B781="",YEAR(TODAY()),B781))+COUNTIFS($E$2:E781,"&lt;&gt;",$B$2:B781,""),"000"))</f>
        <v/>
      </c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 hidden="1" x14ac:dyDescent="0.25">
      <c r="A782" s="183" t="str">
        <f ca="1">IF(E782="","",IF(B782="",YEAR(TODAY()),B782)&amp;"-"&amp;TEXT(COUNTIF($B$2:B782,IF(B782="",YEAR(TODAY()),B782))+COUNTIFS($E$2:E782,"&lt;&gt;",$B$2:B782,""),"000"))</f>
        <v/>
      </c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 hidden="1" x14ac:dyDescent="0.25">
      <c r="A783" s="183" t="str">
        <f ca="1">IF(E783="","",IF(B783="",YEAR(TODAY()),B783)&amp;"-"&amp;TEXT(COUNTIF($B$2:B783,IF(B783="",YEAR(TODAY()),B783))+COUNTIFS($E$2:E783,"&lt;&gt;",$B$2:B783,""),"000"))</f>
        <v/>
      </c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 hidden="1" x14ac:dyDescent="0.25">
      <c r="A784" s="183" t="str">
        <f ca="1">IF(E784="","",IF(B784="",YEAR(TODAY()),B784)&amp;"-"&amp;TEXT(COUNTIF($B$2:B784,IF(B784="",YEAR(TODAY()),B784))+COUNTIFS($E$2:E784,"&lt;&gt;",$B$2:B784,""),"000"))</f>
        <v/>
      </c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 hidden="1" x14ac:dyDescent="0.25">
      <c r="A785" s="183" t="str">
        <f ca="1">IF(E785="","",IF(B785="",YEAR(TODAY()),B785)&amp;"-"&amp;TEXT(COUNTIF($B$2:B785,IF(B785="",YEAR(TODAY()),B785))+COUNTIFS($E$2:E785,"&lt;&gt;",$B$2:B785,""),"000"))</f>
        <v/>
      </c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 hidden="1" x14ac:dyDescent="0.25">
      <c r="A786" s="183" t="str">
        <f ca="1">IF(E786="","",IF(B786="",YEAR(TODAY()),B786)&amp;"-"&amp;TEXT(COUNTIF($B$2:B786,IF(B786="",YEAR(TODAY()),B786))+COUNTIFS($E$2:E786,"&lt;&gt;",$B$2:B786,""),"000"))</f>
        <v/>
      </c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 hidden="1" x14ac:dyDescent="0.25">
      <c r="A787" s="183" t="str">
        <f ca="1">IF(E787="","",IF(B787="",YEAR(TODAY()),B787)&amp;"-"&amp;TEXT(COUNTIF($B$2:B787,IF(B787="",YEAR(TODAY()),B787))+COUNTIFS($E$2:E787,"&lt;&gt;",$B$2:B787,""),"000"))</f>
        <v/>
      </c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 hidden="1" x14ac:dyDescent="0.25">
      <c r="A788" s="183" t="str">
        <f ca="1">IF(E788="","",IF(B788="",YEAR(TODAY()),B788)&amp;"-"&amp;TEXT(COUNTIF($B$2:B788,IF(B788="",YEAR(TODAY()),B788))+COUNTIFS($E$2:E788,"&lt;&gt;",$B$2:B788,""),"000"))</f>
        <v/>
      </c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 hidden="1" x14ac:dyDescent="0.25">
      <c r="A789" s="183" t="str">
        <f ca="1">IF(E789="","",IF(B789="",YEAR(TODAY()),B789)&amp;"-"&amp;TEXT(COUNTIF($B$2:B789,IF(B789="",YEAR(TODAY()),B789))+COUNTIFS($E$2:E789,"&lt;&gt;",$B$2:B789,""),"000"))</f>
        <v/>
      </c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 hidden="1" x14ac:dyDescent="0.25">
      <c r="A790" s="183" t="str">
        <f ca="1">IF(E790="","",IF(B790="",YEAR(TODAY()),B790)&amp;"-"&amp;TEXT(COUNTIF($B$2:B790,IF(B790="",YEAR(TODAY()),B790))+COUNTIFS($E$2:E790,"&lt;&gt;",$B$2:B790,""),"000"))</f>
        <v/>
      </c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 hidden="1" x14ac:dyDescent="0.25">
      <c r="A791" s="183" t="str">
        <f ca="1">IF(E791="","",IF(B791="",YEAR(TODAY()),B791)&amp;"-"&amp;TEXT(COUNTIF($B$2:B791,IF(B791="",YEAR(TODAY()),B791))+COUNTIFS($E$2:E791,"&lt;&gt;",$B$2:B791,""),"000"))</f>
        <v/>
      </c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 hidden="1" x14ac:dyDescent="0.25">
      <c r="A792" s="183" t="str">
        <f ca="1">IF(E792="","",IF(B792="",YEAR(TODAY()),B792)&amp;"-"&amp;TEXT(COUNTIF($B$2:B792,IF(B792="",YEAR(TODAY()),B792))+COUNTIFS($E$2:E792,"&lt;&gt;",$B$2:B792,""),"000"))</f>
        <v/>
      </c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 hidden="1" x14ac:dyDescent="0.25">
      <c r="A793" s="183" t="str">
        <f ca="1">IF(E793="","",IF(B793="",YEAR(TODAY()),B793)&amp;"-"&amp;TEXT(COUNTIF($B$2:B793,IF(B793="",YEAR(TODAY()),B793))+COUNTIFS($E$2:E793,"&lt;&gt;",$B$2:B793,""),"000"))</f>
        <v/>
      </c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 hidden="1" x14ac:dyDescent="0.25">
      <c r="A794" s="183" t="str">
        <f ca="1">IF(E794="","",IF(B794="",YEAR(TODAY()),B794)&amp;"-"&amp;TEXT(COUNTIF($B$2:B794,IF(B794="",YEAR(TODAY()),B794))+COUNTIFS($E$2:E794,"&lt;&gt;",$B$2:B794,""),"000"))</f>
        <v/>
      </c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 hidden="1" x14ac:dyDescent="0.25">
      <c r="A795" s="183" t="str">
        <f ca="1">IF(E795="","",IF(B795="",YEAR(TODAY()),B795)&amp;"-"&amp;TEXT(COUNTIF($B$2:B795,IF(B795="",YEAR(TODAY()),B795))+COUNTIFS($E$2:E795,"&lt;&gt;",$B$2:B795,""),"000"))</f>
        <v/>
      </c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 hidden="1" x14ac:dyDescent="0.25">
      <c r="A796" s="183" t="str">
        <f ca="1">IF(E796="","",IF(B796="",YEAR(TODAY()),B796)&amp;"-"&amp;TEXT(COUNTIF($B$2:B796,IF(B796="",YEAR(TODAY()),B796))+COUNTIFS($E$2:E796,"&lt;&gt;",$B$2:B796,""),"000"))</f>
        <v/>
      </c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 hidden="1" x14ac:dyDescent="0.25">
      <c r="A797" s="183" t="str">
        <f ca="1">IF(E797="","",IF(B797="",YEAR(TODAY()),B797)&amp;"-"&amp;TEXT(COUNTIF($B$2:B797,IF(B797="",YEAR(TODAY()),B797))+COUNTIFS($E$2:E797,"&lt;&gt;",$B$2:B797,""),"000"))</f>
        <v/>
      </c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 hidden="1" x14ac:dyDescent="0.25">
      <c r="A798" s="183" t="str">
        <f ca="1">IF(E798="","",IF(B798="",YEAR(TODAY()),B798)&amp;"-"&amp;TEXT(COUNTIF($B$2:B798,IF(B798="",YEAR(TODAY()),B798))+COUNTIFS($E$2:E798,"&lt;&gt;",$B$2:B798,""),"000"))</f>
        <v/>
      </c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 hidden="1" x14ac:dyDescent="0.25">
      <c r="A799" s="183" t="str">
        <f ca="1">IF(E799="","",IF(B799="",YEAR(TODAY()),B799)&amp;"-"&amp;TEXT(COUNTIF($B$2:B799,IF(B799="",YEAR(TODAY()),B799))+COUNTIFS($E$2:E799,"&lt;&gt;",$B$2:B799,""),"000"))</f>
        <v/>
      </c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 hidden="1" x14ac:dyDescent="0.25">
      <c r="A800" s="183" t="str">
        <f ca="1">IF(E800="","",IF(B800="",YEAR(TODAY()),B800)&amp;"-"&amp;TEXT(COUNTIF($B$2:B800,IF(B800="",YEAR(TODAY()),B800))+COUNTIFS($E$2:E800,"&lt;&gt;",$B$2:B800,""),"000"))</f>
        <v/>
      </c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 hidden="1" x14ac:dyDescent="0.25">
      <c r="A801" s="183" t="str">
        <f ca="1">IF(E801="","",IF(B801="",YEAR(TODAY()),B801)&amp;"-"&amp;TEXT(COUNTIF($B$2:B801,IF(B801="",YEAR(TODAY()),B801))+COUNTIFS($E$2:E801,"&lt;&gt;",$B$2:B801,""),"000"))</f>
        <v/>
      </c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 hidden="1" x14ac:dyDescent="0.25">
      <c r="A802" s="183" t="str">
        <f ca="1">IF(E802="","",IF(B802="",YEAR(TODAY()),B802)&amp;"-"&amp;TEXT(COUNTIF($B$2:B802,IF(B802="",YEAR(TODAY()),B802))+COUNTIFS($E$2:E802,"&lt;&gt;",$B$2:B802,""),"000"))</f>
        <v/>
      </c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 hidden="1" x14ac:dyDescent="0.25">
      <c r="A803" s="183" t="str">
        <f ca="1">IF(E803="","",IF(B803="",YEAR(TODAY()),B803)&amp;"-"&amp;TEXT(COUNTIF($B$2:B803,IF(B803="",YEAR(TODAY()),B803))+COUNTIFS($E$2:E803,"&lt;&gt;",$B$2:B803,""),"000"))</f>
        <v/>
      </c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 hidden="1" x14ac:dyDescent="0.25">
      <c r="A804" s="183" t="str">
        <f ca="1">IF(E804="","",IF(B804="",YEAR(TODAY()),B804)&amp;"-"&amp;TEXT(COUNTIF($B$2:B804,IF(B804="",YEAR(TODAY()),B804))+COUNTIFS($E$2:E804,"&lt;&gt;",$B$2:B804,""),"000"))</f>
        <v/>
      </c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 hidden="1" x14ac:dyDescent="0.25">
      <c r="A805" s="183" t="str">
        <f ca="1">IF(E805="","",IF(B805="",YEAR(TODAY()),B805)&amp;"-"&amp;TEXT(COUNTIF($B$2:B805,IF(B805="",YEAR(TODAY()),B805))+COUNTIFS($E$2:E805,"&lt;&gt;",$B$2:B805,""),"000"))</f>
        <v/>
      </c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 hidden="1" x14ac:dyDescent="0.25">
      <c r="A806" s="183" t="str">
        <f ca="1">IF(E806="","",IF(B806="",YEAR(TODAY()),B806)&amp;"-"&amp;TEXT(COUNTIF($B$2:B806,IF(B806="",YEAR(TODAY()),B806))+COUNTIFS($E$2:E806,"&lt;&gt;",$B$2:B806,""),"000"))</f>
        <v/>
      </c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 hidden="1" x14ac:dyDescent="0.25">
      <c r="A807" s="183" t="str">
        <f ca="1">IF(E807="","",IF(B807="",YEAR(TODAY()),B807)&amp;"-"&amp;TEXT(COUNTIF($B$2:B807,IF(B807="",YEAR(TODAY()),B807))+COUNTIFS($E$2:E807,"&lt;&gt;",$B$2:B807,""),"000"))</f>
        <v/>
      </c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 hidden="1" x14ac:dyDescent="0.25">
      <c r="A808" s="183" t="str">
        <f ca="1">IF(E808="","",IF(B808="",YEAR(TODAY()),B808)&amp;"-"&amp;TEXT(COUNTIF($B$2:B808,IF(B808="",YEAR(TODAY()),B808))+COUNTIFS($E$2:E808,"&lt;&gt;",$B$2:B808,""),"000"))</f>
        <v/>
      </c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 hidden="1" x14ac:dyDescent="0.25">
      <c r="A809" s="183" t="str">
        <f ca="1">IF(E809="","",IF(B809="",YEAR(TODAY()),B809)&amp;"-"&amp;TEXT(COUNTIF($B$2:B809,IF(B809="",YEAR(TODAY()),B809))+COUNTIFS($E$2:E809,"&lt;&gt;",$B$2:B809,""),"000"))</f>
        <v/>
      </c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 hidden="1" x14ac:dyDescent="0.25">
      <c r="A810" s="183" t="str">
        <f ca="1">IF(E810="","",IF(B810="",YEAR(TODAY()),B810)&amp;"-"&amp;TEXT(COUNTIF($B$2:B810,IF(B810="",YEAR(TODAY()),B810))+COUNTIFS($E$2:E810,"&lt;&gt;",$B$2:B810,""),"000"))</f>
        <v/>
      </c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 hidden="1" x14ac:dyDescent="0.25">
      <c r="A811" s="183" t="str">
        <f ca="1">IF(E811="","",IF(B811="",YEAR(TODAY()),B811)&amp;"-"&amp;TEXT(COUNTIF($B$2:B811,IF(B811="",YEAR(TODAY()),B811))+COUNTIFS($E$2:E811,"&lt;&gt;",$B$2:B811,""),"000"))</f>
        <v/>
      </c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 hidden="1" x14ac:dyDescent="0.25">
      <c r="A812" s="183" t="str">
        <f ca="1">IF(E812="","",IF(B812="",YEAR(TODAY()),B812)&amp;"-"&amp;TEXT(COUNTIF($B$2:B812,IF(B812="",YEAR(TODAY()),B812))+COUNTIFS($E$2:E812,"&lt;&gt;",$B$2:B812,""),"000"))</f>
        <v/>
      </c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 hidden="1" x14ac:dyDescent="0.25">
      <c r="A813" s="183" t="str">
        <f ca="1">IF(E813="","",IF(B813="",YEAR(TODAY()),B813)&amp;"-"&amp;TEXT(COUNTIF($B$2:B813,IF(B813="",YEAR(TODAY()),B813))+COUNTIFS($E$2:E813,"&lt;&gt;",$B$2:B813,""),"000"))</f>
        <v/>
      </c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 hidden="1" x14ac:dyDescent="0.25">
      <c r="A814" s="183" t="str">
        <f ca="1">IF(E814="","",IF(B814="",YEAR(TODAY()),B814)&amp;"-"&amp;TEXT(COUNTIF($B$2:B814,IF(B814="",YEAR(TODAY()),B814))+COUNTIFS($E$2:E814,"&lt;&gt;",$B$2:B814,""),"000"))</f>
        <v/>
      </c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 hidden="1" x14ac:dyDescent="0.25">
      <c r="A815" s="183" t="str">
        <f ca="1">IF(E815="","",IF(B815="",YEAR(TODAY()),B815)&amp;"-"&amp;TEXT(COUNTIF($B$2:B815,IF(B815="",YEAR(TODAY()),B815))+COUNTIFS($E$2:E815,"&lt;&gt;",$B$2:B815,""),"000"))</f>
        <v/>
      </c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 hidden="1" x14ac:dyDescent="0.25">
      <c r="A816" s="183" t="str">
        <f ca="1">IF(E816="","",IF(B816="",YEAR(TODAY()),B816)&amp;"-"&amp;TEXT(COUNTIF($B$2:B816,IF(B816="",YEAR(TODAY()),B816))+COUNTIFS($E$2:E816,"&lt;&gt;",$B$2:B816,""),"000"))</f>
        <v/>
      </c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 hidden="1" x14ac:dyDescent="0.25">
      <c r="A817" s="183" t="str">
        <f ca="1">IF(E817="","",IF(B817="",YEAR(TODAY()),B817)&amp;"-"&amp;TEXT(COUNTIF($B$2:B817,IF(B817="",YEAR(TODAY()),B817))+COUNTIFS($E$2:E817,"&lt;&gt;",$B$2:B817,""),"000"))</f>
        <v/>
      </c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 hidden="1" x14ac:dyDescent="0.25">
      <c r="A818" s="183" t="str">
        <f ca="1">IF(E818="","",IF(B818="",YEAR(TODAY()),B818)&amp;"-"&amp;TEXT(COUNTIF($B$2:B818,IF(B818="",YEAR(TODAY()),B818))+COUNTIFS($E$2:E818,"&lt;&gt;",$B$2:B818,""),"000"))</f>
        <v/>
      </c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 hidden="1" x14ac:dyDescent="0.25">
      <c r="A819" s="183" t="str">
        <f ca="1">IF(E819="","",IF(B819="",YEAR(TODAY()),B819)&amp;"-"&amp;TEXT(COUNTIF($B$2:B819,IF(B819="",YEAR(TODAY()),B819))+COUNTIFS($E$2:E819,"&lt;&gt;",$B$2:B819,""),"000"))</f>
        <v/>
      </c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 hidden="1" x14ac:dyDescent="0.25">
      <c r="A820" s="183" t="str">
        <f ca="1">IF(E820="","",IF(B820="",YEAR(TODAY()),B820)&amp;"-"&amp;TEXT(COUNTIF($B$2:B820,IF(B820="",YEAR(TODAY()),B820))+COUNTIFS($E$2:E820,"&lt;&gt;",$B$2:B820,""),"000"))</f>
        <v/>
      </c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 hidden="1" x14ac:dyDescent="0.25">
      <c r="A821" s="183" t="str">
        <f ca="1">IF(E821="","",IF(B821="",YEAR(TODAY()),B821)&amp;"-"&amp;TEXT(COUNTIF($B$2:B821,IF(B821="",YEAR(TODAY()),B821))+COUNTIFS($E$2:E821,"&lt;&gt;",$B$2:B821,""),"000"))</f>
        <v/>
      </c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 hidden="1" x14ac:dyDescent="0.25">
      <c r="A822" s="183" t="str">
        <f ca="1">IF(E822="","",IF(B822="",YEAR(TODAY()),B822)&amp;"-"&amp;TEXT(COUNTIF($B$2:B822,IF(B822="",YEAR(TODAY()),B822))+COUNTIFS($E$2:E822,"&lt;&gt;",$B$2:B822,""),"000"))</f>
        <v/>
      </c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 hidden="1" x14ac:dyDescent="0.25">
      <c r="A823" s="183" t="str">
        <f ca="1">IF(E823="","",IF(B823="",YEAR(TODAY()),B823)&amp;"-"&amp;TEXT(COUNTIF($B$2:B823,IF(B823="",YEAR(TODAY()),B823))+COUNTIFS($E$2:E823,"&lt;&gt;",$B$2:B823,""),"000"))</f>
        <v/>
      </c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 hidden="1" x14ac:dyDescent="0.25">
      <c r="A824" s="183" t="str">
        <f ca="1">IF(E824="","",IF(B824="",YEAR(TODAY()),B824)&amp;"-"&amp;TEXT(COUNTIF($B$2:B824,IF(B824="",YEAR(TODAY()),B824))+COUNTIFS($E$2:E824,"&lt;&gt;",$B$2:B824,""),"000"))</f>
        <v/>
      </c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 hidden="1" x14ac:dyDescent="0.25">
      <c r="A825" s="183" t="str">
        <f ca="1">IF(E825="","",IF(B825="",YEAR(TODAY()),B825)&amp;"-"&amp;TEXT(COUNTIF($B$2:B825,IF(B825="",YEAR(TODAY()),B825))+COUNTIFS($E$2:E825,"&lt;&gt;",$B$2:B825,""),"000"))</f>
        <v/>
      </c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 hidden="1" x14ac:dyDescent="0.25">
      <c r="A826" s="183" t="str">
        <f ca="1">IF(E826="","",IF(B826="",YEAR(TODAY()),B826)&amp;"-"&amp;TEXT(COUNTIF($B$2:B826,IF(B826="",YEAR(TODAY()),B826))+COUNTIFS($E$2:E826,"&lt;&gt;",$B$2:B826,""),"000"))</f>
        <v/>
      </c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 hidden="1" x14ac:dyDescent="0.25">
      <c r="A827" s="183" t="str">
        <f ca="1">IF(E827="","",IF(B827="",YEAR(TODAY()),B827)&amp;"-"&amp;TEXT(COUNTIF($B$2:B827,IF(B827="",YEAR(TODAY()),B827))+COUNTIFS($E$2:E827,"&lt;&gt;",$B$2:B827,""),"000"))</f>
        <v/>
      </c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 hidden="1" x14ac:dyDescent="0.25">
      <c r="A828" s="183" t="str">
        <f ca="1">IF(E828="","",IF(B828="",YEAR(TODAY()),B828)&amp;"-"&amp;TEXT(COUNTIF($B$2:B828,IF(B828="",YEAR(TODAY()),B828))+COUNTIFS($E$2:E828,"&lt;&gt;",$B$2:B828,""),"000"))</f>
        <v/>
      </c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 hidden="1" x14ac:dyDescent="0.25">
      <c r="A829" s="183" t="str">
        <f ca="1">IF(E829="","",IF(B829="",YEAR(TODAY()),B829)&amp;"-"&amp;TEXT(COUNTIF($B$2:B829,IF(B829="",YEAR(TODAY()),B829))+COUNTIFS($E$2:E829,"&lt;&gt;",$B$2:B829,""),"000"))</f>
        <v/>
      </c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 hidden="1" x14ac:dyDescent="0.25">
      <c r="A830" s="183" t="str">
        <f ca="1">IF(E830="","",IF(B830="",YEAR(TODAY()),B830)&amp;"-"&amp;TEXT(COUNTIF($B$2:B830,IF(B830="",YEAR(TODAY()),B830))+COUNTIFS($E$2:E830,"&lt;&gt;",$B$2:B830,""),"000"))</f>
        <v/>
      </c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 hidden="1" x14ac:dyDescent="0.25">
      <c r="A831" s="183" t="str">
        <f ca="1">IF(E831="","",IF(B831="",YEAR(TODAY()),B831)&amp;"-"&amp;TEXT(COUNTIF($B$2:B831,IF(B831="",YEAR(TODAY()),B831))+COUNTIFS($E$2:E831,"&lt;&gt;",$B$2:B831,""),"000"))</f>
        <v/>
      </c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 hidden="1" x14ac:dyDescent="0.25">
      <c r="A832" s="183" t="str">
        <f ca="1">IF(E832="","",IF(B832="",YEAR(TODAY()),B832)&amp;"-"&amp;TEXT(COUNTIF($B$2:B832,IF(B832="",YEAR(TODAY()),B832))+COUNTIFS($E$2:E832,"&lt;&gt;",$B$2:B832,""),"000"))</f>
        <v/>
      </c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 hidden="1" x14ac:dyDescent="0.25">
      <c r="A833" s="183" t="str">
        <f ca="1">IF(E833="","",IF(B833="",YEAR(TODAY()),B833)&amp;"-"&amp;TEXT(COUNTIF($B$2:B833,IF(B833="",YEAR(TODAY()),B833))+COUNTIFS($E$2:E833,"&lt;&gt;",$B$2:B833,""),"000"))</f>
        <v/>
      </c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 hidden="1" x14ac:dyDescent="0.25">
      <c r="A834" s="183" t="str">
        <f ca="1">IF(E834="","",IF(B834="",YEAR(TODAY()),B834)&amp;"-"&amp;TEXT(COUNTIF($B$2:B834,IF(B834="",YEAR(TODAY()),B834))+COUNTIFS($E$2:E834,"&lt;&gt;",$B$2:B834,""),"000"))</f>
        <v/>
      </c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 hidden="1" x14ac:dyDescent="0.25">
      <c r="A835" s="183" t="str">
        <f ca="1">IF(E835="","",IF(B835="",YEAR(TODAY()),B835)&amp;"-"&amp;TEXT(COUNTIF($B$2:B835,IF(B835="",YEAR(TODAY()),B835))+COUNTIFS($E$2:E835,"&lt;&gt;",$B$2:B835,""),"000"))</f>
        <v/>
      </c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 hidden="1" x14ac:dyDescent="0.25">
      <c r="A836" s="183" t="str">
        <f ca="1">IF(E836="","",IF(B836="",YEAR(TODAY()),B836)&amp;"-"&amp;TEXT(COUNTIF($B$2:B836,IF(B836="",YEAR(TODAY()),B836))+COUNTIFS($E$2:E836,"&lt;&gt;",$B$2:B836,""),"000"))</f>
        <v/>
      </c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 hidden="1" x14ac:dyDescent="0.25">
      <c r="A837" s="183" t="str">
        <f ca="1">IF(E837="","",IF(B837="",YEAR(TODAY()),B837)&amp;"-"&amp;TEXT(COUNTIF($B$2:B837,IF(B837="",YEAR(TODAY()),B837))+COUNTIFS($E$2:E837,"&lt;&gt;",$B$2:B837,""),"000"))</f>
        <v/>
      </c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 hidden="1" x14ac:dyDescent="0.25">
      <c r="A838" s="183" t="str">
        <f ca="1">IF(E838="","",IF(B838="",YEAR(TODAY()),B838)&amp;"-"&amp;TEXT(COUNTIF($B$2:B838,IF(B838="",YEAR(TODAY()),B838))+COUNTIFS($E$2:E838,"&lt;&gt;",$B$2:B838,""),"000"))</f>
        <v/>
      </c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 hidden="1" x14ac:dyDescent="0.25">
      <c r="A839" s="183" t="str">
        <f ca="1">IF(E839="","",IF(B839="",YEAR(TODAY()),B839)&amp;"-"&amp;TEXT(COUNTIF($B$2:B839,IF(B839="",YEAR(TODAY()),B839))+COUNTIFS($E$2:E839,"&lt;&gt;",$B$2:B839,""),"000"))</f>
        <v/>
      </c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 hidden="1" x14ac:dyDescent="0.25">
      <c r="A840" s="183" t="str">
        <f ca="1">IF(E840="","",IF(B840="",YEAR(TODAY()),B840)&amp;"-"&amp;TEXT(COUNTIF($B$2:B840,IF(B840="",YEAR(TODAY()),B840))+COUNTIFS($E$2:E840,"&lt;&gt;",$B$2:B840,""),"000"))</f>
        <v/>
      </c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 hidden="1" x14ac:dyDescent="0.25">
      <c r="A841" s="183" t="str">
        <f ca="1">IF(E841="","",IF(B841="",YEAR(TODAY()),B841)&amp;"-"&amp;TEXT(COUNTIF($B$2:B841,IF(B841="",YEAR(TODAY()),B841))+COUNTIFS($E$2:E841,"&lt;&gt;",$B$2:B841,""),"000"))</f>
        <v/>
      </c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 hidden="1" x14ac:dyDescent="0.25">
      <c r="A842" s="183" t="str">
        <f ca="1">IF(E842="","",IF(B842="",YEAR(TODAY()),B842)&amp;"-"&amp;TEXT(COUNTIF($B$2:B842,IF(B842="",YEAR(TODAY()),B842))+COUNTIFS($E$2:E842,"&lt;&gt;",$B$2:B842,""),"000"))</f>
        <v/>
      </c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 hidden="1" x14ac:dyDescent="0.25">
      <c r="A843" s="183" t="str">
        <f ca="1">IF(E843="","",IF(B843="",YEAR(TODAY()),B843)&amp;"-"&amp;TEXT(COUNTIF($B$2:B843,IF(B843="",YEAR(TODAY()),B843))+COUNTIFS($E$2:E843,"&lt;&gt;",$B$2:B843,""),"000"))</f>
        <v/>
      </c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 hidden="1" x14ac:dyDescent="0.25">
      <c r="A844" s="183" t="str">
        <f ca="1">IF(E844="","",IF(B844="",YEAR(TODAY()),B844)&amp;"-"&amp;TEXT(COUNTIF($B$2:B844,IF(B844="",YEAR(TODAY()),B844))+COUNTIFS($E$2:E844,"&lt;&gt;",$B$2:B844,""),"000"))</f>
        <v/>
      </c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 hidden="1" x14ac:dyDescent="0.25">
      <c r="A845" s="183" t="str">
        <f ca="1">IF(E845="","",IF(B845="",YEAR(TODAY()),B845)&amp;"-"&amp;TEXT(COUNTIF($B$2:B845,IF(B845="",YEAR(TODAY()),B845))+COUNTIFS($E$2:E845,"&lt;&gt;",$B$2:B845,""),"000"))</f>
        <v/>
      </c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 hidden="1" x14ac:dyDescent="0.25">
      <c r="A846" s="183" t="str">
        <f ca="1">IF(E846="","",IF(B846="",YEAR(TODAY()),B846)&amp;"-"&amp;TEXT(COUNTIF($B$2:B846,IF(B846="",YEAR(TODAY()),B846))+COUNTIFS($E$2:E846,"&lt;&gt;",$B$2:B846,""),"000"))</f>
        <v/>
      </c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 hidden="1" x14ac:dyDescent="0.25">
      <c r="A847" s="183" t="str">
        <f ca="1">IF(E847="","",IF(B847="",YEAR(TODAY()),B847)&amp;"-"&amp;TEXT(COUNTIF($B$2:B847,IF(B847="",YEAR(TODAY()),B847))+COUNTIFS($E$2:E847,"&lt;&gt;",$B$2:B847,""),"000"))</f>
        <v/>
      </c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 hidden="1" x14ac:dyDescent="0.25">
      <c r="A848" s="183" t="str">
        <f ca="1">IF(E848="","",IF(B848="",YEAR(TODAY()),B848)&amp;"-"&amp;TEXT(COUNTIF($B$2:B848,IF(B848="",YEAR(TODAY()),B848))+COUNTIFS($E$2:E848,"&lt;&gt;",$B$2:B848,""),"000"))</f>
        <v/>
      </c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 hidden="1" x14ac:dyDescent="0.25">
      <c r="A849" s="183" t="str">
        <f ca="1">IF(E849="","",IF(B849="",YEAR(TODAY()),B849)&amp;"-"&amp;TEXT(COUNTIF($B$2:B849,IF(B849="",YEAR(TODAY()),B849))+COUNTIFS($E$2:E849,"&lt;&gt;",$B$2:B849,""),"000"))</f>
        <v/>
      </c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 hidden="1" x14ac:dyDescent="0.25">
      <c r="A850" s="183" t="str">
        <f ca="1">IF(E850="","",IF(B850="",YEAR(TODAY()),B850)&amp;"-"&amp;TEXT(COUNTIF($B$2:B850,IF(B850="",YEAR(TODAY()),B850))+COUNTIFS($E$2:E850,"&lt;&gt;",$B$2:B850,""),"000"))</f>
        <v/>
      </c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 hidden="1" x14ac:dyDescent="0.25">
      <c r="A851" s="183" t="str">
        <f ca="1">IF(E851="","",IF(B851="",YEAR(TODAY()),B851)&amp;"-"&amp;TEXT(COUNTIF($B$2:B851,IF(B851="",YEAR(TODAY()),B851))+COUNTIFS($E$2:E851,"&lt;&gt;",$B$2:B851,""),"000"))</f>
        <v/>
      </c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 hidden="1" x14ac:dyDescent="0.25">
      <c r="A852" s="183" t="str">
        <f ca="1">IF(E852="","",IF(B852="",YEAR(TODAY()),B852)&amp;"-"&amp;TEXT(COUNTIF($B$2:B852,IF(B852="",YEAR(TODAY()),B852))+COUNTIFS($E$2:E852,"&lt;&gt;",$B$2:B852,""),"000"))</f>
        <v/>
      </c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 hidden="1" x14ac:dyDescent="0.25">
      <c r="A853" s="183" t="str">
        <f ca="1">IF(E853="","",IF(B853="",YEAR(TODAY()),B853)&amp;"-"&amp;TEXT(COUNTIF($B$2:B853,IF(B853="",YEAR(TODAY()),B853))+COUNTIFS($E$2:E853,"&lt;&gt;",$B$2:B853,""),"000"))</f>
        <v/>
      </c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 hidden="1" x14ac:dyDescent="0.25">
      <c r="A854" s="183" t="str">
        <f ca="1">IF(E854="","",IF(B854="",YEAR(TODAY()),B854)&amp;"-"&amp;TEXT(COUNTIF($B$2:B854,IF(B854="",YEAR(TODAY()),B854))+COUNTIFS($E$2:E854,"&lt;&gt;",$B$2:B854,""),"000"))</f>
        <v/>
      </c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 hidden="1" x14ac:dyDescent="0.25">
      <c r="A855" s="183" t="str">
        <f ca="1">IF(E855="","",IF(B855="",YEAR(TODAY()),B855)&amp;"-"&amp;TEXT(COUNTIF($B$2:B855,IF(B855="",YEAR(TODAY()),B855))+COUNTIFS($E$2:E855,"&lt;&gt;",$B$2:B855,""),"000"))</f>
        <v/>
      </c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 hidden="1" x14ac:dyDescent="0.25">
      <c r="A856" s="183" t="str">
        <f ca="1">IF(E856="","",IF(B856="",YEAR(TODAY()),B856)&amp;"-"&amp;TEXT(COUNTIF($B$2:B856,IF(B856="",YEAR(TODAY()),B856))+COUNTIFS($E$2:E856,"&lt;&gt;",$B$2:B856,""),"000"))</f>
        <v/>
      </c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 hidden="1" x14ac:dyDescent="0.25">
      <c r="A857" s="183" t="str">
        <f ca="1">IF(E857="","",IF(B857="",YEAR(TODAY()),B857)&amp;"-"&amp;TEXT(COUNTIF($B$2:B857,IF(B857="",YEAR(TODAY()),B857))+COUNTIFS($E$2:E857,"&lt;&gt;",$B$2:B857,""),"000"))</f>
        <v/>
      </c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 hidden="1" x14ac:dyDescent="0.25">
      <c r="A858" s="183" t="str">
        <f ca="1">IF(E858="","",IF(B858="",YEAR(TODAY()),B858)&amp;"-"&amp;TEXT(COUNTIF($B$2:B858,IF(B858="",YEAR(TODAY()),B858))+COUNTIFS($E$2:E858,"&lt;&gt;",$B$2:B858,""),"000"))</f>
        <v/>
      </c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 hidden="1" x14ac:dyDescent="0.25">
      <c r="A859" s="183" t="str">
        <f ca="1">IF(E859="","",IF(B859="",YEAR(TODAY()),B859)&amp;"-"&amp;TEXT(COUNTIF($B$2:B859,IF(B859="",YEAR(TODAY()),B859))+COUNTIFS($E$2:E859,"&lt;&gt;",$B$2:B859,""),"000"))</f>
        <v/>
      </c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 hidden="1" x14ac:dyDescent="0.25">
      <c r="A860" s="183" t="str">
        <f ca="1">IF(E860="","",IF(B860="",YEAR(TODAY()),B860)&amp;"-"&amp;TEXT(COUNTIF($B$2:B860,IF(B860="",YEAR(TODAY()),B860))+COUNTIFS($E$2:E860,"&lt;&gt;",$B$2:B860,""),"000"))</f>
        <v/>
      </c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 hidden="1" x14ac:dyDescent="0.25">
      <c r="A861" s="183" t="str">
        <f ca="1">IF(E861="","",IF(B861="",YEAR(TODAY()),B861)&amp;"-"&amp;TEXT(COUNTIF($B$2:B861,IF(B861="",YEAR(TODAY()),B861))+COUNTIFS($E$2:E861,"&lt;&gt;",$B$2:B861,""),"000"))</f>
        <v/>
      </c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 hidden="1" x14ac:dyDescent="0.25">
      <c r="A862" s="183" t="str">
        <f ca="1">IF(E862="","",IF(B862="",YEAR(TODAY()),B862)&amp;"-"&amp;TEXT(COUNTIF($B$2:B862,IF(B862="",YEAR(TODAY()),B862))+COUNTIFS($E$2:E862,"&lt;&gt;",$B$2:B862,""),"000"))</f>
        <v/>
      </c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 hidden="1" x14ac:dyDescent="0.25">
      <c r="A863" s="183" t="str">
        <f ca="1">IF(E863="","",IF(B863="",YEAR(TODAY()),B863)&amp;"-"&amp;TEXT(COUNTIF($B$2:B863,IF(B863="",YEAR(TODAY()),B863))+COUNTIFS($E$2:E863,"&lt;&gt;",$B$2:B863,""),"000"))</f>
        <v/>
      </c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 hidden="1" x14ac:dyDescent="0.25">
      <c r="A864" s="183" t="str">
        <f ca="1">IF(E864="","",IF(B864="",YEAR(TODAY()),B864)&amp;"-"&amp;TEXT(COUNTIF($B$2:B864,IF(B864="",YEAR(TODAY()),B864))+COUNTIFS($E$2:E864,"&lt;&gt;",$B$2:B864,""),"000"))</f>
        <v/>
      </c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 hidden="1" x14ac:dyDescent="0.25">
      <c r="A865" s="183" t="str">
        <f ca="1">IF(E865="","",IF(B865="",YEAR(TODAY()),B865)&amp;"-"&amp;TEXT(COUNTIF($B$2:B865,IF(B865="",YEAR(TODAY()),B865))+COUNTIFS($E$2:E865,"&lt;&gt;",$B$2:B865,""),"000"))</f>
        <v/>
      </c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 hidden="1" x14ac:dyDescent="0.25">
      <c r="A866" s="183" t="str">
        <f ca="1">IF(E866="","",IF(B866="",YEAR(TODAY()),B866)&amp;"-"&amp;TEXT(COUNTIF($B$2:B866,IF(B866="",YEAR(TODAY()),B866))+COUNTIFS($E$2:E866,"&lt;&gt;",$B$2:B866,""),"000"))</f>
        <v/>
      </c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 hidden="1" x14ac:dyDescent="0.25">
      <c r="A867" s="183" t="str">
        <f ca="1">IF(E867="","",IF(B867="",YEAR(TODAY()),B867)&amp;"-"&amp;TEXT(COUNTIF($B$2:B867,IF(B867="",YEAR(TODAY()),B867))+COUNTIFS($E$2:E867,"&lt;&gt;",$B$2:B867,""),"000"))</f>
        <v/>
      </c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 hidden="1" x14ac:dyDescent="0.25">
      <c r="A868" s="183" t="str">
        <f ca="1">IF(E868="","",IF(B868="",YEAR(TODAY()),B868)&amp;"-"&amp;TEXT(COUNTIF($B$2:B868,IF(B868="",YEAR(TODAY()),B868))+COUNTIFS($E$2:E868,"&lt;&gt;",$B$2:B868,""),"000"))</f>
        <v/>
      </c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 hidden="1" x14ac:dyDescent="0.25">
      <c r="A869" s="183" t="str">
        <f ca="1">IF(E869="","",IF(B869="",YEAR(TODAY()),B869)&amp;"-"&amp;TEXT(COUNTIF($B$2:B869,IF(B869="",YEAR(TODAY()),B869))+COUNTIFS($E$2:E869,"&lt;&gt;",$B$2:B869,""),"000"))</f>
        <v/>
      </c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 hidden="1" x14ac:dyDescent="0.25">
      <c r="A870" s="183" t="str">
        <f ca="1">IF(E870="","",IF(B870="",YEAR(TODAY()),B870)&amp;"-"&amp;TEXT(COUNTIF($B$2:B870,IF(B870="",YEAR(TODAY()),B870))+COUNTIFS($E$2:E870,"&lt;&gt;",$B$2:B870,""),"000"))</f>
        <v/>
      </c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 hidden="1" x14ac:dyDescent="0.25">
      <c r="A871" s="183" t="str">
        <f ca="1">IF(E871="","",IF(B871="",YEAR(TODAY()),B871)&amp;"-"&amp;TEXT(COUNTIF($B$2:B871,IF(B871="",YEAR(TODAY()),B871))+COUNTIFS($E$2:E871,"&lt;&gt;",$B$2:B871,""),"000"))</f>
        <v/>
      </c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 hidden="1" x14ac:dyDescent="0.25">
      <c r="A872" s="183" t="str">
        <f ca="1">IF(E872="","",IF(B872="",YEAR(TODAY()),B872)&amp;"-"&amp;TEXT(COUNTIF($B$2:B872,IF(B872="",YEAR(TODAY()),B872))+COUNTIFS($E$2:E872,"&lt;&gt;",$B$2:B872,""),"000"))</f>
        <v/>
      </c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 hidden="1" x14ac:dyDescent="0.25">
      <c r="A873" s="183" t="str">
        <f ca="1">IF(E873="","",IF(B873="",YEAR(TODAY()),B873)&amp;"-"&amp;TEXT(COUNTIF($B$2:B873,IF(B873="",YEAR(TODAY()),B873))+COUNTIFS($E$2:E873,"&lt;&gt;",$B$2:B873,""),"000"))</f>
        <v/>
      </c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 hidden="1" x14ac:dyDescent="0.25">
      <c r="A874" s="183" t="str">
        <f ca="1">IF(E874="","",IF(B874="",YEAR(TODAY()),B874)&amp;"-"&amp;TEXT(COUNTIF($B$2:B874,IF(B874="",YEAR(TODAY()),B874))+COUNTIFS($E$2:E874,"&lt;&gt;",$B$2:B874,""),"000"))</f>
        <v/>
      </c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 hidden="1" x14ac:dyDescent="0.25">
      <c r="A875" s="183" t="str">
        <f ca="1">IF(E875="","",IF(B875="",YEAR(TODAY()),B875)&amp;"-"&amp;TEXT(COUNTIF($B$2:B875,IF(B875="",YEAR(TODAY()),B875))+COUNTIFS($E$2:E875,"&lt;&gt;",$B$2:B875,""),"000"))</f>
        <v/>
      </c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 hidden="1" x14ac:dyDescent="0.25">
      <c r="A876" s="183" t="str">
        <f ca="1">IF(E876="","",IF(B876="",YEAR(TODAY()),B876)&amp;"-"&amp;TEXT(COUNTIF($B$2:B876,IF(B876="",YEAR(TODAY()),B876))+COUNTIFS($E$2:E876,"&lt;&gt;",$B$2:B876,""),"000"))</f>
        <v/>
      </c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 hidden="1" x14ac:dyDescent="0.25">
      <c r="A877" s="183" t="str">
        <f ca="1">IF(E877="","",IF(B877="",YEAR(TODAY()),B877)&amp;"-"&amp;TEXT(COUNTIF($B$2:B877,IF(B877="",YEAR(TODAY()),B877))+COUNTIFS($E$2:E877,"&lt;&gt;",$B$2:B877,""),"000"))</f>
        <v/>
      </c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 hidden="1" x14ac:dyDescent="0.25">
      <c r="A878" s="183" t="str">
        <f ca="1">IF(E878="","",IF(B878="",YEAR(TODAY()),B878)&amp;"-"&amp;TEXT(COUNTIF($B$2:B878,IF(B878="",YEAR(TODAY()),B878))+COUNTIFS($E$2:E878,"&lt;&gt;",$B$2:B878,""),"000"))</f>
        <v/>
      </c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 hidden="1" x14ac:dyDescent="0.25">
      <c r="A879" s="183" t="str">
        <f ca="1">IF(E879="","",IF(B879="",YEAR(TODAY()),B879)&amp;"-"&amp;TEXT(COUNTIF($B$2:B879,IF(B879="",YEAR(TODAY()),B879))+COUNTIFS($E$2:E879,"&lt;&gt;",$B$2:B879,""),"000"))</f>
        <v/>
      </c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 hidden="1" x14ac:dyDescent="0.25">
      <c r="A880" s="183" t="str">
        <f ca="1">IF(E880="","",IF(B880="",YEAR(TODAY()),B880)&amp;"-"&amp;TEXT(COUNTIF($B$2:B880,IF(B880="",YEAR(TODAY()),B880))+COUNTIFS($E$2:E880,"&lt;&gt;",$B$2:B880,""),"000"))</f>
        <v/>
      </c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 hidden="1" x14ac:dyDescent="0.25">
      <c r="A881" s="183" t="str">
        <f ca="1">IF(E881="","",IF(B881="",YEAR(TODAY()),B881)&amp;"-"&amp;TEXT(COUNTIF($B$2:B881,IF(B881="",YEAR(TODAY()),B881))+COUNTIFS($E$2:E881,"&lt;&gt;",$B$2:B881,""),"000"))</f>
        <v/>
      </c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 hidden="1" x14ac:dyDescent="0.25">
      <c r="A882" s="183" t="str">
        <f ca="1">IF(E882="","",IF(B882="",YEAR(TODAY()),B882)&amp;"-"&amp;TEXT(COUNTIF($B$2:B882,IF(B882="",YEAR(TODAY()),B882))+COUNTIFS($E$2:E882,"&lt;&gt;",$B$2:B882,""),"000"))</f>
        <v/>
      </c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 hidden="1" x14ac:dyDescent="0.25">
      <c r="A883" s="183" t="str">
        <f ca="1">IF(E883="","",IF(B883="",YEAR(TODAY()),B883)&amp;"-"&amp;TEXT(COUNTIF($B$2:B883,IF(B883="",YEAR(TODAY()),B883))+COUNTIFS($E$2:E883,"&lt;&gt;",$B$2:B883,""),"000"))</f>
        <v/>
      </c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 hidden="1" x14ac:dyDescent="0.25">
      <c r="A884" s="183" t="str">
        <f ca="1">IF(E884="","",IF(B884="",YEAR(TODAY()),B884)&amp;"-"&amp;TEXT(COUNTIF($B$2:B884,IF(B884="",YEAR(TODAY()),B884))+COUNTIFS($E$2:E884,"&lt;&gt;",$B$2:B884,""),"000"))</f>
        <v/>
      </c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 hidden="1" x14ac:dyDescent="0.25">
      <c r="A885" s="183" t="str">
        <f ca="1">IF(E885="","",IF(B885="",YEAR(TODAY()),B885)&amp;"-"&amp;TEXT(COUNTIF($B$2:B885,IF(B885="",YEAR(TODAY()),B885))+COUNTIFS($E$2:E885,"&lt;&gt;",$B$2:B885,""),"000"))</f>
        <v/>
      </c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 hidden="1" x14ac:dyDescent="0.25">
      <c r="A886" s="183" t="str">
        <f ca="1">IF(E886="","",IF(B886="",YEAR(TODAY()),B886)&amp;"-"&amp;TEXT(COUNTIF($B$2:B886,IF(B886="",YEAR(TODAY()),B886))+COUNTIFS($E$2:E886,"&lt;&gt;",$B$2:B886,""),"000"))</f>
        <v/>
      </c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 hidden="1" x14ac:dyDescent="0.25">
      <c r="A887" s="183" t="str">
        <f ca="1">IF(E887="","",IF(B887="",YEAR(TODAY()),B887)&amp;"-"&amp;TEXT(COUNTIF($B$2:B887,IF(B887="",YEAR(TODAY()),B887))+COUNTIFS($E$2:E887,"&lt;&gt;",$B$2:B887,""),"000"))</f>
        <v/>
      </c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 hidden="1" x14ac:dyDescent="0.25">
      <c r="A888" s="183" t="str">
        <f ca="1">IF(E888="","",IF(B888="",YEAR(TODAY()),B888)&amp;"-"&amp;TEXT(COUNTIF($B$2:B888,IF(B888="",YEAR(TODAY()),B888))+COUNTIFS($E$2:E888,"&lt;&gt;",$B$2:B888,""),"000"))</f>
        <v/>
      </c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 hidden="1" x14ac:dyDescent="0.25">
      <c r="A889" s="183" t="str">
        <f ca="1">IF(E889="","",IF(B889="",YEAR(TODAY()),B889)&amp;"-"&amp;TEXT(COUNTIF($B$2:B889,IF(B889="",YEAR(TODAY()),B889))+COUNTIFS($E$2:E889,"&lt;&gt;",$B$2:B889,""),"000"))</f>
        <v/>
      </c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 hidden="1" x14ac:dyDescent="0.25">
      <c r="A890" s="183" t="str">
        <f ca="1">IF(E890="","",IF(B890="",YEAR(TODAY()),B890)&amp;"-"&amp;TEXT(COUNTIF($B$2:B890,IF(B890="",YEAR(TODAY()),B890))+COUNTIFS($E$2:E890,"&lt;&gt;",$B$2:B890,""),"000"))</f>
        <v/>
      </c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 hidden="1" x14ac:dyDescent="0.25">
      <c r="A891" s="183" t="str">
        <f ca="1">IF(E891="","",IF(B891="",YEAR(TODAY()),B891)&amp;"-"&amp;TEXT(COUNTIF($B$2:B891,IF(B891="",YEAR(TODAY()),B891))+COUNTIFS($E$2:E891,"&lt;&gt;",$B$2:B891,""),"000"))</f>
        <v/>
      </c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 hidden="1" x14ac:dyDescent="0.25">
      <c r="A892" s="183" t="str">
        <f ca="1">IF(E892="","",IF(B892="",YEAR(TODAY()),B892)&amp;"-"&amp;TEXT(COUNTIF($B$2:B892,IF(B892="",YEAR(TODAY()),B892))+COUNTIFS($E$2:E892,"&lt;&gt;",$B$2:B892,""),"000"))</f>
        <v/>
      </c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 hidden="1" x14ac:dyDescent="0.25">
      <c r="A893" s="183" t="str">
        <f ca="1">IF(E893="","",IF(B893="",YEAR(TODAY()),B893)&amp;"-"&amp;TEXT(COUNTIF($B$2:B893,IF(B893="",YEAR(TODAY()),B893))+COUNTIFS($E$2:E893,"&lt;&gt;",$B$2:B893,""),"000"))</f>
        <v/>
      </c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 hidden="1" x14ac:dyDescent="0.25">
      <c r="A894" s="183" t="str">
        <f ca="1">IF(E894="","",IF(B894="",YEAR(TODAY()),B894)&amp;"-"&amp;TEXT(COUNTIF($B$2:B894,IF(B894="",YEAR(TODAY()),B894))+COUNTIFS($E$2:E894,"&lt;&gt;",$B$2:B894,""),"000"))</f>
        <v/>
      </c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 hidden="1" x14ac:dyDescent="0.25">
      <c r="A895" s="183" t="str">
        <f ca="1">IF(E895="","",IF(B895="",YEAR(TODAY()),B895)&amp;"-"&amp;TEXT(COUNTIF($B$2:B895,IF(B895="",YEAR(TODAY()),B895))+COUNTIFS($E$2:E895,"&lt;&gt;",$B$2:B895,""),"000"))</f>
        <v/>
      </c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 hidden="1" x14ac:dyDescent="0.25">
      <c r="A896" s="183" t="str">
        <f ca="1">IF(E896="","",IF(B896="",YEAR(TODAY()),B896)&amp;"-"&amp;TEXT(COUNTIF($B$2:B896,IF(B896="",YEAR(TODAY()),B896))+COUNTIFS($E$2:E896,"&lt;&gt;",$B$2:B896,""),"000"))</f>
        <v/>
      </c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 hidden="1" x14ac:dyDescent="0.25">
      <c r="A897" s="183" t="str">
        <f ca="1">IF(E897="","",IF(B897="",YEAR(TODAY()),B897)&amp;"-"&amp;TEXT(COUNTIF($B$2:B897,IF(B897="",YEAR(TODAY()),B897))+COUNTIFS($E$2:E897,"&lt;&gt;",$B$2:B897,""),"000"))</f>
        <v/>
      </c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 hidden="1" x14ac:dyDescent="0.25">
      <c r="A898" s="183" t="str">
        <f ca="1">IF(E898="","",IF(B898="",YEAR(TODAY()),B898)&amp;"-"&amp;TEXT(COUNTIF($B$2:B898,IF(B898="",YEAR(TODAY()),B898))+COUNTIFS($E$2:E898,"&lt;&gt;",$B$2:B898,""),"000"))</f>
        <v/>
      </c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 hidden="1" x14ac:dyDescent="0.25">
      <c r="A899" s="183" t="str">
        <f ca="1">IF(E899="","",IF(B899="",YEAR(TODAY()),B899)&amp;"-"&amp;TEXT(COUNTIF($B$2:B899,IF(B899="",YEAR(TODAY()),B899))+COUNTIFS($E$2:E899,"&lt;&gt;",$B$2:B899,""),"000"))</f>
        <v/>
      </c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 hidden="1" x14ac:dyDescent="0.25">
      <c r="A900" s="183" t="str">
        <f ca="1">IF(E900="","",IF(B900="",YEAR(TODAY()),B900)&amp;"-"&amp;TEXT(COUNTIF($B$2:B900,IF(B900="",YEAR(TODAY()),B900))+COUNTIFS($E$2:E900,"&lt;&gt;",$B$2:B900,""),"000"))</f>
        <v/>
      </c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 hidden="1" x14ac:dyDescent="0.25">
      <c r="A901" s="183" t="str">
        <f ca="1">IF(E901="","",IF(B901="",YEAR(TODAY()),B901)&amp;"-"&amp;TEXT(COUNTIF($B$2:B901,IF(B901="",YEAR(TODAY()),B901))+COUNTIFS($E$2:E901,"&lt;&gt;",$B$2:B901,""),"000"))</f>
        <v/>
      </c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 hidden="1" x14ac:dyDescent="0.25">
      <c r="A902" s="183" t="str">
        <f ca="1">IF(E902="","",IF(B902="",YEAR(TODAY()),B902)&amp;"-"&amp;TEXT(COUNTIF($B$2:B902,IF(B902="",YEAR(TODAY()),B902))+COUNTIFS($E$2:E902,"&lt;&gt;",$B$2:B902,""),"000"))</f>
        <v/>
      </c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 hidden="1" x14ac:dyDescent="0.25">
      <c r="A903" s="183" t="str">
        <f ca="1">IF(E903="","",IF(B903="",YEAR(TODAY()),B903)&amp;"-"&amp;TEXT(COUNTIF($B$2:B903,IF(B903="",YEAR(TODAY()),B903))+COUNTIFS($E$2:E903,"&lt;&gt;",$B$2:B903,""),"000"))</f>
        <v/>
      </c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 hidden="1" x14ac:dyDescent="0.25">
      <c r="A904" s="183" t="str">
        <f ca="1">IF(E904="","",IF(B904="",YEAR(TODAY()),B904)&amp;"-"&amp;TEXT(COUNTIF($B$2:B904,IF(B904="",YEAR(TODAY()),B904))+COUNTIFS($E$2:E904,"&lt;&gt;",$B$2:B904,""),"000"))</f>
        <v/>
      </c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 hidden="1" x14ac:dyDescent="0.25">
      <c r="A905" s="183" t="str">
        <f ca="1">IF(E905="","",IF(B905="",YEAR(TODAY()),B905)&amp;"-"&amp;TEXT(COUNTIF($B$2:B905,IF(B905="",YEAR(TODAY()),B905))+COUNTIFS($E$2:E905,"&lt;&gt;",$B$2:B905,""),"000"))</f>
        <v/>
      </c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 hidden="1" x14ac:dyDescent="0.25">
      <c r="A906" s="183" t="str">
        <f ca="1">IF(E906="","",IF(B906="",YEAR(TODAY()),B906)&amp;"-"&amp;TEXT(COUNTIF($B$2:B906,IF(B906="",YEAR(TODAY()),B906))+COUNTIFS($E$2:E906,"&lt;&gt;",$B$2:B906,""),"000"))</f>
        <v/>
      </c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 hidden="1" x14ac:dyDescent="0.25">
      <c r="A907" s="183" t="str">
        <f ca="1">IF(E907="","",IF(B907="",YEAR(TODAY()),B907)&amp;"-"&amp;TEXT(COUNTIF($B$2:B907,IF(B907="",YEAR(TODAY()),B907))+COUNTIFS($E$2:E907,"&lt;&gt;",$B$2:B907,""),"000"))</f>
        <v/>
      </c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 hidden="1" x14ac:dyDescent="0.25">
      <c r="A908" s="183" t="str">
        <f ca="1">IF(E908="","",IF(B908="",YEAR(TODAY()),B908)&amp;"-"&amp;TEXT(COUNTIF($B$2:B908,IF(B908="",YEAR(TODAY()),B908))+COUNTIFS($E$2:E908,"&lt;&gt;",$B$2:B908,""),"000"))</f>
        <v/>
      </c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 hidden="1" x14ac:dyDescent="0.25">
      <c r="A909" s="183" t="str">
        <f ca="1">IF(E909="","",IF(B909="",YEAR(TODAY()),B909)&amp;"-"&amp;TEXT(COUNTIF($B$2:B909,IF(B909="",YEAR(TODAY()),B909))+COUNTIFS($E$2:E909,"&lt;&gt;",$B$2:B909,""),"000"))</f>
        <v/>
      </c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 hidden="1" x14ac:dyDescent="0.25">
      <c r="A910" s="183" t="str">
        <f ca="1">IF(E910="","",IF(B910="",YEAR(TODAY()),B910)&amp;"-"&amp;TEXT(COUNTIF($B$2:B910,IF(B910="",YEAR(TODAY()),B910))+COUNTIFS($E$2:E910,"&lt;&gt;",$B$2:B910,""),"000"))</f>
        <v/>
      </c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 hidden="1" x14ac:dyDescent="0.25">
      <c r="A911" s="183" t="str">
        <f ca="1">IF(E911="","",IF(B911="",YEAR(TODAY()),B911)&amp;"-"&amp;TEXT(COUNTIF($B$2:B911,IF(B911="",YEAR(TODAY()),B911))+COUNTIFS($E$2:E911,"&lt;&gt;",$B$2:B911,""),"000"))</f>
        <v/>
      </c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 hidden="1" x14ac:dyDescent="0.25">
      <c r="A912" s="183" t="str">
        <f ca="1">IF(E912="","",IF(B912="",YEAR(TODAY()),B912)&amp;"-"&amp;TEXT(COUNTIF($B$2:B912,IF(B912="",YEAR(TODAY()),B912))+COUNTIFS($E$2:E912,"&lt;&gt;",$B$2:B912,""),"000"))</f>
        <v/>
      </c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 hidden="1" x14ac:dyDescent="0.25">
      <c r="A913" s="183" t="str">
        <f ca="1">IF(E913="","",IF(B913="",YEAR(TODAY()),B913)&amp;"-"&amp;TEXT(COUNTIF($B$2:B913,IF(B913="",YEAR(TODAY()),B913))+COUNTIFS($E$2:E913,"&lt;&gt;",$B$2:B913,""),"000"))</f>
        <v/>
      </c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 hidden="1" x14ac:dyDescent="0.25">
      <c r="A914" s="183" t="str">
        <f ca="1">IF(E914="","",IF(B914="",YEAR(TODAY()),B914)&amp;"-"&amp;TEXT(COUNTIF($B$2:B914,IF(B914="",YEAR(TODAY()),B914))+COUNTIFS($E$2:E914,"&lt;&gt;",$B$2:B914,""),"000"))</f>
        <v/>
      </c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 hidden="1" x14ac:dyDescent="0.25">
      <c r="A915" s="183" t="str">
        <f ca="1">IF(E915="","",IF(B915="",YEAR(TODAY()),B915)&amp;"-"&amp;TEXT(COUNTIF($B$2:B915,IF(B915="",YEAR(TODAY()),B915))+COUNTIFS($E$2:E915,"&lt;&gt;",$B$2:B915,""),"000"))</f>
        <v/>
      </c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 hidden="1" x14ac:dyDescent="0.25">
      <c r="A916" s="183" t="str">
        <f ca="1">IF(E916="","",IF(B916="",YEAR(TODAY()),B916)&amp;"-"&amp;TEXT(COUNTIF($B$2:B916,IF(B916="",YEAR(TODAY()),B916))+COUNTIFS($E$2:E916,"&lt;&gt;",$B$2:B916,""),"000"))</f>
        <v/>
      </c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 hidden="1" x14ac:dyDescent="0.25">
      <c r="A917" s="183" t="str">
        <f ca="1">IF(E917="","",IF(B917="",YEAR(TODAY()),B917)&amp;"-"&amp;TEXT(COUNTIF($B$2:B917,IF(B917="",YEAR(TODAY()),B917))+COUNTIFS($E$2:E917,"&lt;&gt;",$B$2:B917,""),"000"))</f>
        <v/>
      </c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 hidden="1" x14ac:dyDescent="0.25">
      <c r="A918" s="183" t="str">
        <f ca="1">IF(E918="","",IF(B918="",YEAR(TODAY()),B918)&amp;"-"&amp;TEXT(COUNTIF($B$2:B918,IF(B918="",YEAR(TODAY()),B918))+COUNTIFS($E$2:E918,"&lt;&gt;",$B$2:B918,""),"000"))</f>
        <v/>
      </c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 hidden="1" x14ac:dyDescent="0.25">
      <c r="A919" s="183" t="str">
        <f ca="1">IF(E919="","",IF(B919="",YEAR(TODAY()),B919)&amp;"-"&amp;TEXT(COUNTIF($B$2:B919,IF(B919="",YEAR(TODAY()),B919))+COUNTIFS($E$2:E919,"&lt;&gt;",$B$2:B919,""),"000"))</f>
        <v/>
      </c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 hidden="1" x14ac:dyDescent="0.25">
      <c r="A920" s="183" t="str">
        <f ca="1">IF(E920="","",IF(B920="",YEAR(TODAY()),B920)&amp;"-"&amp;TEXT(COUNTIF($B$2:B920,IF(B920="",YEAR(TODAY()),B920))+COUNTIFS($E$2:E920,"&lt;&gt;",$B$2:B920,""),"000"))</f>
        <v/>
      </c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 hidden="1" x14ac:dyDescent="0.25">
      <c r="A921" s="183" t="str">
        <f ca="1">IF(E921="","",IF(B921="",YEAR(TODAY()),B921)&amp;"-"&amp;TEXT(COUNTIF($B$2:B921,IF(B921="",YEAR(TODAY()),B921))+COUNTIFS($E$2:E921,"&lt;&gt;",$B$2:B921,""),"000"))</f>
        <v/>
      </c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 hidden="1" x14ac:dyDescent="0.25">
      <c r="A922" s="183" t="str">
        <f ca="1">IF(E922="","",IF(B922="",YEAR(TODAY()),B922)&amp;"-"&amp;TEXT(COUNTIF($B$2:B922,IF(B922="",YEAR(TODAY()),B922))+COUNTIFS($E$2:E922,"&lt;&gt;",$B$2:B922,""),"000"))</f>
        <v/>
      </c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 hidden="1" x14ac:dyDescent="0.25">
      <c r="A923" s="183" t="str">
        <f ca="1">IF(E923="","",IF(B923="",YEAR(TODAY()),B923)&amp;"-"&amp;TEXT(COUNTIF($B$2:B923,IF(B923="",YEAR(TODAY()),B923))+COUNTIFS($E$2:E923,"&lt;&gt;",$B$2:B923,""),"000"))</f>
        <v/>
      </c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 hidden="1" x14ac:dyDescent="0.25">
      <c r="A924" s="183" t="str">
        <f ca="1">IF(E924="","",IF(B924="",YEAR(TODAY()),B924)&amp;"-"&amp;TEXT(COUNTIF($B$2:B924,IF(B924="",YEAR(TODAY()),B924))+COUNTIFS($E$2:E924,"&lt;&gt;",$B$2:B924,""),"000"))</f>
        <v/>
      </c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 hidden="1" x14ac:dyDescent="0.25">
      <c r="A925" s="183" t="str">
        <f ca="1">IF(E925="","",IF(B925="",YEAR(TODAY()),B925)&amp;"-"&amp;TEXT(COUNTIF($B$2:B925,IF(B925="",YEAR(TODAY()),B925))+COUNTIFS($E$2:E925,"&lt;&gt;",$B$2:B925,""),"000"))</f>
        <v/>
      </c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 hidden="1" x14ac:dyDescent="0.25">
      <c r="A926" s="183" t="str">
        <f ca="1">IF(E926="","",IF(B926="",YEAR(TODAY()),B926)&amp;"-"&amp;TEXT(COUNTIF($B$2:B926,IF(B926="",YEAR(TODAY()),B926))+COUNTIFS($E$2:E926,"&lt;&gt;",$B$2:B926,""),"000"))</f>
        <v/>
      </c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 hidden="1" x14ac:dyDescent="0.25">
      <c r="A927" s="183" t="str">
        <f ca="1">IF(E927="","",IF(B927="",YEAR(TODAY()),B927)&amp;"-"&amp;TEXT(COUNTIF($B$2:B927,IF(B927="",YEAR(TODAY()),B927))+COUNTIFS($E$2:E927,"&lt;&gt;",$B$2:B927,""),"000"))</f>
        <v/>
      </c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 hidden="1" x14ac:dyDescent="0.25">
      <c r="A928" s="183" t="str">
        <f ca="1">IF(E928="","",IF(B928="",YEAR(TODAY()),B928)&amp;"-"&amp;TEXT(COUNTIF($B$2:B928,IF(B928="",YEAR(TODAY()),B928))+COUNTIFS($E$2:E928,"&lt;&gt;",$B$2:B928,""),"000"))</f>
        <v/>
      </c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 hidden="1" x14ac:dyDescent="0.25">
      <c r="A929" s="183" t="str">
        <f ca="1">IF(E929="","",IF(B929="",YEAR(TODAY()),B929)&amp;"-"&amp;TEXT(COUNTIF($B$2:B929,IF(B929="",YEAR(TODAY()),B929))+COUNTIFS($E$2:E929,"&lt;&gt;",$B$2:B929,""),"000"))</f>
        <v/>
      </c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 hidden="1" x14ac:dyDescent="0.25">
      <c r="A930" s="183" t="str">
        <f ca="1">IF(E930="","",IF(B930="",YEAR(TODAY()),B930)&amp;"-"&amp;TEXT(COUNTIF($B$2:B930,IF(B930="",YEAR(TODAY()),B930))+COUNTIFS($E$2:E930,"&lt;&gt;",$B$2:B930,""),"000"))</f>
        <v/>
      </c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 hidden="1" x14ac:dyDescent="0.25">
      <c r="A931" s="183" t="str">
        <f ca="1">IF(E931="","",IF(B931="",YEAR(TODAY()),B931)&amp;"-"&amp;TEXT(COUNTIF($B$2:B931,IF(B931="",YEAR(TODAY()),B931))+COUNTIFS($E$2:E931,"&lt;&gt;",$B$2:B931,""),"000"))</f>
        <v/>
      </c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 hidden="1" x14ac:dyDescent="0.25">
      <c r="A932" s="183" t="str">
        <f ca="1">IF(E932="","",IF(B932="",YEAR(TODAY()),B932)&amp;"-"&amp;TEXT(COUNTIF($B$2:B932,IF(B932="",YEAR(TODAY()),B932))+COUNTIFS($E$2:E932,"&lt;&gt;",$B$2:B932,""),"000"))</f>
        <v/>
      </c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 hidden="1" x14ac:dyDescent="0.25">
      <c r="A933" s="183" t="str">
        <f ca="1">IF(E933="","",IF(B933="",YEAR(TODAY()),B933)&amp;"-"&amp;TEXT(COUNTIF($B$2:B933,IF(B933="",YEAR(TODAY()),B933))+COUNTIFS($E$2:E933,"&lt;&gt;",$B$2:B933,""),"000"))</f>
        <v/>
      </c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 hidden="1" x14ac:dyDescent="0.25">
      <c r="A934" s="183" t="str">
        <f ca="1">IF(E934="","",IF(B934="",YEAR(TODAY()),B934)&amp;"-"&amp;TEXT(COUNTIF($B$2:B934,IF(B934="",YEAR(TODAY()),B934))+COUNTIFS($E$2:E934,"&lt;&gt;",$B$2:B934,""),"000"))</f>
        <v/>
      </c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 hidden="1" x14ac:dyDescent="0.25">
      <c r="A935" s="183" t="str">
        <f ca="1">IF(E935="","",IF(B935="",YEAR(TODAY()),B935)&amp;"-"&amp;TEXT(COUNTIF($B$2:B935,IF(B935="",YEAR(TODAY()),B935))+COUNTIFS($E$2:E935,"&lt;&gt;",$B$2:B935,""),"000"))</f>
        <v/>
      </c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 hidden="1" x14ac:dyDescent="0.25">
      <c r="A936" s="183" t="str">
        <f ca="1">IF(E936="","",IF(B936="",YEAR(TODAY()),B936)&amp;"-"&amp;TEXT(COUNTIF($B$2:B936,IF(B936="",YEAR(TODAY()),B936))+COUNTIFS($E$2:E936,"&lt;&gt;",$B$2:B936,""),"000"))</f>
        <v/>
      </c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 hidden="1" x14ac:dyDescent="0.25">
      <c r="A937" s="183" t="str">
        <f ca="1">IF(E937="","",IF(B937="",YEAR(TODAY()),B937)&amp;"-"&amp;TEXT(COUNTIF($B$2:B937,IF(B937="",YEAR(TODAY()),B937))+COUNTIFS($E$2:E937,"&lt;&gt;",$B$2:B937,""),"000"))</f>
        <v/>
      </c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 hidden="1" x14ac:dyDescent="0.25">
      <c r="A938" s="183" t="str">
        <f ca="1">IF(E938="","",IF(B938="",YEAR(TODAY()),B938)&amp;"-"&amp;TEXT(COUNTIF($B$2:B938,IF(B938="",YEAR(TODAY()),B938))+COUNTIFS($E$2:E938,"&lt;&gt;",$B$2:B938,""),"000"))</f>
        <v/>
      </c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 hidden="1" x14ac:dyDescent="0.25">
      <c r="A939" s="183" t="str">
        <f ca="1">IF(E939="","",IF(B939="",YEAR(TODAY()),B939)&amp;"-"&amp;TEXT(COUNTIF($B$2:B939,IF(B939="",YEAR(TODAY()),B939))+COUNTIFS($E$2:E939,"&lt;&gt;",$B$2:B939,""),"000"))</f>
        <v/>
      </c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 hidden="1" x14ac:dyDescent="0.25">
      <c r="A940" s="183" t="str">
        <f ca="1">IF(E940="","",IF(B940="",YEAR(TODAY()),B940)&amp;"-"&amp;TEXT(COUNTIF($B$2:B940,IF(B940="",YEAR(TODAY()),B940))+COUNTIFS($E$2:E940,"&lt;&gt;",$B$2:B940,""),"000"))</f>
        <v/>
      </c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 hidden="1" x14ac:dyDescent="0.25">
      <c r="A941" s="183" t="str">
        <f ca="1">IF(E941="","",IF(B941="",YEAR(TODAY()),B941)&amp;"-"&amp;TEXT(COUNTIF($B$2:B941,IF(B941="",YEAR(TODAY()),B941))+COUNTIFS($E$2:E941,"&lt;&gt;",$B$2:B941,""),"000"))</f>
        <v/>
      </c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 hidden="1" x14ac:dyDescent="0.25">
      <c r="A942" s="183" t="str">
        <f ca="1">IF(E942="","",IF(B942="",YEAR(TODAY()),B942)&amp;"-"&amp;TEXT(COUNTIF($B$2:B942,IF(B942="",YEAR(TODAY()),B942))+COUNTIFS($E$2:E942,"&lt;&gt;",$B$2:B942,""),"000"))</f>
        <v/>
      </c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 hidden="1" x14ac:dyDescent="0.25">
      <c r="A943" s="183" t="str">
        <f ca="1">IF(E943="","",IF(B943="",YEAR(TODAY()),B943)&amp;"-"&amp;TEXT(COUNTIF($B$2:B943,IF(B943="",YEAR(TODAY()),B943))+COUNTIFS($E$2:E943,"&lt;&gt;",$B$2:B943,""),"000"))</f>
        <v/>
      </c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 hidden="1" x14ac:dyDescent="0.25">
      <c r="A944" s="183" t="str">
        <f ca="1">IF(E944="","",IF(B944="",YEAR(TODAY()),B944)&amp;"-"&amp;TEXT(COUNTIF($B$2:B944,IF(B944="",YEAR(TODAY()),B944))+COUNTIFS($E$2:E944,"&lt;&gt;",$B$2:B944,""),"000"))</f>
        <v/>
      </c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 hidden="1" x14ac:dyDescent="0.25">
      <c r="A945" s="183" t="str">
        <f ca="1">IF(E945="","",IF(B945="",YEAR(TODAY()),B945)&amp;"-"&amp;TEXT(COUNTIF($B$2:B945,IF(B945="",YEAR(TODAY()),B945))+COUNTIFS($E$2:E945,"&lt;&gt;",$B$2:B945,""),"000"))</f>
        <v/>
      </c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 hidden="1" x14ac:dyDescent="0.25">
      <c r="A946" s="183" t="str">
        <f ca="1">IF(E946="","",IF(B946="",YEAR(TODAY()),B946)&amp;"-"&amp;TEXT(COUNTIF($B$2:B946,IF(B946="",YEAR(TODAY()),B946))+COUNTIFS($E$2:E946,"&lt;&gt;",$B$2:B946,""),"000"))</f>
        <v/>
      </c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 hidden="1" x14ac:dyDescent="0.25">
      <c r="A947" s="183" t="str">
        <f ca="1">IF(E947="","",IF(B947="",YEAR(TODAY()),B947)&amp;"-"&amp;TEXT(COUNTIF($B$2:B947,IF(B947="",YEAR(TODAY()),B947))+COUNTIFS($E$2:E947,"&lt;&gt;",$B$2:B947,""),"000"))</f>
        <v/>
      </c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 hidden="1" x14ac:dyDescent="0.25">
      <c r="A948" s="183" t="str">
        <f ca="1">IF(E948="","",IF(B948="",YEAR(TODAY()),B948)&amp;"-"&amp;TEXT(COUNTIF($B$2:B948,IF(B948="",YEAR(TODAY()),B948))+COUNTIFS($E$2:E948,"&lt;&gt;",$B$2:B948,""),"000"))</f>
        <v/>
      </c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 hidden="1" x14ac:dyDescent="0.25">
      <c r="A949" s="183" t="str">
        <f ca="1">IF(E949="","",IF(B949="",YEAR(TODAY()),B949)&amp;"-"&amp;TEXT(COUNTIF($B$2:B949,IF(B949="",YEAR(TODAY()),B949))+COUNTIFS($E$2:E949,"&lt;&gt;",$B$2:B949,""),"000"))</f>
        <v/>
      </c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 hidden="1" x14ac:dyDescent="0.25">
      <c r="A950" s="183" t="str">
        <f ca="1">IF(E950="","",IF(B950="",YEAR(TODAY()),B950)&amp;"-"&amp;TEXT(COUNTIF($B$2:B950,IF(B950="",YEAR(TODAY()),B950))+COUNTIFS($E$2:E950,"&lt;&gt;",$B$2:B950,""),"000"))</f>
        <v/>
      </c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 hidden="1" x14ac:dyDescent="0.25">
      <c r="A951" s="183" t="str">
        <f ca="1">IF(E951="","",IF(B951="",YEAR(TODAY()),B951)&amp;"-"&amp;TEXT(COUNTIF($B$2:B951,IF(B951="",YEAR(TODAY()),B951))+COUNTIFS($E$2:E951,"&lt;&gt;",$B$2:B951,""),"000"))</f>
        <v/>
      </c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 hidden="1" x14ac:dyDescent="0.25">
      <c r="A952" s="183" t="str">
        <f ca="1">IF(E952="","",IF(B952="",YEAR(TODAY()),B952)&amp;"-"&amp;TEXT(COUNTIF($B$2:B952,IF(B952="",YEAR(TODAY()),B952))+COUNTIFS($E$2:E952,"&lt;&gt;",$B$2:B952,""),"000"))</f>
        <v/>
      </c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 hidden="1" x14ac:dyDescent="0.25">
      <c r="A953" s="183" t="str">
        <f ca="1">IF(E953="","",IF(B953="",YEAR(TODAY()),B953)&amp;"-"&amp;TEXT(COUNTIF($B$2:B953,IF(B953="",YEAR(TODAY()),B953))+COUNTIFS($E$2:E953,"&lt;&gt;",$B$2:B953,""),"000"))</f>
        <v/>
      </c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 hidden="1" x14ac:dyDescent="0.25">
      <c r="A954" s="183" t="str">
        <f ca="1">IF(E954="","",IF(B954="",YEAR(TODAY()),B954)&amp;"-"&amp;TEXT(COUNTIF($B$2:B954,IF(B954="",YEAR(TODAY()),B954))+COUNTIFS($E$2:E954,"&lt;&gt;",$B$2:B954,""),"000"))</f>
        <v/>
      </c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 hidden="1" x14ac:dyDescent="0.25">
      <c r="A955" s="183" t="str">
        <f ca="1">IF(E955="","",IF(B955="",YEAR(TODAY()),B955)&amp;"-"&amp;TEXT(COUNTIF($B$2:B955,IF(B955="",YEAR(TODAY()),B955))+COUNTIFS($E$2:E955,"&lt;&gt;",$B$2:B955,""),"000"))</f>
        <v/>
      </c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 hidden="1" x14ac:dyDescent="0.25">
      <c r="A956" s="183" t="str">
        <f ca="1">IF(E956="","",IF(B956="",YEAR(TODAY()),B956)&amp;"-"&amp;TEXT(COUNTIF($B$2:B956,IF(B956="",YEAR(TODAY()),B956))+COUNTIFS($E$2:E956,"&lt;&gt;",$B$2:B956,""),"000"))</f>
        <v/>
      </c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 hidden="1" x14ac:dyDescent="0.25">
      <c r="A957" s="183" t="str">
        <f ca="1">IF(E957="","",IF(B957="",YEAR(TODAY()),B957)&amp;"-"&amp;TEXT(COUNTIF($B$2:B957,IF(B957="",YEAR(TODAY()),B957))+COUNTIFS($E$2:E957,"&lt;&gt;",$B$2:B957,""),"000"))</f>
        <v/>
      </c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 hidden="1" x14ac:dyDescent="0.25">
      <c r="A958" s="183" t="str">
        <f ca="1">IF(E958="","",IF(B958="",YEAR(TODAY()),B958)&amp;"-"&amp;TEXT(COUNTIF($B$2:B958,IF(B958="",YEAR(TODAY()),B958))+COUNTIFS($E$2:E958,"&lt;&gt;",$B$2:B958,""),"000"))</f>
        <v/>
      </c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 hidden="1" x14ac:dyDescent="0.25">
      <c r="A959" s="183" t="str">
        <f ca="1">IF(E959="","",IF(B959="",YEAR(TODAY()),B959)&amp;"-"&amp;TEXT(COUNTIF($B$2:B959,IF(B959="",YEAR(TODAY()),B959))+COUNTIFS($E$2:E959,"&lt;&gt;",$B$2:B959,""),"000"))</f>
        <v/>
      </c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 hidden="1" x14ac:dyDescent="0.25">
      <c r="A960" s="183" t="str">
        <f ca="1">IF(E960="","",IF(B960="",YEAR(TODAY()),B960)&amp;"-"&amp;TEXT(COUNTIF($B$2:B960,IF(B960="",YEAR(TODAY()),B960))+COUNTIFS($E$2:E960,"&lt;&gt;",$B$2:B960,""),"000"))</f>
        <v/>
      </c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 hidden="1" x14ac:dyDescent="0.25">
      <c r="A961" s="183" t="str">
        <f ca="1">IF(E961="","",IF(B961="",YEAR(TODAY()),B961)&amp;"-"&amp;TEXT(COUNTIF($B$2:B961,IF(B961="",YEAR(TODAY()),B961))+COUNTIFS($E$2:E961,"&lt;&gt;",$B$2:B961,""),"000"))</f>
        <v/>
      </c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 hidden="1" x14ac:dyDescent="0.25">
      <c r="A962" s="183" t="str">
        <f ca="1">IF(E962="","",IF(B962="",YEAR(TODAY()),B962)&amp;"-"&amp;TEXT(COUNTIF($B$2:B962,IF(B962="",YEAR(TODAY()),B962))+COUNTIFS($E$2:E962,"&lt;&gt;",$B$2:B962,""),"000"))</f>
        <v/>
      </c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 hidden="1" x14ac:dyDescent="0.25">
      <c r="A963" s="183" t="str">
        <f ca="1">IF(E963="","",IF(B963="",YEAR(TODAY()),B963)&amp;"-"&amp;TEXT(COUNTIF($B$2:B963,IF(B963="",YEAR(TODAY()),B963))+COUNTIFS($E$2:E963,"&lt;&gt;",$B$2:B963,""),"000"))</f>
        <v/>
      </c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 hidden="1" x14ac:dyDescent="0.25">
      <c r="A964" s="183" t="str">
        <f ca="1">IF(E964="","",IF(B964="",YEAR(TODAY()),B964)&amp;"-"&amp;TEXT(COUNTIF($B$2:B964,IF(B964="",YEAR(TODAY()),B964))+COUNTIFS($E$2:E964,"&lt;&gt;",$B$2:B964,""),"000"))</f>
        <v/>
      </c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 hidden="1" x14ac:dyDescent="0.25">
      <c r="A965" s="183" t="str">
        <f ca="1">IF(E965="","",IF(B965="",YEAR(TODAY()),B965)&amp;"-"&amp;TEXT(COUNTIF($B$2:B965,IF(B965="",YEAR(TODAY()),B965))+COUNTIFS($E$2:E965,"&lt;&gt;",$B$2:B965,""),"000"))</f>
        <v/>
      </c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 hidden="1" x14ac:dyDescent="0.25">
      <c r="A966" s="183" t="str">
        <f ca="1">IF(E966="","",IF(B966="",YEAR(TODAY()),B966)&amp;"-"&amp;TEXT(COUNTIF($B$2:B966,IF(B966="",YEAR(TODAY()),B966))+COUNTIFS($E$2:E966,"&lt;&gt;",$B$2:B966,""),"000"))</f>
        <v/>
      </c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 hidden="1" x14ac:dyDescent="0.25">
      <c r="A967" s="183" t="str">
        <f ca="1">IF(E967="","",IF(B967="",YEAR(TODAY()),B967)&amp;"-"&amp;TEXT(COUNTIF($B$2:B967,IF(B967="",YEAR(TODAY()),B967))+COUNTIFS($E$2:E967,"&lt;&gt;",$B$2:B967,""),"000"))</f>
        <v/>
      </c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 hidden="1" x14ac:dyDescent="0.25">
      <c r="A968" s="183" t="str">
        <f ca="1">IF(E968="","",IF(B968="",YEAR(TODAY()),B968)&amp;"-"&amp;TEXT(COUNTIF($B$2:B968,IF(B968="",YEAR(TODAY()),B968))+COUNTIFS($E$2:E968,"&lt;&gt;",$B$2:B968,""),"000"))</f>
        <v/>
      </c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 hidden="1" x14ac:dyDescent="0.25">
      <c r="A969" s="183" t="str">
        <f ca="1">IF(E969="","",IF(B969="",YEAR(TODAY()),B969)&amp;"-"&amp;TEXT(COUNTIF($B$2:B969,IF(B969="",YEAR(TODAY()),B969))+COUNTIFS($E$2:E969,"&lt;&gt;",$B$2:B969,""),"000"))</f>
        <v/>
      </c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 hidden="1" x14ac:dyDescent="0.25">
      <c r="A970" s="183" t="str">
        <f ca="1">IF(E970="","",IF(B970="",YEAR(TODAY()),B970)&amp;"-"&amp;TEXT(COUNTIF($B$2:B970,IF(B970="",YEAR(TODAY()),B970))+COUNTIFS($E$2:E970,"&lt;&gt;",$B$2:B970,""),"000"))</f>
        <v/>
      </c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 hidden="1" x14ac:dyDescent="0.25">
      <c r="A971" s="183" t="str">
        <f ca="1">IF(E971="","",IF(B971="",YEAR(TODAY()),B971)&amp;"-"&amp;TEXT(COUNTIF($B$2:B971,IF(B971="",YEAR(TODAY()),B971))+COUNTIFS($E$2:E971,"&lt;&gt;",$B$2:B971,""),"000"))</f>
        <v/>
      </c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 hidden="1" x14ac:dyDescent="0.25">
      <c r="A972" s="183" t="str">
        <f ca="1">IF(E972="","",IF(B972="",YEAR(TODAY()),B972)&amp;"-"&amp;TEXT(COUNTIF($B$2:B972,IF(B972="",YEAR(TODAY()),B972))+COUNTIFS($E$2:E972,"&lt;&gt;",$B$2:B972,""),"000"))</f>
        <v/>
      </c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 hidden="1" x14ac:dyDescent="0.25">
      <c r="A973" s="183" t="str">
        <f ca="1">IF(E973="","",IF(B973="",YEAR(TODAY()),B973)&amp;"-"&amp;TEXT(COUNTIF($B$2:B973,IF(B973="",YEAR(TODAY()),B973))+COUNTIFS($E$2:E973,"&lt;&gt;",$B$2:B973,""),"000"))</f>
        <v/>
      </c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 hidden="1" x14ac:dyDescent="0.25">
      <c r="A974" s="183" t="str">
        <f ca="1">IF(E974="","",IF(B974="",YEAR(TODAY()),B974)&amp;"-"&amp;TEXT(COUNTIF($B$2:B974,IF(B974="",YEAR(TODAY()),B974))+COUNTIFS($E$2:E974,"&lt;&gt;",$B$2:B974,""),"000"))</f>
        <v/>
      </c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 hidden="1" x14ac:dyDescent="0.25">
      <c r="A975" s="183" t="str">
        <f ca="1">IF(E975="","",IF(B975="",YEAR(TODAY()),B975)&amp;"-"&amp;TEXT(COUNTIF($B$2:B975,IF(B975="",YEAR(TODAY()),B975))+COUNTIFS($E$2:E975,"&lt;&gt;",$B$2:B975,""),"000"))</f>
        <v/>
      </c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 hidden="1" x14ac:dyDescent="0.25">
      <c r="A976" s="183" t="str">
        <f ca="1">IF(E976="","",IF(B976="",YEAR(TODAY()),B976)&amp;"-"&amp;TEXT(COUNTIF($B$2:B976,IF(B976="",YEAR(TODAY()),B976))+COUNTIFS($E$2:E976,"&lt;&gt;",$B$2:B976,""),"000"))</f>
        <v/>
      </c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 hidden="1" x14ac:dyDescent="0.25">
      <c r="A977" s="183" t="str">
        <f ca="1">IF(E977="","",IF(B977="",YEAR(TODAY()),B977)&amp;"-"&amp;TEXT(COUNTIF($B$2:B977,IF(B977="",YEAR(TODAY()),B977))+COUNTIFS($E$2:E977,"&lt;&gt;",$B$2:B977,""),"000"))</f>
        <v/>
      </c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 hidden="1" x14ac:dyDescent="0.25">
      <c r="A978" s="183" t="str">
        <f ca="1">IF(E978="","",IF(B978="",YEAR(TODAY()),B978)&amp;"-"&amp;TEXT(COUNTIF($B$2:B978,IF(B978="",YEAR(TODAY()),B978))+COUNTIFS($E$2:E978,"&lt;&gt;",$B$2:B978,""),"000"))</f>
        <v/>
      </c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 hidden="1" x14ac:dyDescent="0.25">
      <c r="A979" s="183" t="str">
        <f ca="1">IF(E979="","",IF(B979="",YEAR(TODAY()),B979)&amp;"-"&amp;TEXT(COUNTIF($B$2:B979,IF(B979="",YEAR(TODAY()),B979))+COUNTIFS($E$2:E979,"&lt;&gt;",$B$2:B979,""),"000"))</f>
        <v/>
      </c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 hidden="1" x14ac:dyDescent="0.25">
      <c r="A980" s="183" t="str">
        <f ca="1">IF(E980="","",IF(B980="",YEAR(TODAY()),B980)&amp;"-"&amp;TEXT(COUNTIF($B$2:B980,IF(B980="",YEAR(TODAY()),B980))+COUNTIFS($E$2:E980,"&lt;&gt;",$B$2:B980,""),"000"))</f>
        <v/>
      </c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 hidden="1" x14ac:dyDescent="0.25">
      <c r="A981" s="183" t="str">
        <f ca="1">IF(E981="","",IF(B981="",YEAR(TODAY()),B981)&amp;"-"&amp;TEXT(COUNTIF($B$2:B981,IF(B981="",YEAR(TODAY()),B981))+COUNTIFS($E$2:E981,"&lt;&gt;",$B$2:B981,""),"000"))</f>
        <v/>
      </c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 hidden="1" x14ac:dyDescent="0.25">
      <c r="A982" s="183" t="str">
        <f ca="1">IF(E982="","",IF(B982="",YEAR(TODAY()),B982)&amp;"-"&amp;TEXT(COUNTIF($B$2:B982,IF(B982="",YEAR(TODAY()),B982))+COUNTIFS($E$2:E982,"&lt;&gt;",$B$2:B982,""),"000"))</f>
        <v/>
      </c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 hidden="1" x14ac:dyDescent="0.25">
      <c r="A983" s="183" t="str">
        <f ca="1">IF(E983="","",IF(B983="",YEAR(TODAY()),B983)&amp;"-"&amp;TEXT(COUNTIF($B$2:B983,IF(B983="",YEAR(TODAY()),B983))+COUNTIFS($E$2:E983,"&lt;&gt;",$B$2:B983,""),"000"))</f>
        <v/>
      </c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 hidden="1" x14ac:dyDescent="0.25">
      <c r="A984" s="183" t="str">
        <f ca="1">IF(E984="","",IF(B984="",YEAR(TODAY()),B984)&amp;"-"&amp;TEXT(COUNTIF($B$2:B984,IF(B984="",YEAR(TODAY()),B984))+COUNTIFS($E$2:E984,"&lt;&gt;",$B$2:B984,""),"000"))</f>
        <v/>
      </c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 hidden="1" x14ac:dyDescent="0.25">
      <c r="A985" s="183" t="str">
        <f ca="1">IF(E985="","",IF(B985="",YEAR(TODAY()),B985)&amp;"-"&amp;TEXT(COUNTIF($B$2:B985,IF(B985="",YEAR(TODAY()),B985))+COUNTIFS($E$2:E985,"&lt;&gt;",$B$2:B985,""),"000"))</f>
        <v/>
      </c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 hidden="1" x14ac:dyDescent="0.25">
      <c r="A986" s="183" t="str">
        <f ca="1">IF(E986="","",IF(B986="",YEAR(TODAY()),B986)&amp;"-"&amp;TEXT(COUNTIF($B$2:B986,IF(B986="",YEAR(TODAY()),B986))+COUNTIFS($E$2:E986,"&lt;&gt;",$B$2:B986,""),"000"))</f>
        <v/>
      </c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 hidden="1" x14ac:dyDescent="0.25">
      <c r="A987" s="183" t="str">
        <f ca="1">IF(E987="","",IF(B987="",YEAR(TODAY()),B987)&amp;"-"&amp;TEXT(COUNTIF($B$2:B987,IF(B987="",YEAR(TODAY()),B987))+COUNTIFS($E$2:E987,"&lt;&gt;",$B$2:B987,""),"000"))</f>
        <v/>
      </c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 hidden="1" x14ac:dyDescent="0.25">
      <c r="A988" s="183" t="str">
        <f ca="1">IF(E988="","",IF(B988="",YEAR(TODAY()),B988)&amp;"-"&amp;TEXT(COUNTIF($B$2:B988,IF(B988="",YEAR(TODAY()),B988))+COUNTIFS($E$2:E988,"&lt;&gt;",$B$2:B988,""),"000"))</f>
        <v/>
      </c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 hidden="1" x14ac:dyDescent="0.25">
      <c r="A989" s="183" t="str">
        <f ca="1">IF(E989="","",IF(B989="",YEAR(TODAY()),B989)&amp;"-"&amp;TEXT(COUNTIF($B$2:B989,IF(B989="",YEAR(TODAY()),B989))+COUNTIFS($E$2:E989,"&lt;&gt;",$B$2:B989,""),"000"))</f>
        <v/>
      </c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 hidden="1" x14ac:dyDescent="0.25">
      <c r="A990" s="183" t="str">
        <f ca="1">IF(E990="","",IF(B990="",YEAR(TODAY()),B990)&amp;"-"&amp;TEXT(COUNTIF($B$2:B990,IF(B990="",YEAR(TODAY()),B990))+COUNTIFS($E$2:E990,"&lt;&gt;",$B$2:B990,""),"000"))</f>
        <v/>
      </c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 hidden="1" x14ac:dyDescent="0.25">
      <c r="A991" s="183" t="str">
        <f ca="1">IF(E991="","",IF(B991="",YEAR(TODAY()),B991)&amp;"-"&amp;TEXT(COUNTIF($B$2:B991,IF(B991="",YEAR(TODAY()),B991))+COUNTIFS($E$2:E991,"&lt;&gt;",$B$2:B991,""),"000"))</f>
        <v/>
      </c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 hidden="1" x14ac:dyDescent="0.25">
      <c r="A992" s="183" t="str">
        <f ca="1">IF(E992="","",IF(B992="",YEAR(TODAY()),B992)&amp;"-"&amp;TEXT(COUNTIF($B$2:B992,IF(B992="",YEAR(TODAY()),B992))+COUNTIFS($E$2:E992,"&lt;&gt;",$B$2:B992,""),"000"))</f>
        <v/>
      </c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 hidden="1" x14ac:dyDescent="0.25">
      <c r="A993" s="183" t="str">
        <f ca="1">IF(E993="","",IF(B993="",YEAR(TODAY()),B993)&amp;"-"&amp;TEXT(COUNTIF($B$2:B993,IF(B993="",YEAR(TODAY()),B993))+COUNTIFS($E$2:E993,"&lt;&gt;",$B$2:B993,""),"000"))</f>
        <v/>
      </c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 hidden="1" x14ac:dyDescent="0.25">
      <c r="A994" s="183" t="str">
        <f ca="1">IF(E994="","",IF(B994="",YEAR(TODAY()),B994)&amp;"-"&amp;TEXT(COUNTIF($B$2:B994,IF(B994="",YEAR(TODAY()),B994))+COUNTIFS($E$2:E994,"&lt;&gt;",$B$2:B994,""),"000"))</f>
        <v/>
      </c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 hidden="1" x14ac:dyDescent="0.25">
      <c r="A995" s="183" t="str">
        <f ca="1">IF(E995="","",IF(B995="",YEAR(TODAY()),B995)&amp;"-"&amp;TEXT(COUNTIF($B$2:B995,IF(B995="",YEAR(TODAY()),B995))+COUNTIFS($E$2:E995,"&lt;&gt;",$B$2:B995,""),"000"))</f>
        <v/>
      </c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 hidden="1" x14ac:dyDescent="0.25">
      <c r="A996" s="183" t="str">
        <f ca="1">IF(E996="","",IF(B996="",YEAR(TODAY()),B996)&amp;"-"&amp;TEXT(COUNTIF($B$2:B996,IF(B996="",YEAR(TODAY()),B996))+COUNTIFS($E$2:E996,"&lt;&gt;",$B$2:B996,""),"000"))</f>
        <v/>
      </c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 hidden="1" x14ac:dyDescent="0.25">
      <c r="A997" s="183" t="str">
        <f ca="1">IF(E997="","",IF(B997="",YEAR(TODAY()),B997)&amp;"-"&amp;TEXT(COUNTIF($B$2:B997,IF(B997="",YEAR(TODAY()),B997))+COUNTIFS($E$2:E997,"&lt;&gt;",$B$2:B997,""),"000"))</f>
        <v/>
      </c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 hidden="1" x14ac:dyDescent="0.25">
      <c r="A998" s="183" t="str">
        <f ca="1">IF(E998="","",IF(B998="",YEAR(TODAY()),B998)&amp;"-"&amp;TEXT(COUNTIF($B$2:B998,IF(B998="",YEAR(TODAY()),B998))+COUNTIFS($E$2:E998,"&lt;&gt;",$B$2:B998,""),"000"))</f>
        <v/>
      </c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 hidden="1" x14ac:dyDescent="0.25">
      <c r="A999" s="183" t="str">
        <f ca="1">IF(E999="","",IF(B999="",YEAR(TODAY()),B999)&amp;"-"&amp;TEXT(COUNTIF($B$2:B999,IF(B999="",YEAR(TODAY()),B999))+COUNTIFS($E$2:E999,"&lt;&gt;",$B$2:B999,""),"000"))</f>
        <v/>
      </c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 hidden="1" x14ac:dyDescent="0.25">
      <c r="A1000" s="183" t="str">
        <f ca="1">IF(E1000="","",IF(B1000="",YEAR(TODAY()),B1000)&amp;"-"&amp;TEXT(COUNTIF($B$2:B1000,IF(B1000="",YEAR(TODAY()),B1000))+COUNTIFS($E$2:E1000,"&lt;&gt;",$B$2:B1000,""),"000"))</f>
        <v/>
      </c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 hidden="1" x14ac:dyDescent="0.25">
      <c r="A1001" s="183" t="str">
        <f ca="1">IF(E1001="","",IF(B1001="",YEAR(TODAY()),B1001)&amp;"-"&amp;TEXT(COUNTIF($B$2:B1001,IF(B1001="",YEAR(TODAY()),B1001))+COUNTIFS($E$2:E1001,"&lt;&gt;",$B$2:B1001,""),"000"))</f>
        <v/>
      </c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 hidden="1" x14ac:dyDescent="0.25">
      <c r="A1002" s="183" t="str">
        <f ca="1">IF(E1002="","",IF(B1002="",YEAR(TODAY()),B1002)&amp;"-"&amp;TEXT(COUNTIF($B$2:B1002,IF(B1002="",YEAR(TODAY()),B1002))+COUNTIFS($E$2:E1002,"&lt;&gt;",$B$2:B1002,""),"000"))</f>
        <v/>
      </c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 hidden="1" x14ac:dyDescent="0.25">
      <c r="A1003" s="183" t="str">
        <f ca="1">IF(E1003="","",IF(B1003="",YEAR(TODAY()),B1003)&amp;"-"&amp;TEXT(COUNTIF($B$2:B1003,IF(B1003="",YEAR(TODAY()),B1003))+COUNTIFS($E$2:E1003,"&lt;&gt;",$B$2:B1003,""),"000"))</f>
        <v/>
      </c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 hidden="1" x14ac:dyDescent="0.25">
      <c r="A1004" s="183" t="str">
        <f ca="1">IF(E1004="","",IF(B1004="",YEAR(TODAY()),B1004)&amp;"-"&amp;TEXT(COUNTIF($B$2:B1004,IF(B1004="",YEAR(TODAY()),B1004))+COUNTIFS($E$2:E1004,"&lt;&gt;",$B$2:B1004,""),"000"))</f>
        <v/>
      </c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 hidden="1" x14ac:dyDescent="0.25">
      <c r="A1005" s="183" t="str">
        <f ca="1">IF(E1005="","",IF(B1005="",YEAR(TODAY()),B1005)&amp;"-"&amp;TEXT(COUNTIF($B$2:B1005,IF(B1005="",YEAR(TODAY()),B1005))+COUNTIFS($E$2:E1005,"&lt;&gt;",$B$2:B1005,""),"000"))</f>
        <v/>
      </c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 hidden="1" x14ac:dyDescent="0.25">
      <c r="A1006" s="183" t="str">
        <f ca="1">IF(E1006="","",IF(B1006="",YEAR(TODAY()),B1006)&amp;"-"&amp;TEXT(COUNTIF($B$2:B1006,IF(B1006="",YEAR(TODAY()),B1006))+COUNTIFS($E$2:E1006,"&lt;&gt;",$B$2:B1006,""),"000"))</f>
        <v/>
      </c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 hidden="1" x14ac:dyDescent="0.25">
      <c r="A1007" s="183" t="str">
        <f ca="1">IF(E1007="","",IF(B1007="",YEAR(TODAY()),B1007)&amp;"-"&amp;TEXT(COUNTIF($B$2:B1007,IF(B1007="",YEAR(TODAY()),B1007))+COUNTIFS($E$2:E1007,"&lt;&gt;",$B$2:B1007,""),"000"))</f>
        <v/>
      </c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 hidden="1" x14ac:dyDescent="0.25">
      <c r="A1008" s="183" t="str">
        <f ca="1">IF(E1008="","",IF(B1008="",YEAR(TODAY()),B1008)&amp;"-"&amp;TEXT(COUNTIF($B$2:B1008,IF(B1008="",YEAR(TODAY()),B1008))+COUNTIFS($E$2:E1008,"&lt;&gt;",$B$2:B1008,""),"000"))</f>
        <v/>
      </c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 hidden="1" x14ac:dyDescent="0.25">
      <c r="A1009" s="183" t="str">
        <f ca="1">IF(E1009="","",IF(B1009="",YEAR(TODAY()),B1009)&amp;"-"&amp;TEXT(COUNTIF($B$2:B1009,IF(B1009="",YEAR(TODAY()),B1009))+COUNTIFS($E$2:E1009,"&lt;&gt;",$B$2:B1009,""),"000"))</f>
        <v/>
      </c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 hidden="1" x14ac:dyDescent="0.25">
      <c r="A1010" s="183" t="str">
        <f ca="1">IF(E1010="","",IF(B1010="",YEAR(TODAY()),B1010)&amp;"-"&amp;TEXT(COUNTIF($B$2:B1010,IF(B1010="",YEAR(TODAY()),B1010))+COUNTIFS($E$2:E1010,"&lt;&gt;",$B$2:B1010,""),"000"))</f>
        <v/>
      </c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 hidden="1" x14ac:dyDescent="0.25">
      <c r="A1011" s="183" t="str">
        <f ca="1">IF(E1011="","",IF(B1011="",YEAR(TODAY()),B1011)&amp;"-"&amp;TEXT(COUNTIF($B$2:B1011,IF(B1011="",YEAR(TODAY()),B1011))+COUNTIFS($E$2:E1011,"&lt;&gt;",$B$2:B1011,""),"000"))</f>
        <v/>
      </c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 hidden="1" x14ac:dyDescent="0.25">
      <c r="A1012" s="183" t="str">
        <f ca="1">IF(E1012="","",IF(B1012="",YEAR(TODAY()),B1012)&amp;"-"&amp;TEXT(COUNTIF($B$2:B1012,IF(B1012="",YEAR(TODAY()),B1012))+COUNTIFS($E$2:E1012,"&lt;&gt;",$B$2:B1012,""),"000"))</f>
        <v/>
      </c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 hidden="1" x14ac:dyDescent="0.25">
      <c r="A1013" s="183" t="str">
        <f ca="1">IF(E1013="","",IF(B1013="",YEAR(TODAY()),B1013)&amp;"-"&amp;TEXT(COUNTIF($B$2:B1013,IF(B1013="",YEAR(TODAY()),B1013))+COUNTIFS($E$2:E1013,"&lt;&gt;",$B$2:B1013,""),"000"))</f>
        <v/>
      </c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 hidden="1" x14ac:dyDescent="0.25">
      <c r="A1014" s="183" t="str">
        <f ca="1">IF(E1014="","",IF(B1014="",YEAR(TODAY()),B1014)&amp;"-"&amp;TEXT(COUNTIF($B$2:B1014,IF(B1014="",YEAR(TODAY()),B1014))+COUNTIFS($E$2:E1014,"&lt;&gt;",$B$2:B1014,""),"000"))</f>
        <v/>
      </c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 hidden="1" x14ac:dyDescent="0.25">
      <c r="A1015" s="183" t="str">
        <f ca="1">IF(E1015="","",IF(B1015="",YEAR(TODAY()),B1015)&amp;"-"&amp;TEXT(COUNTIF($B$2:B1015,IF(B1015="",YEAR(TODAY()),B1015))+COUNTIFS($E$2:E1015,"&lt;&gt;",$B$2:B1015,""),"000"))</f>
        <v/>
      </c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 hidden="1" x14ac:dyDescent="0.25">
      <c r="A1016" s="183" t="str">
        <f ca="1">IF(E1016="","",IF(B1016="",YEAR(TODAY()),B1016)&amp;"-"&amp;TEXT(COUNTIF($B$2:B1016,IF(B1016="",YEAR(TODAY()),B1016))+COUNTIFS($E$2:E1016,"&lt;&gt;",$B$2:B1016,""),"000"))</f>
        <v/>
      </c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 hidden="1" x14ac:dyDescent="0.25">
      <c r="A1017" s="183" t="str">
        <f ca="1">IF(E1017="","",IF(B1017="",YEAR(TODAY()),B1017)&amp;"-"&amp;TEXT(COUNTIF($B$2:B1017,IF(B1017="",YEAR(TODAY()),B1017))+COUNTIFS($E$2:E1017,"&lt;&gt;",$B$2:B1017,""),"000"))</f>
        <v/>
      </c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 hidden="1" x14ac:dyDescent="0.25">
      <c r="A1018" s="183" t="str">
        <f ca="1">IF(E1018="","",IF(B1018="",YEAR(TODAY()),B1018)&amp;"-"&amp;TEXT(COUNTIF($B$2:B1018,IF(B1018="",YEAR(TODAY()),B1018))+COUNTIFS($E$2:E1018,"&lt;&gt;",$B$2:B1018,""),"000"))</f>
        <v/>
      </c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 hidden="1" x14ac:dyDescent="0.25">
      <c r="A1019" s="183" t="str">
        <f ca="1">IF(E1019="","",IF(B1019="",YEAR(TODAY()),B1019)&amp;"-"&amp;TEXT(COUNTIF($B$2:B1019,IF(B1019="",YEAR(TODAY()),B1019))+COUNTIFS($E$2:E1019,"&lt;&gt;",$B$2:B1019,""),"000"))</f>
        <v/>
      </c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 hidden="1" x14ac:dyDescent="0.25">
      <c r="A1020" s="183" t="str">
        <f ca="1">IF(E1020="","",IF(B1020="",YEAR(TODAY()),B1020)&amp;"-"&amp;TEXT(COUNTIF($B$2:B1020,IF(B1020="",YEAR(TODAY()),B1020))+COUNTIFS($E$2:E1020,"&lt;&gt;",$B$2:B1020,""),"000"))</f>
        <v/>
      </c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 hidden="1" x14ac:dyDescent="0.25">
      <c r="A1021" s="183" t="str">
        <f ca="1">IF(E1021="","",IF(B1021="",YEAR(TODAY()),B1021)&amp;"-"&amp;TEXT(COUNTIF($B$2:B1021,IF(B1021="",YEAR(TODAY()),B1021))+COUNTIFS($E$2:E1021,"&lt;&gt;",$B$2:B1021,""),"000"))</f>
        <v/>
      </c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 hidden="1" x14ac:dyDescent="0.25">
      <c r="A1022" s="183" t="str">
        <f ca="1">IF(E1022="","",IF(B1022="",YEAR(TODAY()),B1022)&amp;"-"&amp;TEXT(COUNTIF($B$2:B1022,IF(B1022="",YEAR(TODAY()),B1022))+COUNTIFS($E$2:E1022,"&lt;&gt;",$B$2:B1022,""),"000"))</f>
        <v/>
      </c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 hidden="1" x14ac:dyDescent="0.25">
      <c r="A1023" s="183" t="str">
        <f ca="1">IF(E1023="","",IF(B1023="",YEAR(TODAY()),B1023)&amp;"-"&amp;TEXT(COUNTIF($B$2:B1023,IF(B1023="",YEAR(TODAY()),B1023))+COUNTIFS($E$2:E1023,"&lt;&gt;",$B$2:B1023,""),"000"))</f>
        <v/>
      </c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 hidden="1" x14ac:dyDescent="0.25">
      <c r="A1024" s="183" t="str">
        <f ca="1">IF(E1024="","",IF(B1024="",YEAR(TODAY()),B1024)&amp;"-"&amp;TEXT(COUNTIF($B$2:B1024,IF(B1024="",YEAR(TODAY()),B1024))+COUNTIFS($E$2:E1024,"&lt;&gt;",$B$2:B1024,""),"000"))</f>
        <v/>
      </c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 hidden="1" x14ac:dyDescent="0.25">
      <c r="A1025" s="183" t="str">
        <f ca="1">IF(E1025="","",IF(B1025="",YEAR(TODAY()),B1025)&amp;"-"&amp;TEXT(COUNTIF($B$2:B1025,IF(B1025="",YEAR(TODAY()),B1025))+COUNTIFS($E$2:E1025,"&lt;&gt;",$B$2:B1025,""),"000"))</f>
        <v/>
      </c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 hidden="1" x14ac:dyDescent="0.25">
      <c r="A1026" s="183" t="str">
        <f ca="1">IF(E1026="","",IF(B1026="",YEAR(TODAY()),B1026)&amp;"-"&amp;TEXT(COUNTIF($B$2:B1026,IF(B1026="",YEAR(TODAY()),B1026))+COUNTIFS($E$2:E1026,"&lt;&gt;",$B$2:B1026,""),"000"))</f>
        <v/>
      </c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 hidden="1" x14ac:dyDescent="0.25">
      <c r="A1027" s="183" t="str">
        <f ca="1">IF(E1027="","",IF(B1027="",YEAR(TODAY()),B1027)&amp;"-"&amp;TEXT(COUNTIF($B$2:B1027,IF(B1027="",YEAR(TODAY()),B1027))+COUNTIFS($E$2:E1027,"&lt;&gt;",$B$2:B1027,""),"000"))</f>
        <v/>
      </c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 hidden="1" x14ac:dyDescent="0.25">
      <c r="A1028" s="183" t="str">
        <f ca="1">IF(E1028="","",IF(B1028="",YEAR(TODAY()),B1028)&amp;"-"&amp;TEXT(COUNTIF($B$2:B1028,IF(B1028="",YEAR(TODAY()),B1028))+COUNTIFS($E$2:E1028,"&lt;&gt;",$B$2:B1028,""),"000"))</f>
        <v/>
      </c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 hidden="1" x14ac:dyDescent="0.25">
      <c r="A1029" s="183" t="str">
        <f ca="1">IF(E1029="","",IF(B1029="",YEAR(TODAY()),B1029)&amp;"-"&amp;TEXT(COUNTIF($B$2:B1029,IF(B1029="",YEAR(TODAY()),B1029))+COUNTIFS($E$2:E1029,"&lt;&gt;",$B$2:B1029,""),"000"))</f>
        <v/>
      </c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 hidden="1" x14ac:dyDescent="0.25">
      <c r="A1030" s="183" t="str">
        <f ca="1">IF(E1030="","",IF(B1030="",YEAR(TODAY()),B1030)&amp;"-"&amp;TEXT(COUNTIF($B$2:B1030,IF(B1030="",YEAR(TODAY()),B1030))+COUNTIFS($E$2:E1030,"&lt;&gt;",$B$2:B1030,""),"000"))</f>
        <v/>
      </c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 hidden="1" x14ac:dyDescent="0.25">
      <c r="A1031" s="183" t="str">
        <f ca="1">IF(E1031="","",IF(B1031="",YEAR(TODAY()),B1031)&amp;"-"&amp;TEXT(COUNTIF($B$2:B1031,IF(B1031="",YEAR(TODAY()),B1031))+COUNTIFS($E$2:E1031,"&lt;&gt;",$B$2:B1031,""),"000"))</f>
        <v/>
      </c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 hidden="1" x14ac:dyDescent="0.25">
      <c r="A1032" s="183" t="str">
        <f ca="1">IF(E1032="","",IF(B1032="",YEAR(TODAY()),B1032)&amp;"-"&amp;TEXT(COUNTIF($B$2:B1032,IF(B1032="",YEAR(TODAY()),B1032))+COUNTIFS($E$2:E1032,"&lt;&gt;",$B$2:B1032,""),"000"))</f>
        <v/>
      </c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 hidden="1" x14ac:dyDescent="0.25">
      <c r="A1033" s="183" t="str">
        <f ca="1">IF(E1033="","",IF(B1033="",YEAR(TODAY()),B1033)&amp;"-"&amp;TEXT(COUNTIF($B$2:B1033,IF(B1033="",YEAR(TODAY()),B1033))+COUNTIFS($E$2:E1033,"&lt;&gt;",$B$2:B1033,""),"000"))</f>
        <v/>
      </c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 hidden="1" x14ac:dyDescent="0.25">
      <c r="A1034" s="183" t="str">
        <f ca="1">IF(E1034="","",IF(B1034="",YEAR(TODAY()),B1034)&amp;"-"&amp;TEXT(COUNTIF($B$2:B1034,IF(B1034="",YEAR(TODAY()),B1034))+COUNTIFS($E$2:E1034,"&lt;&gt;",$B$2:B1034,""),"000"))</f>
        <v/>
      </c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 hidden="1" x14ac:dyDescent="0.25">
      <c r="A1035" s="183" t="str">
        <f ca="1">IF(E1035="","",IF(B1035="",YEAR(TODAY()),B1035)&amp;"-"&amp;TEXT(COUNTIF($B$2:B1035,IF(B1035="",YEAR(TODAY()),B1035))+COUNTIFS($E$2:E1035,"&lt;&gt;",$B$2:B1035,""),"000"))</f>
        <v/>
      </c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 hidden="1" x14ac:dyDescent="0.25">
      <c r="A1036" s="183" t="str">
        <f ca="1">IF(E1036="","",IF(B1036="",YEAR(TODAY()),B1036)&amp;"-"&amp;TEXT(COUNTIF($B$2:B1036,IF(B1036="",YEAR(TODAY()),B1036))+COUNTIFS($E$2:E1036,"&lt;&gt;",$B$2:B1036,""),"000"))</f>
        <v/>
      </c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 hidden="1" x14ac:dyDescent="0.25">
      <c r="A1037" s="183" t="str">
        <f ca="1">IF(E1037="","",IF(B1037="",YEAR(TODAY()),B1037)&amp;"-"&amp;TEXT(COUNTIF($B$2:B1037,IF(B1037="",YEAR(TODAY()),B1037))+COUNTIFS($E$2:E1037,"&lt;&gt;",$B$2:B1037,""),"000"))</f>
        <v/>
      </c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 hidden="1" x14ac:dyDescent="0.25">
      <c r="A1038" s="183" t="str">
        <f ca="1">IF(E1038="","",IF(B1038="",YEAR(TODAY()),B1038)&amp;"-"&amp;TEXT(COUNTIF($B$2:B1038,IF(B1038="",YEAR(TODAY()),B1038))+COUNTIFS($E$2:E1038,"&lt;&gt;",$B$2:B1038,""),"000"))</f>
        <v/>
      </c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 hidden="1" x14ac:dyDescent="0.25">
      <c r="A1039" s="183" t="str">
        <f ca="1">IF(E1039="","",IF(B1039="",YEAR(TODAY()),B1039)&amp;"-"&amp;TEXT(COUNTIF($B$2:B1039,IF(B1039="",YEAR(TODAY()),B1039))+COUNTIFS($E$2:E1039,"&lt;&gt;",$B$2:B1039,""),"000"))</f>
        <v/>
      </c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 hidden="1" x14ac:dyDescent="0.25">
      <c r="A1040" s="183" t="str">
        <f ca="1">IF(E1040="","",IF(B1040="",YEAR(TODAY()),B1040)&amp;"-"&amp;TEXT(COUNTIF($B$2:B1040,IF(B1040="",YEAR(TODAY()),B1040))+COUNTIFS($E$2:E1040,"&lt;&gt;",$B$2:B1040,""),"000"))</f>
        <v/>
      </c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 hidden="1" x14ac:dyDescent="0.25">
      <c r="A1041" s="183" t="str">
        <f ca="1">IF(E1041="","",IF(B1041="",YEAR(TODAY()),B1041)&amp;"-"&amp;TEXT(COUNTIF($B$2:B1041,IF(B1041="",YEAR(TODAY()),B1041))+COUNTIFS($E$2:E1041,"&lt;&gt;",$B$2:B1041,""),"000"))</f>
        <v/>
      </c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 hidden="1" x14ac:dyDescent="0.25">
      <c r="A1042" s="183" t="str">
        <f ca="1">IF(E1042="","",IF(B1042="",YEAR(TODAY()),B1042)&amp;"-"&amp;TEXT(COUNTIF($B$2:B1042,IF(B1042="",YEAR(TODAY()),B1042))+COUNTIFS($E$2:E1042,"&lt;&gt;",$B$2:B1042,""),"000"))</f>
        <v/>
      </c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 hidden="1" x14ac:dyDescent="0.25">
      <c r="A1043" s="183" t="str">
        <f ca="1">IF(E1043="","",IF(B1043="",YEAR(TODAY()),B1043)&amp;"-"&amp;TEXT(COUNTIF($B$2:B1043,IF(B1043="",YEAR(TODAY()),B1043))+COUNTIFS($E$2:E1043,"&lt;&gt;",$B$2:B1043,""),"000"))</f>
        <v/>
      </c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 hidden="1" x14ac:dyDescent="0.25">
      <c r="A1044" s="183" t="str">
        <f ca="1">IF(E1044="","",IF(B1044="",YEAR(TODAY()),B1044)&amp;"-"&amp;TEXT(COUNTIF($B$2:B1044,IF(B1044="",YEAR(TODAY()),B1044))+COUNTIFS($E$2:E1044,"&lt;&gt;",$B$2:B1044,""),"000"))</f>
        <v/>
      </c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 hidden="1" x14ac:dyDescent="0.25">
      <c r="A1045" s="183" t="str">
        <f ca="1">IF(E1045="","",IF(B1045="",YEAR(TODAY()),B1045)&amp;"-"&amp;TEXT(COUNTIF($B$2:B1045,IF(B1045="",YEAR(TODAY()),B1045))+COUNTIFS($E$2:E1045,"&lt;&gt;",$B$2:B1045,""),"000"))</f>
        <v/>
      </c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 hidden="1" x14ac:dyDescent="0.25">
      <c r="A1046" s="183" t="str">
        <f ca="1">IF(E1046="","",IF(B1046="",YEAR(TODAY()),B1046)&amp;"-"&amp;TEXT(COUNTIF($B$2:B1046,IF(B1046="",YEAR(TODAY()),B1046))+COUNTIFS($E$2:E1046,"&lt;&gt;",$B$2:B1046,""),"000"))</f>
        <v/>
      </c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 hidden="1" x14ac:dyDescent="0.25">
      <c r="A1047" s="183" t="str">
        <f ca="1">IF(E1047="","",IF(B1047="",YEAR(TODAY()),B1047)&amp;"-"&amp;TEXT(COUNTIF($B$2:B1047,IF(B1047="",YEAR(TODAY()),B1047))+COUNTIFS($E$2:E1047,"&lt;&gt;",$B$2:B1047,""),"000"))</f>
        <v/>
      </c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 hidden="1" x14ac:dyDescent="0.25">
      <c r="A1048" s="183" t="str">
        <f ca="1">IF(E1048="","",IF(B1048="",YEAR(TODAY()),B1048)&amp;"-"&amp;TEXT(COUNTIF($B$2:B1048,IF(B1048="",YEAR(TODAY()),B1048))+COUNTIFS($E$2:E1048,"&lt;&gt;",$B$2:B1048,""),"000"))</f>
        <v/>
      </c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 hidden="1" x14ac:dyDescent="0.25">
      <c r="A1049" s="183" t="str">
        <f ca="1">IF(E1049="","",IF(B1049="",YEAR(TODAY()),B1049)&amp;"-"&amp;TEXT(COUNTIF($B$2:B1049,IF(B1049="",YEAR(TODAY()),B1049))+COUNTIFS($E$2:E1049,"&lt;&gt;",$B$2:B1049,""),"000"))</f>
        <v/>
      </c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 hidden="1" x14ac:dyDescent="0.25">
      <c r="A1050" s="183" t="str">
        <f ca="1">IF(E1050="","",IF(B1050="",YEAR(TODAY()),B1050)&amp;"-"&amp;TEXT(COUNTIF($B$2:B1050,IF(B1050="",YEAR(TODAY()),B1050))+COUNTIFS($E$2:E1050,"&lt;&gt;",$B$2:B1050,""),"000"))</f>
        <v/>
      </c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 hidden="1" x14ac:dyDescent="0.25">
      <c r="A1051" s="183" t="str">
        <f ca="1">IF(E1051="","",IF(B1051="",YEAR(TODAY()),B1051)&amp;"-"&amp;TEXT(COUNTIF($B$2:B1051,IF(B1051="",YEAR(TODAY()),B1051))+COUNTIFS($E$2:E1051,"&lt;&gt;",$B$2:B1051,""),"000"))</f>
        <v/>
      </c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 hidden="1" x14ac:dyDescent="0.25">
      <c r="A1052" s="183" t="str">
        <f ca="1">IF(E1052="","",IF(B1052="",YEAR(TODAY()),B1052)&amp;"-"&amp;TEXT(COUNTIF($B$2:B1052,IF(B1052="",YEAR(TODAY()),B1052))+COUNTIFS($E$2:E1052,"&lt;&gt;",$B$2:B1052,""),"000"))</f>
        <v/>
      </c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 hidden="1" x14ac:dyDescent="0.25">
      <c r="A1053" s="183" t="str">
        <f ca="1">IF(E1053="","",IF(B1053="",YEAR(TODAY()),B1053)&amp;"-"&amp;TEXT(COUNTIF($B$2:B1053,IF(B1053="",YEAR(TODAY()),B1053))+COUNTIFS($E$2:E1053,"&lt;&gt;",$B$2:B1053,""),"000"))</f>
        <v/>
      </c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 hidden="1" x14ac:dyDescent="0.25">
      <c r="A1054" s="183" t="str">
        <f ca="1">IF(E1054="","",IF(B1054="",YEAR(TODAY()),B1054)&amp;"-"&amp;TEXT(COUNTIF($B$2:B1054,IF(B1054="",YEAR(TODAY()),B1054))+COUNTIFS($E$2:E1054,"&lt;&gt;",$B$2:B1054,""),"000"))</f>
        <v/>
      </c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 hidden="1" x14ac:dyDescent="0.25">
      <c r="A1055" s="183" t="str">
        <f ca="1">IF(E1055="","",IF(B1055="",YEAR(TODAY()),B1055)&amp;"-"&amp;TEXT(COUNTIF($B$2:B1055,IF(B1055="",YEAR(TODAY()),B1055))+COUNTIFS($E$2:E1055,"&lt;&gt;",$B$2:B1055,""),"000"))</f>
        <v/>
      </c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 hidden="1" x14ac:dyDescent="0.25">
      <c r="A1056" s="183" t="str">
        <f ca="1">IF(E1056="","",IF(B1056="",YEAR(TODAY()),B1056)&amp;"-"&amp;TEXT(COUNTIF($B$2:B1056,IF(B1056="",YEAR(TODAY()),B1056))+COUNTIFS($E$2:E1056,"&lt;&gt;",$B$2:B1056,""),"000"))</f>
        <v/>
      </c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 hidden="1" x14ac:dyDescent="0.25">
      <c r="A1057" s="183" t="str">
        <f ca="1">IF(E1057="","",IF(B1057="",YEAR(TODAY()),B1057)&amp;"-"&amp;TEXT(COUNTIF($B$2:B1057,IF(B1057="",YEAR(TODAY()),B1057))+COUNTIFS($E$2:E1057,"&lt;&gt;",$B$2:B1057,""),"000"))</f>
        <v/>
      </c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 hidden="1" x14ac:dyDescent="0.25">
      <c r="A1058" s="183" t="str">
        <f ca="1">IF(E1058="","",IF(B1058="",YEAR(TODAY()),B1058)&amp;"-"&amp;TEXT(COUNTIF($B$2:B1058,IF(B1058="",YEAR(TODAY()),B1058))+COUNTIFS($E$2:E1058,"&lt;&gt;",$B$2:B1058,""),"000"))</f>
        <v/>
      </c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 hidden="1" x14ac:dyDescent="0.25">
      <c r="A1059" s="183" t="str">
        <f ca="1">IF(E1059="","",IF(B1059="",YEAR(TODAY()),B1059)&amp;"-"&amp;TEXT(COUNTIF($B$2:B1059,IF(B1059="",YEAR(TODAY()),B1059))+COUNTIFS($E$2:E1059,"&lt;&gt;",$B$2:B1059,""),"000"))</f>
        <v/>
      </c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 hidden="1" x14ac:dyDescent="0.25">
      <c r="A1060" s="183" t="str">
        <f ca="1">IF(E1060="","",IF(B1060="",YEAR(TODAY()),B1060)&amp;"-"&amp;TEXT(COUNTIF($B$2:B1060,IF(B1060="",YEAR(TODAY()),B1060))+COUNTIFS($E$2:E1060,"&lt;&gt;",$B$2:B1060,""),"000"))</f>
        <v/>
      </c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 hidden="1" x14ac:dyDescent="0.25">
      <c r="A1061" s="183" t="str">
        <f ca="1">IF(E1061="","",IF(B1061="",YEAR(TODAY()),B1061)&amp;"-"&amp;TEXT(COUNTIF($B$2:B1061,IF(B1061="",YEAR(TODAY()),B1061))+COUNTIFS($E$2:E1061,"&lt;&gt;",$B$2:B1061,""),"000"))</f>
        <v/>
      </c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 hidden="1" x14ac:dyDescent="0.25">
      <c r="A1062" s="183" t="str">
        <f ca="1">IF(E1062="","",IF(B1062="",YEAR(TODAY()),B1062)&amp;"-"&amp;TEXT(COUNTIF($B$2:B1062,IF(B1062="",YEAR(TODAY()),B1062))+COUNTIFS($E$2:E1062,"&lt;&gt;",$B$2:B1062,""),"000"))</f>
        <v/>
      </c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 hidden="1" x14ac:dyDescent="0.25">
      <c r="A1063" s="183" t="str">
        <f ca="1">IF(E1063="","",IF(B1063="",YEAR(TODAY()),B1063)&amp;"-"&amp;TEXT(COUNTIF($B$2:B1063,IF(B1063="",YEAR(TODAY()),B1063))+COUNTIFS($E$2:E1063,"&lt;&gt;",$B$2:B1063,""),"000"))</f>
        <v/>
      </c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 hidden="1" x14ac:dyDescent="0.25">
      <c r="A1064" s="183" t="str">
        <f ca="1">IF(E1064="","",IF(B1064="",YEAR(TODAY()),B1064)&amp;"-"&amp;TEXT(COUNTIF($B$2:B1064,IF(B1064="",YEAR(TODAY()),B1064))+COUNTIFS($E$2:E1064,"&lt;&gt;",$B$2:B1064,""),"000"))</f>
        <v/>
      </c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 hidden="1" x14ac:dyDescent="0.25">
      <c r="A1065" s="183" t="str">
        <f ca="1">IF(E1065="","",IF(B1065="",YEAR(TODAY()),B1065)&amp;"-"&amp;TEXT(COUNTIF($B$2:B1065,IF(B1065="",YEAR(TODAY()),B1065))+COUNTIFS($E$2:E1065,"&lt;&gt;",$B$2:B1065,""),"000"))</f>
        <v/>
      </c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 hidden="1" x14ac:dyDescent="0.25">
      <c r="A1066" s="183" t="str">
        <f ca="1">IF(E1066="","",IF(B1066="",YEAR(TODAY()),B1066)&amp;"-"&amp;TEXT(COUNTIF($B$2:B1066,IF(B1066="",YEAR(TODAY()),B1066))+COUNTIFS($E$2:E1066,"&lt;&gt;",$B$2:B1066,""),"000"))</f>
        <v/>
      </c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 hidden="1" x14ac:dyDescent="0.25">
      <c r="A1067" s="183" t="str">
        <f ca="1">IF(E1067="","",IF(B1067="",YEAR(TODAY()),B1067)&amp;"-"&amp;TEXT(COUNTIF($B$2:B1067,IF(B1067="",YEAR(TODAY()),B1067))+COUNTIFS($E$2:E1067,"&lt;&gt;",$B$2:B1067,""),"000"))</f>
        <v/>
      </c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 hidden="1" x14ac:dyDescent="0.25">
      <c r="A1068" s="183" t="str">
        <f ca="1">IF(E1068="","",IF(B1068="",YEAR(TODAY()),B1068)&amp;"-"&amp;TEXT(COUNTIF($B$2:B1068,IF(B1068="",YEAR(TODAY()),B1068))+COUNTIFS($E$2:E1068,"&lt;&gt;",$B$2:B1068,""),"000"))</f>
        <v/>
      </c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 hidden="1" x14ac:dyDescent="0.25">
      <c r="A1069" s="183" t="str">
        <f ca="1">IF(E1069="","",IF(B1069="",YEAR(TODAY()),B1069)&amp;"-"&amp;TEXT(COUNTIF($B$2:B1069,IF(B1069="",YEAR(TODAY()),B1069))+COUNTIFS($E$2:E1069,"&lt;&gt;",$B$2:B1069,""),"000"))</f>
        <v/>
      </c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 hidden="1" x14ac:dyDescent="0.25">
      <c r="A1070" s="183" t="str">
        <f ca="1">IF(E1070="","",IF(B1070="",YEAR(TODAY()),B1070)&amp;"-"&amp;TEXT(COUNTIF($B$2:B1070,IF(B1070="",YEAR(TODAY()),B1070))+COUNTIFS($E$2:E1070,"&lt;&gt;",$B$2:B1070,""),"000"))</f>
        <v/>
      </c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 hidden="1" x14ac:dyDescent="0.25">
      <c r="A1071" s="183" t="str">
        <f ca="1">IF(E1071="","",IF(B1071="",YEAR(TODAY()),B1071)&amp;"-"&amp;TEXT(COUNTIF($B$2:B1071,IF(B1071="",YEAR(TODAY()),B1071))+COUNTIFS($E$2:E1071,"&lt;&gt;",$B$2:B1071,""),"000"))</f>
        <v/>
      </c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 hidden="1" x14ac:dyDescent="0.25">
      <c r="A1072" s="183" t="str">
        <f ca="1">IF(E1072="","",IF(B1072="",YEAR(TODAY()),B1072)&amp;"-"&amp;TEXT(COUNTIF($B$2:B1072,IF(B1072="",YEAR(TODAY()),B1072))+COUNTIFS($E$2:E1072,"&lt;&gt;",$B$2:B1072,""),"000"))</f>
        <v/>
      </c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 hidden="1" x14ac:dyDescent="0.25">
      <c r="A1073" s="183" t="str">
        <f ca="1">IF(E1073="","",IF(B1073="",YEAR(TODAY()),B1073)&amp;"-"&amp;TEXT(COUNTIF($B$2:B1073,IF(B1073="",YEAR(TODAY()),B1073))+COUNTIFS($E$2:E1073,"&lt;&gt;",$B$2:B1073,""),"000"))</f>
        <v/>
      </c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 hidden="1" x14ac:dyDescent="0.25">
      <c r="A1074" s="183" t="str">
        <f ca="1">IF(E1074="","",IF(B1074="",YEAR(TODAY()),B1074)&amp;"-"&amp;TEXT(COUNTIF($B$2:B1074,IF(B1074="",YEAR(TODAY()),B1074))+COUNTIFS($E$2:E1074,"&lt;&gt;",$B$2:B1074,""),"000"))</f>
        <v/>
      </c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 hidden="1" x14ac:dyDescent="0.25">
      <c r="A1075" s="183" t="str">
        <f ca="1">IF(E1075="","",IF(B1075="",YEAR(TODAY()),B1075)&amp;"-"&amp;TEXT(COUNTIF($B$2:B1075,IF(B1075="",YEAR(TODAY()),B1075))+COUNTIFS($E$2:E1075,"&lt;&gt;",$B$2:B1075,""),"000"))</f>
        <v/>
      </c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 hidden="1" x14ac:dyDescent="0.25">
      <c r="A1076" s="183" t="str">
        <f ca="1">IF(E1076="","",IF(B1076="",YEAR(TODAY()),B1076)&amp;"-"&amp;TEXT(COUNTIF($B$2:B1076,IF(B1076="",YEAR(TODAY()),B1076))+COUNTIFS($E$2:E1076,"&lt;&gt;",$B$2:B1076,""),"000"))</f>
        <v/>
      </c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 hidden="1" x14ac:dyDescent="0.25">
      <c r="A1077" s="183" t="str">
        <f ca="1">IF(E1077="","",IF(B1077="",YEAR(TODAY()),B1077)&amp;"-"&amp;TEXT(COUNTIF($B$2:B1077,IF(B1077="",YEAR(TODAY()),B1077))+COUNTIFS($E$2:E1077,"&lt;&gt;",$B$2:B1077,""),"000"))</f>
        <v/>
      </c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 hidden="1" x14ac:dyDescent="0.25">
      <c r="A1078" s="183" t="str">
        <f ca="1">IF(E1078="","",IF(B1078="",YEAR(TODAY()),B1078)&amp;"-"&amp;TEXT(COUNTIF($B$2:B1078,IF(B1078="",YEAR(TODAY()),B1078))+COUNTIFS($E$2:E1078,"&lt;&gt;",$B$2:B1078,""),"000"))</f>
        <v/>
      </c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 hidden="1" x14ac:dyDescent="0.25">
      <c r="A1079" s="183" t="str">
        <f ca="1">IF(E1079="","",IF(B1079="",YEAR(TODAY()),B1079)&amp;"-"&amp;TEXT(COUNTIF($B$2:B1079,IF(B1079="",YEAR(TODAY()),B1079))+COUNTIFS($E$2:E1079,"&lt;&gt;",$B$2:B1079,""),"000"))</f>
        <v/>
      </c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 hidden="1" x14ac:dyDescent="0.25">
      <c r="A1080" s="183" t="str">
        <f ca="1">IF(E1080="","",IF(B1080="",YEAR(TODAY()),B1080)&amp;"-"&amp;TEXT(COUNTIF($B$2:B1080,IF(B1080="",YEAR(TODAY()),B1080))+COUNTIFS($E$2:E1080,"&lt;&gt;",$B$2:B1080,""),"000"))</f>
        <v/>
      </c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 hidden="1" x14ac:dyDescent="0.25">
      <c r="A1081" s="183" t="str">
        <f ca="1">IF(E1081="","",IF(B1081="",YEAR(TODAY()),B1081)&amp;"-"&amp;TEXT(COUNTIF($B$2:B1081,IF(B1081="",YEAR(TODAY()),B1081))+COUNTIFS($E$2:E1081,"&lt;&gt;",$B$2:B1081,""),"000"))</f>
        <v/>
      </c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 hidden="1" x14ac:dyDescent="0.25">
      <c r="A1082" s="183" t="str">
        <f ca="1">IF(E1082="","",IF(B1082="",YEAR(TODAY()),B1082)&amp;"-"&amp;TEXT(COUNTIF($B$2:B1082,IF(B1082="",YEAR(TODAY()),B1082))+COUNTIFS($E$2:E1082,"&lt;&gt;",$B$2:B1082,""),"000"))</f>
        <v/>
      </c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 hidden="1" x14ac:dyDescent="0.25">
      <c r="A1083" s="183" t="str">
        <f ca="1">IF(E1083="","",IF(B1083="",YEAR(TODAY()),B1083)&amp;"-"&amp;TEXT(COUNTIF($B$2:B1083,IF(B1083="",YEAR(TODAY()),B1083))+COUNTIFS($E$2:E1083,"&lt;&gt;",$B$2:B1083,""),"000"))</f>
        <v/>
      </c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 hidden="1" x14ac:dyDescent="0.25">
      <c r="A1084" s="183" t="str">
        <f ca="1">IF(E1084="","",IF(B1084="",YEAR(TODAY()),B1084)&amp;"-"&amp;TEXT(COUNTIF($B$2:B1084,IF(B1084="",YEAR(TODAY()),B1084))+COUNTIFS($E$2:E1084,"&lt;&gt;",$B$2:B1084,""),"000"))</f>
        <v/>
      </c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 hidden="1" x14ac:dyDescent="0.25">
      <c r="A1085" s="183" t="str">
        <f ca="1">IF(E1085="","",IF(B1085="",YEAR(TODAY()),B1085)&amp;"-"&amp;TEXT(COUNTIF($B$2:B1085,IF(B1085="",YEAR(TODAY()),B1085))+COUNTIFS($E$2:E1085,"&lt;&gt;",$B$2:B1085,""),"000"))</f>
        <v/>
      </c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 hidden="1" x14ac:dyDescent="0.25">
      <c r="A1086" s="183" t="str">
        <f ca="1">IF(E1086="","",IF(B1086="",YEAR(TODAY()),B1086)&amp;"-"&amp;TEXT(COUNTIF($B$2:B1086,IF(B1086="",YEAR(TODAY()),B1086))+COUNTIFS($E$2:E1086,"&lt;&gt;",$B$2:B1086,""),"000"))</f>
        <v/>
      </c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 hidden="1" x14ac:dyDescent="0.25">
      <c r="A1087" s="183" t="str">
        <f ca="1">IF(E1087="","",IF(B1087="",YEAR(TODAY()),B1087)&amp;"-"&amp;TEXT(COUNTIF($B$2:B1087,IF(B1087="",YEAR(TODAY()),B1087))+COUNTIFS($E$2:E1087,"&lt;&gt;",$B$2:B1087,""),"000"))</f>
        <v/>
      </c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 hidden="1" x14ac:dyDescent="0.25">
      <c r="A1088" s="183" t="str">
        <f ca="1">IF(E1088="","",IF(B1088="",YEAR(TODAY()),B1088)&amp;"-"&amp;TEXT(COUNTIF($B$2:B1088,IF(B1088="",YEAR(TODAY()),B1088))+COUNTIFS($E$2:E1088,"&lt;&gt;",$B$2:B1088,""),"000"))</f>
        <v/>
      </c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 hidden="1" x14ac:dyDescent="0.25">
      <c r="A1089" s="183" t="str">
        <f ca="1">IF(E1089="","",IF(B1089="",YEAR(TODAY()),B1089)&amp;"-"&amp;TEXT(COUNTIF($B$2:B1089,IF(B1089="",YEAR(TODAY()),B1089))+COUNTIFS($E$2:E1089,"&lt;&gt;",$B$2:B1089,""),"000"))</f>
        <v/>
      </c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 hidden="1" x14ac:dyDescent="0.25">
      <c r="A1090" s="183" t="str">
        <f ca="1">IF(E1090="","",IF(B1090="",YEAR(TODAY()),B1090)&amp;"-"&amp;TEXT(COUNTIF($B$2:B1090,IF(B1090="",YEAR(TODAY()),B1090))+COUNTIFS($E$2:E1090,"&lt;&gt;",$B$2:B1090,""),"000"))</f>
        <v/>
      </c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 hidden="1" x14ac:dyDescent="0.25">
      <c r="A1091" s="183" t="str">
        <f ca="1">IF(E1091="","",IF(B1091="",YEAR(TODAY()),B1091)&amp;"-"&amp;TEXT(COUNTIF($B$2:B1091,IF(B1091="",YEAR(TODAY()),B1091))+COUNTIFS($E$2:E1091,"&lt;&gt;",$B$2:B1091,""),"000"))</f>
        <v/>
      </c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 hidden="1" x14ac:dyDescent="0.25">
      <c r="A1092" s="183" t="str">
        <f ca="1">IF(E1092="","",IF(B1092="",YEAR(TODAY()),B1092)&amp;"-"&amp;TEXT(COUNTIF($B$2:B1092,IF(B1092="",YEAR(TODAY()),B1092))+COUNTIFS($E$2:E1092,"&lt;&gt;",$B$2:B1092,""),"000"))</f>
        <v/>
      </c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 hidden="1" x14ac:dyDescent="0.25">
      <c r="A1093" s="183" t="str">
        <f ca="1">IF(E1093="","",IF(B1093="",YEAR(TODAY()),B1093)&amp;"-"&amp;TEXT(COUNTIF($B$2:B1093,IF(B1093="",YEAR(TODAY()),B1093))+COUNTIFS($E$2:E1093,"&lt;&gt;",$B$2:B1093,""),"000"))</f>
        <v/>
      </c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 hidden="1" x14ac:dyDescent="0.25">
      <c r="A1094" s="183" t="str">
        <f ca="1">IF(E1094="","",IF(B1094="",YEAR(TODAY()),B1094)&amp;"-"&amp;TEXT(COUNTIF($B$2:B1094,IF(B1094="",YEAR(TODAY()),B1094))+COUNTIFS($E$2:E1094,"&lt;&gt;",$B$2:B1094,""),"000"))</f>
        <v/>
      </c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 hidden="1" x14ac:dyDescent="0.25">
      <c r="A1095" s="183" t="str">
        <f ca="1">IF(E1095="","",IF(B1095="",YEAR(TODAY()),B1095)&amp;"-"&amp;TEXT(COUNTIF($B$2:B1095,IF(B1095="",YEAR(TODAY()),B1095))+COUNTIFS($E$2:E1095,"&lt;&gt;",$B$2:B1095,""),"000"))</f>
        <v/>
      </c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 hidden="1" x14ac:dyDescent="0.25">
      <c r="A1096" s="183" t="str">
        <f ca="1">IF(E1096="","",IF(B1096="",YEAR(TODAY()),B1096)&amp;"-"&amp;TEXT(COUNTIF($B$2:B1096,IF(B1096="",YEAR(TODAY()),B1096))+COUNTIFS($E$2:E1096,"&lt;&gt;",$B$2:B1096,""),"000"))</f>
        <v/>
      </c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 hidden="1" x14ac:dyDescent="0.25">
      <c r="A1097" s="183" t="str">
        <f ca="1">IF(E1097="","",IF(B1097="",YEAR(TODAY()),B1097)&amp;"-"&amp;TEXT(COUNTIF($B$2:B1097,IF(B1097="",YEAR(TODAY()),B1097))+COUNTIFS($E$2:E1097,"&lt;&gt;",$B$2:B1097,""),"000"))</f>
        <v/>
      </c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 hidden="1" x14ac:dyDescent="0.25">
      <c r="A1098" s="183" t="str">
        <f ca="1">IF(E1098="","",IF(B1098="",YEAR(TODAY()),B1098)&amp;"-"&amp;TEXT(COUNTIF($B$2:B1098,IF(B1098="",YEAR(TODAY()),B1098))+COUNTIFS($E$2:E1098,"&lt;&gt;",$B$2:B1098,""),"000"))</f>
        <v/>
      </c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 hidden="1" x14ac:dyDescent="0.25">
      <c r="A1099" s="183" t="str">
        <f ca="1">IF(E1099="","",IF(B1099="",YEAR(TODAY()),B1099)&amp;"-"&amp;TEXT(COUNTIF($B$2:B1099,IF(B1099="",YEAR(TODAY()),B1099))+COUNTIFS($E$2:E1099,"&lt;&gt;",$B$2:B1099,""),"000"))</f>
        <v/>
      </c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 hidden="1" x14ac:dyDescent="0.25">
      <c r="A1100" s="183" t="str">
        <f ca="1">IF(E1100="","",IF(B1100="",YEAR(TODAY()),B1100)&amp;"-"&amp;TEXT(COUNTIF($B$2:B1100,IF(B1100="",YEAR(TODAY()),B1100))+COUNTIFS($E$2:E1100,"&lt;&gt;",$B$2:B1100,""),"000"))</f>
        <v/>
      </c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 hidden="1" x14ac:dyDescent="0.25">
      <c r="A1101" s="183" t="str">
        <f ca="1">IF(E1101="","",IF(B1101="",YEAR(TODAY()),B1101)&amp;"-"&amp;TEXT(COUNTIF($B$2:B1101,IF(B1101="",YEAR(TODAY()),B1101))+COUNTIFS($E$2:E1101,"&lt;&gt;",$B$2:B1101,""),"000"))</f>
        <v/>
      </c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 hidden="1" x14ac:dyDescent="0.25">
      <c r="A1102" s="183" t="str">
        <f ca="1">IF(E1102="","",IF(B1102="",YEAR(TODAY()),B1102)&amp;"-"&amp;TEXT(COUNTIF($B$2:B1102,IF(B1102="",YEAR(TODAY()),B1102))+COUNTIFS($E$2:E1102,"&lt;&gt;",$B$2:B1102,""),"000"))</f>
        <v/>
      </c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 hidden="1" x14ac:dyDescent="0.25">
      <c r="A1103" s="183" t="str">
        <f ca="1">IF(E1103="","",IF(B1103="",YEAR(TODAY()),B1103)&amp;"-"&amp;TEXT(COUNTIF($B$2:B1103,IF(B1103="",YEAR(TODAY()),B1103))+COUNTIFS($E$2:E1103,"&lt;&gt;",$B$2:B1103,""),"000"))</f>
        <v/>
      </c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 hidden="1" x14ac:dyDescent="0.25">
      <c r="A1104" s="183" t="str">
        <f ca="1">IF(E1104="","",IF(B1104="",YEAR(TODAY()),B1104)&amp;"-"&amp;TEXT(COUNTIF($B$2:B1104,IF(B1104="",YEAR(TODAY()),B1104))+COUNTIFS($E$2:E1104,"&lt;&gt;",$B$2:B1104,""),"000"))</f>
        <v/>
      </c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 hidden="1" x14ac:dyDescent="0.25">
      <c r="A1105" s="183" t="str">
        <f ca="1">IF(E1105="","",IF(B1105="",YEAR(TODAY()),B1105)&amp;"-"&amp;TEXT(COUNTIF($B$2:B1105,IF(B1105="",YEAR(TODAY()),B1105))+COUNTIFS($E$2:E1105,"&lt;&gt;",$B$2:B1105,""),"000"))</f>
        <v/>
      </c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 hidden="1" x14ac:dyDescent="0.25">
      <c r="A1106" s="183" t="str">
        <f ca="1">IF(E1106="","",IF(B1106="",YEAR(TODAY()),B1106)&amp;"-"&amp;TEXT(COUNTIF($B$2:B1106,IF(B1106="",YEAR(TODAY()),B1106))+COUNTIFS($E$2:E1106,"&lt;&gt;",$B$2:B1106,""),"000"))</f>
        <v/>
      </c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 hidden="1" x14ac:dyDescent="0.25">
      <c r="A1107" s="183" t="str">
        <f ca="1">IF(E1107="","",IF(B1107="",YEAR(TODAY()),B1107)&amp;"-"&amp;TEXT(COUNTIF($B$2:B1107,IF(B1107="",YEAR(TODAY()),B1107))+COUNTIFS($E$2:E1107,"&lt;&gt;",$B$2:B1107,""),"000"))</f>
        <v/>
      </c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 hidden="1" x14ac:dyDescent="0.25">
      <c r="A1108" s="183" t="str">
        <f ca="1">IF(E1108="","",IF(B1108="",YEAR(TODAY()),B1108)&amp;"-"&amp;TEXT(COUNTIF($B$2:B1108,IF(B1108="",YEAR(TODAY()),B1108))+COUNTIFS($E$2:E1108,"&lt;&gt;",$B$2:B1108,""),"000"))</f>
        <v/>
      </c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 hidden="1" x14ac:dyDescent="0.25">
      <c r="A1109" s="183" t="str">
        <f ca="1">IF(E1109="","",IF(B1109="",YEAR(TODAY()),B1109)&amp;"-"&amp;TEXT(COUNTIF($B$2:B1109,IF(B1109="",YEAR(TODAY()),B1109))+COUNTIFS($E$2:E1109,"&lt;&gt;",$B$2:B1109,""),"000"))</f>
        <v/>
      </c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 hidden="1" x14ac:dyDescent="0.25">
      <c r="A1110" s="183" t="str">
        <f ca="1">IF(E1110="","",IF(B1110="",YEAR(TODAY()),B1110)&amp;"-"&amp;TEXT(COUNTIF($B$2:B1110,IF(B1110="",YEAR(TODAY()),B1110))+COUNTIFS($E$2:E1110,"&lt;&gt;",$B$2:B1110,""),"000"))</f>
        <v/>
      </c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 hidden="1" x14ac:dyDescent="0.25">
      <c r="A1111" s="183" t="str">
        <f ca="1">IF(E1111="","",IF(B1111="",YEAR(TODAY()),B1111)&amp;"-"&amp;TEXT(COUNTIF($B$2:B1111,IF(B1111="",YEAR(TODAY()),B1111))+COUNTIFS($E$2:E1111,"&lt;&gt;",$B$2:B1111,""),"000"))</f>
        <v/>
      </c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 hidden="1" x14ac:dyDescent="0.25">
      <c r="A1112" s="183" t="str">
        <f ca="1">IF(E1112="","",IF(B1112="",YEAR(TODAY()),B1112)&amp;"-"&amp;TEXT(COUNTIF($B$2:B1112,IF(B1112="",YEAR(TODAY()),B1112))+COUNTIFS($E$2:E1112,"&lt;&gt;",$B$2:B1112,""),"000"))</f>
        <v/>
      </c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 hidden="1" x14ac:dyDescent="0.25">
      <c r="A1113" s="183" t="str">
        <f ca="1">IF(E1113="","",IF(B1113="",YEAR(TODAY()),B1113)&amp;"-"&amp;TEXT(COUNTIF($B$2:B1113,IF(B1113="",YEAR(TODAY()),B1113))+COUNTIFS($E$2:E1113,"&lt;&gt;",$B$2:B1113,""),"000"))</f>
        <v/>
      </c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 hidden="1" x14ac:dyDescent="0.25">
      <c r="A1114" s="183" t="str">
        <f ca="1">IF(E1114="","",IF(B1114="",YEAR(TODAY()),B1114)&amp;"-"&amp;TEXT(COUNTIF($B$2:B1114,IF(B1114="",YEAR(TODAY()),B1114))+COUNTIFS($E$2:E1114,"&lt;&gt;",$B$2:B1114,""),"000"))</f>
        <v/>
      </c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 hidden="1" x14ac:dyDescent="0.25">
      <c r="A1115" s="183" t="str">
        <f ca="1">IF(E1115="","",IF(B1115="",YEAR(TODAY()),B1115)&amp;"-"&amp;TEXT(COUNTIF($B$2:B1115,IF(B1115="",YEAR(TODAY()),B1115))+COUNTIFS($E$2:E1115,"&lt;&gt;",$B$2:B1115,""),"000"))</f>
        <v/>
      </c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 hidden="1" x14ac:dyDescent="0.25">
      <c r="A1116" s="183" t="str">
        <f ca="1">IF(E1116="","",IF(B1116="",YEAR(TODAY()),B1116)&amp;"-"&amp;TEXT(COUNTIF($B$2:B1116,IF(B1116="",YEAR(TODAY()),B1116))+COUNTIFS($E$2:E1116,"&lt;&gt;",$B$2:B1116,""),"000"))</f>
        <v/>
      </c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 hidden="1" x14ac:dyDescent="0.25">
      <c r="A1117" s="183" t="str">
        <f ca="1">IF(E1117="","",IF(B1117="",YEAR(TODAY()),B1117)&amp;"-"&amp;TEXT(COUNTIF($B$2:B1117,IF(B1117="",YEAR(TODAY()),B1117))+COUNTIFS($E$2:E1117,"&lt;&gt;",$B$2:B1117,""),"000"))</f>
        <v/>
      </c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 hidden="1" x14ac:dyDescent="0.25">
      <c r="A1118" s="183" t="str">
        <f ca="1">IF(E1118="","",IF(B1118="",YEAR(TODAY()),B1118)&amp;"-"&amp;TEXT(COUNTIF($B$2:B1118,IF(B1118="",YEAR(TODAY()),B1118))+COUNTIFS($E$2:E1118,"&lt;&gt;",$B$2:B1118,""),"000"))</f>
        <v/>
      </c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 hidden="1" x14ac:dyDescent="0.25">
      <c r="A1119" s="183" t="str">
        <f ca="1">IF(E1119="","",IF(B1119="",YEAR(TODAY()),B1119)&amp;"-"&amp;TEXT(COUNTIF($B$2:B1119,IF(B1119="",YEAR(TODAY()),B1119))+COUNTIFS($E$2:E1119,"&lt;&gt;",$B$2:B1119,""),"000"))</f>
        <v/>
      </c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 hidden="1" x14ac:dyDescent="0.25">
      <c r="A1120" s="183" t="str">
        <f ca="1">IF(E1120="","",IF(B1120="",YEAR(TODAY()),B1120)&amp;"-"&amp;TEXT(COUNTIF($B$2:B1120,IF(B1120="",YEAR(TODAY()),B1120))+COUNTIFS($E$2:E1120,"&lt;&gt;",$B$2:B1120,""),"000"))</f>
        <v/>
      </c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 hidden="1" x14ac:dyDescent="0.25">
      <c r="A1121" s="183" t="str">
        <f ca="1">IF(E1121="","",IF(B1121="",YEAR(TODAY()),B1121)&amp;"-"&amp;TEXT(COUNTIF($B$2:B1121,IF(B1121="",YEAR(TODAY()),B1121))+COUNTIFS($E$2:E1121,"&lt;&gt;",$B$2:B1121,""),"000"))</f>
        <v/>
      </c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 hidden="1" x14ac:dyDescent="0.25">
      <c r="A1122" s="183" t="str">
        <f ca="1">IF(E1122="","",IF(B1122="",YEAR(TODAY()),B1122)&amp;"-"&amp;TEXT(COUNTIF($B$2:B1122,IF(B1122="",YEAR(TODAY()),B1122))+COUNTIFS($E$2:E1122,"&lt;&gt;",$B$2:B1122,""),"000"))</f>
        <v/>
      </c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 hidden="1" x14ac:dyDescent="0.25">
      <c r="A1123" s="183" t="str">
        <f ca="1">IF(E1123="","",IF(B1123="",YEAR(TODAY()),B1123)&amp;"-"&amp;TEXT(COUNTIF($B$2:B1123,IF(B1123="",YEAR(TODAY()),B1123))+COUNTIFS($E$2:E1123,"&lt;&gt;",$B$2:B1123,""),"000"))</f>
        <v/>
      </c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 hidden="1" x14ac:dyDescent="0.25">
      <c r="A1124" s="183" t="str">
        <f ca="1">IF(E1124="","",IF(B1124="",YEAR(TODAY()),B1124)&amp;"-"&amp;TEXT(COUNTIF($B$2:B1124,IF(B1124="",YEAR(TODAY()),B1124))+COUNTIFS($E$2:E1124,"&lt;&gt;",$B$2:B1124,""),"000"))</f>
        <v/>
      </c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 hidden="1" x14ac:dyDescent="0.25">
      <c r="A1125" s="183" t="str">
        <f ca="1">IF(E1125="","",IF(B1125="",YEAR(TODAY()),B1125)&amp;"-"&amp;TEXT(COUNTIF($B$2:B1125,IF(B1125="",YEAR(TODAY()),B1125))+COUNTIFS($E$2:E1125,"&lt;&gt;",$B$2:B1125,""),"000"))</f>
        <v/>
      </c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 hidden="1" x14ac:dyDescent="0.25">
      <c r="A1126" s="183" t="str">
        <f ca="1">IF(E1126="","",IF(B1126="",YEAR(TODAY()),B1126)&amp;"-"&amp;TEXT(COUNTIF($B$2:B1126,IF(B1126="",YEAR(TODAY()),B1126))+COUNTIFS($E$2:E1126,"&lt;&gt;",$B$2:B1126,""),"000"))</f>
        <v/>
      </c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 hidden="1" x14ac:dyDescent="0.25">
      <c r="A1127" s="183" t="str">
        <f ca="1">IF(E1127="","",IF(B1127="",YEAR(TODAY()),B1127)&amp;"-"&amp;TEXT(COUNTIF($B$2:B1127,IF(B1127="",YEAR(TODAY()),B1127))+COUNTIFS($E$2:E1127,"&lt;&gt;",$B$2:B1127,""),"000"))</f>
        <v/>
      </c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 hidden="1" x14ac:dyDescent="0.25">
      <c r="A1128" s="183" t="str">
        <f ca="1">IF(E1128="","",IF(B1128="",YEAR(TODAY()),B1128)&amp;"-"&amp;TEXT(COUNTIF($B$2:B1128,IF(B1128="",YEAR(TODAY()),B1128))+COUNTIFS($E$2:E1128,"&lt;&gt;",$B$2:B1128,""),"000"))</f>
        <v/>
      </c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 hidden="1" x14ac:dyDescent="0.25">
      <c r="A1129" s="183" t="str">
        <f ca="1">IF(E1129="","",IF(B1129="",YEAR(TODAY()),B1129)&amp;"-"&amp;TEXT(COUNTIF($B$2:B1129,IF(B1129="",YEAR(TODAY()),B1129))+COUNTIFS($E$2:E1129,"&lt;&gt;",$B$2:B1129,""),"000"))</f>
        <v/>
      </c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 hidden="1" x14ac:dyDescent="0.25">
      <c r="A1130" s="183" t="str">
        <f ca="1">IF(E1130="","",IF(B1130="",YEAR(TODAY()),B1130)&amp;"-"&amp;TEXT(COUNTIF($B$2:B1130,IF(B1130="",YEAR(TODAY()),B1130))+COUNTIFS($E$2:E1130,"&lt;&gt;",$B$2:B1130,""),"000"))</f>
        <v/>
      </c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 hidden="1" x14ac:dyDescent="0.25">
      <c r="A1131" s="183" t="str">
        <f ca="1">IF(E1131="","",IF(B1131="",YEAR(TODAY()),B1131)&amp;"-"&amp;TEXT(COUNTIF($B$2:B1131,IF(B1131="",YEAR(TODAY()),B1131))+COUNTIFS($E$2:E1131,"&lt;&gt;",$B$2:B1131,""),"000"))</f>
        <v/>
      </c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 hidden="1" x14ac:dyDescent="0.25">
      <c r="A1132" s="183" t="str">
        <f ca="1">IF(E1132="","",IF(B1132="",YEAR(TODAY()),B1132)&amp;"-"&amp;TEXT(COUNTIF($B$2:B1132,IF(B1132="",YEAR(TODAY()),B1132))+COUNTIFS($E$2:E1132,"&lt;&gt;",$B$2:B1132,""),"000"))</f>
        <v/>
      </c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 hidden="1" x14ac:dyDescent="0.25">
      <c r="A1133" s="183" t="str">
        <f ca="1">IF(E1133="","",IF(B1133="",YEAR(TODAY()),B1133)&amp;"-"&amp;TEXT(COUNTIF($B$2:B1133,IF(B1133="",YEAR(TODAY()),B1133))+COUNTIFS($E$2:E1133,"&lt;&gt;",$B$2:B1133,""),"000"))</f>
        <v/>
      </c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 hidden="1" x14ac:dyDescent="0.25">
      <c r="A1134" s="183" t="str">
        <f ca="1">IF(E1134="","",IF(B1134="",YEAR(TODAY()),B1134)&amp;"-"&amp;TEXT(COUNTIF($B$2:B1134,IF(B1134="",YEAR(TODAY()),B1134))+COUNTIFS($E$2:E1134,"&lt;&gt;",$B$2:B1134,""),"000"))</f>
        <v/>
      </c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 hidden="1" x14ac:dyDescent="0.25">
      <c r="A1135" s="183" t="str">
        <f ca="1">IF(E1135="","",IF(B1135="",YEAR(TODAY()),B1135)&amp;"-"&amp;TEXT(COUNTIF($B$2:B1135,IF(B1135="",YEAR(TODAY()),B1135))+COUNTIFS($E$2:E1135,"&lt;&gt;",$B$2:B1135,""),"000"))</f>
        <v/>
      </c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 hidden="1" x14ac:dyDescent="0.25">
      <c r="A1136" s="183" t="str">
        <f ca="1">IF(E1136="","",IF(B1136="",YEAR(TODAY()),B1136)&amp;"-"&amp;TEXT(COUNTIF($B$2:B1136,IF(B1136="",YEAR(TODAY()),B1136))+COUNTIFS($E$2:E1136,"&lt;&gt;",$B$2:B1136,""),"000"))</f>
        <v/>
      </c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 hidden="1" x14ac:dyDescent="0.25">
      <c r="A1137" s="183" t="str">
        <f ca="1">IF(E1137="","",IF(B1137="",YEAR(TODAY()),B1137)&amp;"-"&amp;TEXT(COUNTIF($B$2:B1137,IF(B1137="",YEAR(TODAY()),B1137))+COUNTIFS($E$2:E1137,"&lt;&gt;",$B$2:B1137,""),"000"))</f>
        <v/>
      </c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 hidden="1" x14ac:dyDescent="0.25">
      <c r="A1138" s="183" t="str">
        <f ca="1">IF(E1138="","",IF(B1138="",YEAR(TODAY()),B1138)&amp;"-"&amp;TEXT(COUNTIF($B$2:B1138,IF(B1138="",YEAR(TODAY()),B1138))+COUNTIFS($E$2:E1138,"&lt;&gt;",$B$2:B1138,""),"000"))</f>
        <v/>
      </c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 hidden="1" x14ac:dyDescent="0.25">
      <c r="A1139" s="183" t="str">
        <f ca="1">IF(E1139="","",IF(B1139="",YEAR(TODAY()),B1139)&amp;"-"&amp;TEXT(COUNTIF($B$2:B1139,IF(B1139="",YEAR(TODAY()),B1139))+COUNTIFS($E$2:E1139,"&lt;&gt;",$B$2:B1139,""),"000"))</f>
        <v/>
      </c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 hidden="1" x14ac:dyDescent="0.25">
      <c r="A1140" s="183" t="str">
        <f ca="1">IF(E1140="","",IF(B1140="",YEAR(TODAY()),B1140)&amp;"-"&amp;TEXT(COUNTIF($B$2:B1140,IF(B1140="",YEAR(TODAY()),B1140))+COUNTIFS($E$2:E1140,"&lt;&gt;",$B$2:B1140,""),"000"))</f>
        <v/>
      </c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 hidden="1" x14ac:dyDescent="0.25">
      <c r="A1141" s="183" t="str">
        <f ca="1">IF(E1141="","",IF(B1141="",YEAR(TODAY()),B1141)&amp;"-"&amp;TEXT(COUNTIF($B$2:B1141,IF(B1141="",YEAR(TODAY()),B1141))+COUNTIFS($E$2:E1141,"&lt;&gt;",$B$2:B1141,""),"000"))</f>
        <v/>
      </c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 hidden="1" x14ac:dyDescent="0.25">
      <c r="A1142" s="183" t="str">
        <f ca="1">IF(E1142="","",IF(B1142="",YEAR(TODAY()),B1142)&amp;"-"&amp;TEXT(COUNTIF($B$2:B1142,IF(B1142="",YEAR(TODAY()),B1142))+COUNTIFS($E$2:E1142,"&lt;&gt;",$B$2:B1142,""),"000"))</f>
        <v/>
      </c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 hidden="1" x14ac:dyDescent="0.25">
      <c r="A1143" s="183" t="str">
        <f ca="1">IF(E1143="","",IF(B1143="",YEAR(TODAY()),B1143)&amp;"-"&amp;TEXT(COUNTIF($B$2:B1143,IF(B1143="",YEAR(TODAY()),B1143))+COUNTIFS($E$2:E1143,"&lt;&gt;",$B$2:B1143,""),"000"))</f>
        <v/>
      </c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 hidden="1" x14ac:dyDescent="0.25">
      <c r="A1144" s="183" t="str">
        <f ca="1">IF(E1144="","",IF(B1144="",YEAR(TODAY()),B1144)&amp;"-"&amp;TEXT(COUNTIF($B$2:B1144,IF(B1144="",YEAR(TODAY()),B1144))+COUNTIFS($E$2:E1144,"&lt;&gt;",$B$2:B1144,""),"000"))</f>
        <v/>
      </c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 hidden="1" x14ac:dyDescent="0.25">
      <c r="A1145" s="183" t="str">
        <f ca="1">IF(E1145="","",IF(B1145="",YEAR(TODAY()),B1145)&amp;"-"&amp;TEXT(COUNTIF($B$2:B1145,IF(B1145="",YEAR(TODAY()),B1145))+COUNTIFS($E$2:E1145,"&lt;&gt;",$B$2:B1145,""),"000"))</f>
        <v/>
      </c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 hidden="1" x14ac:dyDescent="0.25">
      <c r="A1146" s="183" t="str">
        <f ca="1">IF(E1146="","",IF(B1146="",YEAR(TODAY()),B1146)&amp;"-"&amp;TEXT(COUNTIF($B$2:B1146,IF(B1146="",YEAR(TODAY()),B1146))+COUNTIFS($E$2:E1146,"&lt;&gt;",$B$2:B1146,""),"000"))</f>
        <v/>
      </c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 hidden="1" x14ac:dyDescent="0.25">
      <c r="A1147" s="183" t="str">
        <f ca="1">IF(E1147="","",IF(B1147="",YEAR(TODAY()),B1147)&amp;"-"&amp;TEXT(COUNTIF($B$2:B1147,IF(B1147="",YEAR(TODAY()),B1147))+COUNTIFS($E$2:E1147,"&lt;&gt;",$B$2:B1147,""),"000"))</f>
        <v/>
      </c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 hidden="1" x14ac:dyDescent="0.25">
      <c r="A1148" s="183" t="str">
        <f ca="1">IF(E1148="","",IF(B1148="",YEAR(TODAY()),B1148)&amp;"-"&amp;TEXT(COUNTIF($B$2:B1148,IF(B1148="",YEAR(TODAY()),B1148))+COUNTIFS($E$2:E1148,"&lt;&gt;",$B$2:B1148,""),"000"))</f>
        <v/>
      </c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 hidden="1" x14ac:dyDescent="0.25">
      <c r="A1149" s="183" t="str">
        <f ca="1">IF(E1149="","",IF(B1149="",YEAR(TODAY()),B1149)&amp;"-"&amp;TEXT(COUNTIF($B$2:B1149,IF(B1149="",YEAR(TODAY()),B1149))+COUNTIFS($E$2:E1149,"&lt;&gt;",$B$2:B1149,""),"000"))</f>
        <v/>
      </c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 hidden="1" x14ac:dyDescent="0.25">
      <c r="A1150" s="183" t="str">
        <f ca="1">IF(E1150="","",IF(B1150="",YEAR(TODAY()),B1150)&amp;"-"&amp;TEXT(COUNTIF($B$2:B1150,IF(B1150="",YEAR(TODAY()),B1150))+COUNTIFS($E$2:E1150,"&lt;&gt;",$B$2:B1150,""),"000"))</f>
        <v/>
      </c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 hidden="1" x14ac:dyDescent="0.25">
      <c r="A1151" s="183" t="str">
        <f ca="1">IF(E1151="","",IF(B1151="",YEAR(TODAY()),B1151)&amp;"-"&amp;TEXT(COUNTIF($B$2:B1151,IF(B1151="",YEAR(TODAY()),B1151))+COUNTIFS($E$2:E1151,"&lt;&gt;",$B$2:B1151,""),"000"))</f>
        <v/>
      </c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 hidden="1" x14ac:dyDescent="0.25">
      <c r="A1152" s="183" t="str">
        <f ca="1">IF(E1152="","",IF(B1152="",YEAR(TODAY()),B1152)&amp;"-"&amp;TEXT(COUNTIF($B$2:B1152,IF(B1152="",YEAR(TODAY()),B1152))+COUNTIFS($E$2:E1152,"&lt;&gt;",$B$2:B1152,""),"000"))</f>
        <v/>
      </c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 hidden="1" x14ac:dyDescent="0.25">
      <c r="A1153" s="183" t="str">
        <f ca="1">IF(E1153="","",IF(B1153="",YEAR(TODAY()),B1153)&amp;"-"&amp;TEXT(COUNTIF($B$2:B1153,IF(B1153="",YEAR(TODAY()),B1153))+COUNTIFS($E$2:E1153,"&lt;&gt;",$B$2:B1153,""),"000"))</f>
        <v/>
      </c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 hidden="1" x14ac:dyDescent="0.25">
      <c r="A1154" s="183" t="str">
        <f ca="1">IF(E1154="","",IF(B1154="",YEAR(TODAY()),B1154)&amp;"-"&amp;TEXT(COUNTIF($B$2:B1154,IF(B1154="",YEAR(TODAY()),B1154))+COUNTIFS($E$2:E1154,"&lt;&gt;",$B$2:B1154,""),"000"))</f>
        <v/>
      </c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 hidden="1" x14ac:dyDescent="0.25">
      <c r="A1155" s="183" t="str">
        <f ca="1">IF(E1155="","",IF(B1155="",YEAR(TODAY()),B1155)&amp;"-"&amp;TEXT(COUNTIF($B$2:B1155,IF(B1155="",YEAR(TODAY()),B1155))+COUNTIFS($E$2:E1155,"&lt;&gt;",$B$2:B1155,""),"000"))</f>
        <v/>
      </c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 hidden="1" x14ac:dyDescent="0.25">
      <c r="A1156" s="183" t="str">
        <f ca="1">IF(E1156="","",IF(B1156="",YEAR(TODAY()),B1156)&amp;"-"&amp;TEXT(COUNTIF($B$2:B1156,IF(B1156="",YEAR(TODAY()),B1156))+COUNTIFS($E$2:E1156,"&lt;&gt;",$B$2:B1156,""),"000"))</f>
        <v/>
      </c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 hidden="1" x14ac:dyDescent="0.25">
      <c r="A1157" s="183" t="str">
        <f ca="1">IF(E1157="","",IF(B1157="",YEAR(TODAY()),B1157)&amp;"-"&amp;TEXT(COUNTIF($B$2:B1157,IF(B1157="",YEAR(TODAY()),B1157))+COUNTIFS($E$2:E1157,"&lt;&gt;",$B$2:B1157,""),"000"))</f>
        <v/>
      </c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 hidden="1" x14ac:dyDescent="0.25">
      <c r="A1158" s="183" t="str">
        <f ca="1">IF(E1158="","",IF(B1158="",YEAR(TODAY()),B1158)&amp;"-"&amp;TEXT(COUNTIF($B$2:B1158,IF(B1158="",YEAR(TODAY()),B1158))+COUNTIFS($E$2:E1158,"&lt;&gt;",$B$2:B1158,""),"000"))</f>
        <v/>
      </c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 hidden="1" x14ac:dyDescent="0.25">
      <c r="A1159" s="183" t="str">
        <f ca="1">IF(E1159="","",IF(B1159="",YEAR(TODAY()),B1159)&amp;"-"&amp;TEXT(COUNTIF($B$2:B1159,IF(B1159="",YEAR(TODAY()),B1159))+COUNTIFS($E$2:E1159,"&lt;&gt;",$B$2:B1159,""),"000"))</f>
        <v/>
      </c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 hidden="1" x14ac:dyDescent="0.25">
      <c r="A1160" s="183" t="str">
        <f ca="1">IF(E1160="","",IF(B1160="",YEAR(TODAY()),B1160)&amp;"-"&amp;TEXT(COUNTIF($B$2:B1160,IF(B1160="",YEAR(TODAY()),B1160))+COUNTIFS($E$2:E1160,"&lt;&gt;",$B$2:B1160,""),"000"))</f>
        <v/>
      </c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 hidden="1" x14ac:dyDescent="0.25">
      <c r="A1161" s="183" t="str">
        <f ca="1">IF(E1161="","",IF(B1161="",YEAR(TODAY()),B1161)&amp;"-"&amp;TEXT(COUNTIF($B$2:B1161,IF(B1161="",YEAR(TODAY()),B1161))+COUNTIFS($E$2:E1161,"&lt;&gt;",$B$2:B1161,""),"000"))</f>
        <v/>
      </c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 hidden="1" x14ac:dyDescent="0.25">
      <c r="A1162" s="183" t="str">
        <f ca="1">IF(E1162="","",IF(B1162="",YEAR(TODAY()),B1162)&amp;"-"&amp;TEXT(COUNTIF($B$2:B1162,IF(B1162="",YEAR(TODAY()),B1162))+COUNTIFS($E$2:E1162,"&lt;&gt;",$B$2:B1162,""),"000"))</f>
        <v/>
      </c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 hidden="1" x14ac:dyDescent="0.25">
      <c r="A1163" s="183" t="str">
        <f ca="1">IF(E1163="","",IF(B1163="",YEAR(TODAY()),B1163)&amp;"-"&amp;TEXT(COUNTIF($B$2:B1163,IF(B1163="",YEAR(TODAY()),B1163))+COUNTIFS($E$2:E1163,"&lt;&gt;",$B$2:B1163,""),"000"))</f>
        <v/>
      </c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 hidden="1" x14ac:dyDescent="0.25">
      <c r="A1164" s="183" t="str">
        <f ca="1">IF(E1164="","",IF(B1164="",YEAR(TODAY()),B1164)&amp;"-"&amp;TEXT(COUNTIF($B$2:B1164,IF(B1164="",YEAR(TODAY()),B1164))+COUNTIFS($E$2:E1164,"&lt;&gt;",$B$2:B1164,""),"000"))</f>
        <v/>
      </c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 hidden="1" x14ac:dyDescent="0.25">
      <c r="A1165" s="183" t="str">
        <f ca="1">IF(E1165="","",IF(B1165="",YEAR(TODAY()),B1165)&amp;"-"&amp;TEXT(COUNTIF($B$2:B1165,IF(B1165="",YEAR(TODAY()),B1165))+COUNTIFS($E$2:E1165,"&lt;&gt;",$B$2:B1165,""),"000"))</f>
        <v/>
      </c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 hidden="1" x14ac:dyDescent="0.25">
      <c r="A1166" s="183" t="str">
        <f ca="1">IF(E1166="","",IF(B1166="",YEAR(TODAY()),B1166)&amp;"-"&amp;TEXT(COUNTIF($B$2:B1166,IF(B1166="",YEAR(TODAY()),B1166))+COUNTIFS($E$2:E1166,"&lt;&gt;",$B$2:B1166,""),"000"))</f>
        <v/>
      </c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 hidden="1" x14ac:dyDescent="0.25">
      <c r="A1167" s="183" t="str">
        <f ca="1">IF(E1167="","",IF(B1167="",YEAR(TODAY()),B1167)&amp;"-"&amp;TEXT(COUNTIF($B$2:B1167,IF(B1167="",YEAR(TODAY()),B1167))+COUNTIFS($E$2:E1167,"&lt;&gt;",$B$2:B1167,""),"000"))</f>
        <v/>
      </c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 hidden="1" x14ac:dyDescent="0.25">
      <c r="A1168" s="183" t="str">
        <f ca="1">IF(E1168="","",IF(B1168="",YEAR(TODAY()),B1168)&amp;"-"&amp;TEXT(COUNTIF($B$2:B1168,IF(B1168="",YEAR(TODAY()),B1168))+COUNTIFS($E$2:E1168,"&lt;&gt;",$B$2:B1168,""),"000"))</f>
        <v/>
      </c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 hidden="1" x14ac:dyDescent="0.25">
      <c r="A1169" s="183" t="str">
        <f ca="1">IF(E1169="","",IF(B1169="",YEAR(TODAY()),B1169)&amp;"-"&amp;TEXT(COUNTIF($B$2:B1169,IF(B1169="",YEAR(TODAY()),B1169))+COUNTIFS($E$2:E1169,"&lt;&gt;",$B$2:B1169,""),"000"))</f>
        <v/>
      </c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 hidden="1" x14ac:dyDescent="0.25">
      <c r="A1170" s="183" t="str">
        <f ca="1">IF(E1170="","",IF(B1170="",YEAR(TODAY()),B1170)&amp;"-"&amp;TEXT(COUNTIF($B$2:B1170,IF(B1170="",YEAR(TODAY()),B1170))+COUNTIFS($E$2:E1170,"&lt;&gt;",$B$2:B1170,""),"000"))</f>
        <v/>
      </c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 hidden="1" x14ac:dyDescent="0.25">
      <c r="A1171" s="183" t="str">
        <f ca="1">IF(E1171="","",IF(B1171="",YEAR(TODAY()),B1171)&amp;"-"&amp;TEXT(COUNTIF($B$2:B1171,IF(B1171="",YEAR(TODAY()),B1171))+COUNTIFS($E$2:E1171,"&lt;&gt;",$B$2:B1171,""),"000"))</f>
        <v/>
      </c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 hidden="1" x14ac:dyDescent="0.25">
      <c r="A1172" s="183" t="str">
        <f ca="1">IF(E1172="","",IF(B1172="",YEAR(TODAY()),B1172)&amp;"-"&amp;TEXT(COUNTIF($B$2:B1172,IF(B1172="",YEAR(TODAY()),B1172))+COUNTIFS($E$2:E1172,"&lt;&gt;",$B$2:B1172,""),"000"))</f>
        <v/>
      </c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 hidden="1" x14ac:dyDescent="0.25">
      <c r="A1173" s="183" t="str">
        <f ca="1">IF(E1173="","",IF(B1173="",YEAR(TODAY()),B1173)&amp;"-"&amp;TEXT(COUNTIF($B$2:B1173,IF(B1173="",YEAR(TODAY()),B1173))+COUNTIFS($E$2:E1173,"&lt;&gt;",$B$2:B1173,""),"000"))</f>
        <v/>
      </c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 hidden="1" x14ac:dyDescent="0.25">
      <c r="A1174" s="183" t="str">
        <f ca="1">IF(E1174="","",IF(B1174="",YEAR(TODAY()),B1174)&amp;"-"&amp;TEXT(COUNTIF($B$2:B1174,IF(B1174="",YEAR(TODAY()),B1174))+COUNTIFS($E$2:E1174,"&lt;&gt;",$B$2:B1174,""),"000"))</f>
        <v/>
      </c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 hidden="1" x14ac:dyDescent="0.25">
      <c r="A1175" s="183" t="str">
        <f ca="1">IF(E1175="","",IF(B1175="",YEAR(TODAY()),B1175)&amp;"-"&amp;TEXT(COUNTIF($B$2:B1175,IF(B1175="",YEAR(TODAY()),B1175))+COUNTIFS($E$2:E1175,"&lt;&gt;",$B$2:B1175,""),"000"))</f>
        <v/>
      </c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 hidden="1" x14ac:dyDescent="0.25">
      <c r="A1176" s="183" t="str">
        <f ca="1">IF(E1176="","",IF(B1176="",YEAR(TODAY()),B1176)&amp;"-"&amp;TEXT(COUNTIF($B$2:B1176,IF(B1176="",YEAR(TODAY()),B1176))+COUNTIFS($E$2:E1176,"&lt;&gt;",$B$2:B1176,""),"000"))</f>
        <v/>
      </c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 hidden="1" x14ac:dyDescent="0.25">
      <c r="A1177" s="183" t="str">
        <f ca="1">IF(E1177="","",IF(B1177="",YEAR(TODAY()),B1177)&amp;"-"&amp;TEXT(COUNTIF($B$2:B1177,IF(B1177="",YEAR(TODAY()),B1177))+COUNTIFS($E$2:E1177,"&lt;&gt;",$B$2:B1177,""),"000"))</f>
        <v/>
      </c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 hidden="1" x14ac:dyDescent="0.25">
      <c r="A1178" s="183" t="str">
        <f ca="1">IF(E1178="","",IF(B1178="",YEAR(TODAY()),B1178)&amp;"-"&amp;TEXT(COUNTIF($B$2:B1178,IF(B1178="",YEAR(TODAY()),B1178))+COUNTIFS($E$2:E1178,"&lt;&gt;",$B$2:B1178,""),"000"))</f>
        <v/>
      </c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 hidden="1" x14ac:dyDescent="0.25">
      <c r="A1179" s="183" t="str">
        <f ca="1">IF(E1179="","",IF(B1179="",YEAR(TODAY()),B1179)&amp;"-"&amp;TEXT(COUNTIF($B$2:B1179,IF(B1179="",YEAR(TODAY()),B1179))+COUNTIFS($E$2:E1179,"&lt;&gt;",$B$2:B1179,""),"000"))</f>
        <v/>
      </c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 hidden="1" x14ac:dyDescent="0.25">
      <c r="A1180" s="183" t="str">
        <f ca="1">IF(E1180="","",IF(B1180="",YEAR(TODAY()),B1180)&amp;"-"&amp;TEXT(COUNTIF($B$2:B1180,IF(B1180="",YEAR(TODAY()),B1180))+COUNTIFS($E$2:E1180,"&lt;&gt;",$B$2:B1180,""),"000"))</f>
        <v/>
      </c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 hidden="1" x14ac:dyDescent="0.25">
      <c r="A1181" s="183" t="str">
        <f ca="1">IF(E1181="","",IF(B1181="",YEAR(TODAY()),B1181)&amp;"-"&amp;TEXT(COUNTIF($B$2:B1181,IF(B1181="",YEAR(TODAY()),B1181))+COUNTIFS($E$2:E1181,"&lt;&gt;",$B$2:B1181,""),"000"))</f>
        <v/>
      </c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 hidden="1" x14ac:dyDescent="0.25">
      <c r="A1182" s="183" t="str">
        <f ca="1">IF(E1182="","",IF(B1182="",YEAR(TODAY()),B1182)&amp;"-"&amp;TEXT(COUNTIF($B$2:B1182,IF(B1182="",YEAR(TODAY()),B1182))+COUNTIFS($E$2:E1182,"&lt;&gt;",$B$2:B1182,""),"000"))</f>
        <v/>
      </c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 hidden="1" x14ac:dyDescent="0.25">
      <c r="A1183" s="183" t="str">
        <f ca="1">IF(E1183="","",IF(B1183="",YEAR(TODAY()),B1183)&amp;"-"&amp;TEXT(COUNTIF($B$2:B1183,IF(B1183="",YEAR(TODAY()),B1183))+COUNTIFS($E$2:E1183,"&lt;&gt;",$B$2:B1183,""),"000"))</f>
        <v/>
      </c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 hidden="1" x14ac:dyDescent="0.25">
      <c r="A1184" s="183" t="str">
        <f ca="1">IF(E1184="","",IF(B1184="",YEAR(TODAY()),B1184)&amp;"-"&amp;TEXT(COUNTIF($B$2:B1184,IF(B1184="",YEAR(TODAY()),B1184))+COUNTIFS($E$2:E1184,"&lt;&gt;",$B$2:B1184,""),"000"))</f>
        <v/>
      </c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 hidden="1" x14ac:dyDescent="0.25">
      <c r="A1185" s="183" t="str">
        <f ca="1">IF(E1185="","",IF(B1185="",YEAR(TODAY()),B1185)&amp;"-"&amp;TEXT(COUNTIF($B$2:B1185,IF(B1185="",YEAR(TODAY()),B1185))+COUNTIFS($E$2:E1185,"&lt;&gt;",$B$2:B1185,""),"000"))</f>
        <v/>
      </c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 hidden="1" x14ac:dyDescent="0.25">
      <c r="A1186" s="183" t="str">
        <f ca="1">IF(E1186="","",IF(B1186="",YEAR(TODAY()),B1186)&amp;"-"&amp;TEXT(COUNTIF($B$2:B1186,IF(B1186="",YEAR(TODAY()),B1186))+COUNTIFS($E$2:E1186,"&lt;&gt;",$B$2:B1186,""),"000"))</f>
        <v/>
      </c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 hidden="1" x14ac:dyDescent="0.25">
      <c r="A1187" s="183" t="str">
        <f ca="1">IF(E1187="","",IF(B1187="",YEAR(TODAY()),B1187)&amp;"-"&amp;TEXT(COUNTIF($B$2:B1187,IF(B1187="",YEAR(TODAY()),B1187))+COUNTIFS($E$2:E1187,"&lt;&gt;",$B$2:B1187,""),"000"))</f>
        <v/>
      </c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 hidden="1" x14ac:dyDescent="0.25">
      <c r="A1188" s="183" t="str">
        <f ca="1">IF(E1188="","",IF(B1188="",YEAR(TODAY()),B1188)&amp;"-"&amp;TEXT(COUNTIF($B$2:B1188,IF(B1188="",YEAR(TODAY()),B1188))+COUNTIFS($E$2:E1188,"&lt;&gt;",$B$2:B1188,""),"000"))</f>
        <v/>
      </c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 hidden="1" x14ac:dyDescent="0.25">
      <c r="A1189" s="183" t="str">
        <f ca="1">IF(E1189="","",IF(B1189="",YEAR(TODAY()),B1189)&amp;"-"&amp;TEXT(COUNTIF($B$2:B1189,IF(B1189="",YEAR(TODAY()),B1189))+COUNTIFS($E$2:E1189,"&lt;&gt;",$B$2:B1189,""),"000"))</f>
        <v/>
      </c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 hidden="1" x14ac:dyDescent="0.25">
      <c r="A1190" s="183" t="str">
        <f ca="1">IF(E1190="","",IF(B1190="",YEAR(TODAY()),B1190)&amp;"-"&amp;TEXT(COUNTIF($B$2:B1190,IF(B1190="",YEAR(TODAY()),B1190))+COUNTIFS($E$2:E1190,"&lt;&gt;",$B$2:B1190,""),"000"))</f>
        <v/>
      </c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 hidden="1" x14ac:dyDescent="0.25">
      <c r="A1191" s="183" t="str">
        <f ca="1">IF(E1191="","",IF(B1191="",YEAR(TODAY()),B1191)&amp;"-"&amp;TEXT(COUNTIF($B$2:B1191,IF(B1191="",YEAR(TODAY()),B1191))+COUNTIFS($E$2:E1191,"&lt;&gt;",$B$2:B1191,""),"000"))</f>
        <v/>
      </c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 hidden="1" x14ac:dyDescent="0.25">
      <c r="A1192" s="183" t="str">
        <f ca="1">IF(E1192="","",IF(B1192="",YEAR(TODAY()),B1192)&amp;"-"&amp;TEXT(COUNTIF($B$2:B1192,IF(B1192="",YEAR(TODAY()),B1192))+COUNTIFS($E$2:E1192,"&lt;&gt;",$B$2:B1192,""),"000"))</f>
        <v/>
      </c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 hidden="1" x14ac:dyDescent="0.25">
      <c r="A1193" s="183" t="str">
        <f ca="1">IF(E1193="","",IF(B1193="",YEAR(TODAY()),B1193)&amp;"-"&amp;TEXT(COUNTIF($B$2:B1193,IF(B1193="",YEAR(TODAY()),B1193))+COUNTIFS($E$2:E1193,"&lt;&gt;",$B$2:B1193,""),"000"))</f>
        <v/>
      </c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 hidden="1" x14ac:dyDescent="0.25">
      <c r="A1194" s="183" t="str">
        <f ca="1">IF(E1194="","",IF(B1194="",YEAR(TODAY()),B1194)&amp;"-"&amp;TEXT(COUNTIF($B$2:B1194,IF(B1194="",YEAR(TODAY()),B1194))+COUNTIFS($E$2:E1194,"&lt;&gt;",$B$2:B1194,""),"000"))</f>
        <v/>
      </c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 hidden="1" x14ac:dyDescent="0.25">
      <c r="A1195" s="183" t="str">
        <f ca="1">IF(E1195="","",IF(B1195="",YEAR(TODAY()),B1195)&amp;"-"&amp;TEXT(COUNTIF($B$2:B1195,IF(B1195="",YEAR(TODAY()),B1195))+COUNTIFS($E$2:E1195,"&lt;&gt;",$B$2:B1195,""),"000"))</f>
        <v/>
      </c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 hidden="1" x14ac:dyDescent="0.25">
      <c r="A1196" s="183" t="str">
        <f ca="1">IF(E1196="","",IF(B1196="",YEAR(TODAY()),B1196)&amp;"-"&amp;TEXT(COUNTIF($B$2:B1196,IF(B1196="",YEAR(TODAY()),B1196))+COUNTIFS($E$2:E1196,"&lt;&gt;",$B$2:B1196,""),"000"))</f>
        <v/>
      </c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 hidden="1" x14ac:dyDescent="0.25">
      <c r="A1197" s="183" t="str">
        <f ca="1">IF(E1197="","",IF(B1197="",YEAR(TODAY()),B1197)&amp;"-"&amp;TEXT(COUNTIF($B$2:B1197,IF(B1197="",YEAR(TODAY()),B1197))+COUNTIFS($E$2:E1197,"&lt;&gt;",$B$2:B1197,""),"000"))</f>
        <v/>
      </c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 hidden="1" x14ac:dyDescent="0.25">
      <c r="A1198" s="183" t="str">
        <f ca="1">IF(E1198="","",IF(B1198="",YEAR(TODAY()),B1198)&amp;"-"&amp;TEXT(COUNTIF($B$2:B1198,IF(B1198="",YEAR(TODAY()),B1198))+COUNTIFS($E$2:E1198,"&lt;&gt;",$B$2:B1198,""),"000"))</f>
        <v/>
      </c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 hidden="1" x14ac:dyDescent="0.25">
      <c r="A1199" s="183" t="str">
        <f ca="1">IF(E1199="","",IF(B1199="",YEAR(TODAY()),B1199)&amp;"-"&amp;TEXT(COUNTIF($B$2:B1199,IF(B1199="",YEAR(TODAY()),B1199))+COUNTIFS($E$2:E1199,"&lt;&gt;",$B$2:B1199,""),"000"))</f>
        <v/>
      </c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 hidden="1" x14ac:dyDescent="0.25">
      <c r="A1200" s="183" t="str">
        <f ca="1">IF(E1200="","",IF(B1200="",YEAR(TODAY()),B1200)&amp;"-"&amp;TEXT(COUNTIF($B$2:B1200,IF(B1200="",YEAR(TODAY()),B1200))+COUNTIFS($E$2:E1200,"&lt;&gt;",$B$2:B1200,""),"000"))</f>
        <v/>
      </c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 hidden="1" x14ac:dyDescent="0.25">
      <c r="A1201" s="183" t="str">
        <f ca="1">IF(E1201="","",IF(B1201="",YEAR(TODAY()),B1201)&amp;"-"&amp;TEXT(COUNTIF($B$2:B1201,IF(B1201="",YEAR(TODAY()),B1201))+COUNTIFS($E$2:E1201,"&lt;&gt;",$B$2:B1201,""),"000"))</f>
        <v/>
      </c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 hidden="1" x14ac:dyDescent="0.25">
      <c r="A1202" s="183" t="str">
        <f ca="1">IF(E1202="","",IF(B1202="",YEAR(TODAY()),B1202)&amp;"-"&amp;TEXT(COUNTIF($B$2:B1202,IF(B1202="",YEAR(TODAY()),B1202))+COUNTIFS($E$2:E1202,"&lt;&gt;",$B$2:B1202,""),"000"))</f>
        <v/>
      </c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 hidden="1" x14ac:dyDescent="0.25">
      <c r="A1203" s="183" t="str">
        <f ca="1">IF(E1203="","",IF(B1203="",YEAR(TODAY()),B1203)&amp;"-"&amp;TEXT(COUNTIF($B$2:B1203,IF(B1203="",YEAR(TODAY()),B1203))+COUNTIFS($E$2:E1203,"&lt;&gt;",$B$2:B1203,""),"000"))</f>
        <v/>
      </c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 hidden="1" x14ac:dyDescent="0.25">
      <c r="A1204" s="183" t="str">
        <f ca="1">IF(E1204="","",IF(B1204="",YEAR(TODAY()),B1204)&amp;"-"&amp;TEXT(COUNTIF($B$2:B1204,IF(B1204="",YEAR(TODAY()),B1204))+COUNTIFS($E$2:E1204,"&lt;&gt;",$B$2:B1204,""),"000"))</f>
        <v/>
      </c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 hidden="1" x14ac:dyDescent="0.25">
      <c r="A1205" s="183" t="str">
        <f ca="1">IF(E1205="","",IF(B1205="",YEAR(TODAY()),B1205)&amp;"-"&amp;TEXT(COUNTIF($B$2:B1205,IF(B1205="",YEAR(TODAY()),B1205))+COUNTIFS($E$2:E1205,"&lt;&gt;",$B$2:B1205,""),"000"))</f>
        <v/>
      </c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 hidden="1" x14ac:dyDescent="0.25">
      <c r="A1206" s="183" t="str">
        <f ca="1">IF(E1206="","",IF(B1206="",YEAR(TODAY()),B1206)&amp;"-"&amp;TEXT(COUNTIF($B$2:B1206,IF(B1206="",YEAR(TODAY()),B1206))+COUNTIFS($E$2:E1206,"&lt;&gt;",$B$2:B1206,""),"000"))</f>
        <v/>
      </c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 hidden="1" x14ac:dyDescent="0.25">
      <c r="A1207" s="183" t="str">
        <f ca="1">IF(E1207="","",IF(B1207="",YEAR(TODAY()),B1207)&amp;"-"&amp;TEXT(COUNTIF($B$2:B1207,IF(B1207="",YEAR(TODAY()),B1207))+COUNTIFS($E$2:E1207,"&lt;&gt;",$B$2:B1207,""),"000"))</f>
        <v/>
      </c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 hidden="1" x14ac:dyDescent="0.25">
      <c r="A1208" s="183" t="str">
        <f ca="1">IF(E1208="","",IF(B1208="",YEAR(TODAY()),B1208)&amp;"-"&amp;TEXT(COUNTIF($B$2:B1208,IF(B1208="",YEAR(TODAY()),B1208))+COUNTIFS($E$2:E1208,"&lt;&gt;",$B$2:B1208,""),"000"))</f>
        <v/>
      </c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 hidden="1" x14ac:dyDescent="0.25">
      <c r="A1209" s="183" t="str">
        <f ca="1">IF(E1209="","",IF(B1209="",YEAR(TODAY()),B1209)&amp;"-"&amp;TEXT(COUNTIF($B$2:B1209,IF(B1209="",YEAR(TODAY()),B1209))+COUNTIFS($E$2:E1209,"&lt;&gt;",$B$2:B1209,""),"000"))</f>
        <v/>
      </c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 hidden="1" x14ac:dyDescent="0.25">
      <c r="A1210" s="183" t="str">
        <f ca="1">IF(E1210="","",IF(B1210="",YEAR(TODAY()),B1210)&amp;"-"&amp;TEXT(COUNTIF($B$2:B1210,IF(B1210="",YEAR(TODAY()),B1210))+COUNTIFS($E$2:E1210,"&lt;&gt;",$B$2:B1210,""),"000"))</f>
        <v/>
      </c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 hidden="1" x14ac:dyDescent="0.25">
      <c r="A1211" s="183" t="str">
        <f ca="1">IF(E1211="","",IF(B1211="",YEAR(TODAY()),B1211)&amp;"-"&amp;TEXT(COUNTIF($B$2:B1211,IF(B1211="",YEAR(TODAY()),B1211))+COUNTIFS($E$2:E1211,"&lt;&gt;",$B$2:B1211,""),"000"))</f>
        <v/>
      </c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 hidden="1" x14ac:dyDescent="0.25">
      <c r="A1212" s="183" t="str">
        <f ca="1">IF(E1212="","",IF(B1212="",YEAR(TODAY()),B1212)&amp;"-"&amp;TEXT(COUNTIF($B$2:B1212,IF(B1212="",YEAR(TODAY()),B1212))+COUNTIFS($E$2:E1212,"&lt;&gt;",$B$2:B1212,""),"000"))</f>
        <v/>
      </c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 hidden="1" x14ac:dyDescent="0.25">
      <c r="A1213" s="183" t="str">
        <f ca="1">IF(E1213="","",IF(B1213="",YEAR(TODAY()),B1213)&amp;"-"&amp;TEXT(COUNTIF($B$2:B1213,IF(B1213="",YEAR(TODAY()),B1213))+COUNTIFS($E$2:E1213,"&lt;&gt;",$B$2:B1213,""),"000"))</f>
        <v/>
      </c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 hidden="1" x14ac:dyDescent="0.25">
      <c r="A1214" s="183" t="str">
        <f ca="1">IF(E1214="","",IF(B1214="",YEAR(TODAY()),B1214)&amp;"-"&amp;TEXT(COUNTIF($B$2:B1214,IF(B1214="",YEAR(TODAY()),B1214))+COUNTIFS($E$2:E1214,"&lt;&gt;",$B$2:B1214,""),"000"))</f>
        <v/>
      </c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 hidden="1" x14ac:dyDescent="0.25">
      <c r="A1215" s="183" t="str">
        <f ca="1">IF(E1215="","",IF(B1215="",YEAR(TODAY()),B1215)&amp;"-"&amp;TEXT(COUNTIF($B$2:B1215,IF(B1215="",YEAR(TODAY()),B1215))+COUNTIFS($E$2:E1215,"&lt;&gt;",$B$2:B1215,""),"000"))</f>
        <v/>
      </c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 hidden="1" x14ac:dyDescent="0.25">
      <c r="A1216" s="183" t="str">
        <f ca="1">IF(E1216="","",IF(B1216="",YEAR(TODAY()),B1216)&amp;"-"&amp;TEXT(COUNTIF($B$2:B1216,IF(B1216="",YEAR(TODAY()),B1216))+COUNTIFS($E$2:E1216,"&lt;&gt;",$B$2:B1216,""),"000"))</f>
        <v/>
      </c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 hidden="1" x14ac:dyDescent="0.25">
      <c r="A1217" s="183" t="str">
        <f ca="1">IF(E1217="","",IF(B1217="",YEAR(TODAY()),B1217)&amp;"-"&amp;TEXT(COUNTIF($B$2:B1217,IF(B1217="",YEAR(TODAY()),B1217))+COUNTIFS($E$2:E1217,"&lt;&gt;",$B$2:B1217,""),"000"))</f>
        <v/>
      </c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 hidden="1" x14ac:dyDescent="0.25">
      <c r="A1218" s="183" t="str">
        <f ca="1">IF(E1218="","",IF(B1218="",YEAR(TODAY()),B1218)&amp;"-"&amp;TEXT(COUNTIF($B$2:B1218,IF(B1218="",YEAR(TODAY()),B1218))+COUNTIFS($E$2:E1218,"&lt;&gt;",$B$2:B1218,""),"000"))</f>
        <v/>
      </c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 hidden="1" x14ac:dyDescent="0.25">
      <c r="A1219" s="183" t="str">
        <f ca="1">IF(E1219="","",IF(B1219="",YEAR(TODAY()),B1219)&amp;"-"&amp;TEXT(COUNTIF($B$2:B1219,IF(B1219="",YEAR(TODAY()),B1219))+COUNTIFS($E$2:E1219,"&lt;&gt;",$B$2:B1219,""),"000"))</f>
        <v/>
      </c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 hidden="1" x14ac:dyDescent="0.25">
      <c r="A1220" s="183" t="str">
        <f ca="1">IF(E1220="","",IF(B1220="",YEAR(TODAY()),B1220)&amp;"-"&amp;TEXT(COUNTIF($B$2:B1220,IF(B1220="",YEAR(TODAY()),B1220))+COUNTIFS($E$2:E1220,"&lt;&gt;",$B$2:B1220,""),"000"))</f>
        <v/>
      </c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 hidden="1" x14ac:dyDescent="0.25">
      <c r="A1221" s="183" t="str">
        <f ca="1">IF(E1221="","",IF(B1221="",YEAR(TODAY()),B1221)&amp;"-"&amp;TEXT(COUNTIF($B$2:B1221,IF(B1221="",YEAR(TODAY()),B1221))+COUNTIFS($E$2:E1221,"&lt;&gt;",$B$2:B1221,""),"000"))</f>
        <v/>
      </c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 hidden="1" x14ac:dyDescent="0.25">
      <c r="A1222" s="183" t="str">
        <f ca="1">IF(E1222="","",IF(B1222="",YEAR(TODAY()),B1222)&amp;"-"&amp;TEXT(COUNTIF($B$2:B1222,IF(B1222="",YEAR(TODAY()),B1222))+COUNTIFS($E$2:E1222,"&lt;&gt;",$B$2:B1222,""),"000"))</f>
        <v/>
      </c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 hidden="1" x14ac:dyDescent="0.25">
      <c r="A1223" s="183" t="str">
        <f ca="1">IF(E1223="","",IF(B1223="",YEAR(TODAY()),B1223)&amp;"-"&amp;TEXT(COUNTIF($B$2:B1223,IF(B1223="",YEAR(TODAY()),B1223))+COUNTIFS($E$2:E1223,"&lt;&gt;",$B$2:B1223,""),"000"))</f>
        <v/>
      </c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 hidden="1" x14ac:dyDescent="0.25">
      <c r="A1224" s="183" t="str">
        <f ca="1">IF(E1224="","",IF(B1224="",YEAR(TODAY()),B1224)&amp;"-"&amp;TEXT(COUNTIF($B$2:B1224,IF(B1224="",YEAR(TODAY()),B1224))+COUNTIFS($E$2:E1224,"&lt;&gt;",$B$2:B1224,""),"000"))</f>
        <v/>
      </c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 hidden="1" x14ac:dyDescent="0.25">
      <c r="A1225" s="183" t="str">
        <f ca="1">IF(E1225="","",IF(B1225="",YEAR(TODAY()),B1225)&amp;"-"&amp;TEXT(COUNTIF($B$2:B1225,IF(B1225="",YEAR(TODAY()),B1225))+COUNTIFS($E$2:E1225,"&lt;&gt;",$B$2:B1225,""),"000"))</f>
        <v/>
      </c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 hidden="1" x14ac:dyDescent="0.25">
      <c r="A1226" s="183" t="str">
        <f ca="1">IF(E1226="","",IF(B1226="",YEAR(TODAY()),B1226)&amp;"-"&amp;TEXT(COUNTIF($B$2:B1226,IF(B1226="",YEAR(TODAY()),B1226))+COUNTIFS($E$2:E1226,"&lt;&gt;",$B$2:B1226,""),"000"))</f>
        <v/>
      </c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 hidden="1" x14ac:dyDescent="0.25">
      <c r="A1227" s="183" t="str">
        <f ca="1">IF(E1227="","",IF(B1227="",YEAR(TODAY()),B1227)&amp;"-"&amp;TEXT(COUNTIF($B$2:B1227,IF(B1227="",YEAR(TODAY()),B1227))+COUNTIFS($E$2:E1227,"&lt;&gt;",$B$2:B1227,""),"000"))</f>
        <v/>
      </c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 hidden="1" x14ac:dyDescent="0.25">
      <c r="A1228" s="183" t="str">
        <f ca="1">IF(E1228="","",IF(B1228="",YEAR(TODAY()),B1228)&amp;"-"&amp;TEXT(COUNTIF($B$2:B1228,IF(B1228="",YEAR(TODAY()),B1228))+COUNTIFS($E$2:E1228,"&lt;&gt;",$B$2:B1228,""),"000"))</f>
        <v/>
      </c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 hidden="1" x14ac:dyDescent="0.25">
      <c r="A1229" s="183" t="str">
        <f ca="1">IF(E1229="","",IF(B1229="",YEAR(TODAY()),B1229)&amp;"-"&amp;TEXT(COUNTIF($B$2:B1229,IF(B1229="",YEAR(TODAY()),B1229))+COUNTIFS($E$2:E1229,"&lt;&gt;",$B$2:B1229,""),"000"))</f>
        <v/>
      </c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 hidden="1" x14ac:dyDescent="0.25">
      <c r="A1230" s="183" t="str">
        <f ca="1">IF(E1230="","",IF(B1230="",YEAR(TODAY()),B1230)&amp;"-"&amp;TEXT(COUNTIF($B$2:B1230,IF(B1230="",YEAR(TODAY()),B1230))+COUNTIFS($E$2:E1230,"&lt;&gt;",$B$2:B1230,""),"000"))</f>
        <v/>
      </c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 hidden="1" x14ac:dyDescent="0.25">
      <c r="A1231" s="183" t="str">
        <f ca="1">IF(E1231="","",IF(B1231="",YEAR(TODAY()),B1231)&amp;"-"&amp;TEXT(COUNTIF($B$2:B1231,IF(B1231="",YEAR(TODAY()),B1231))+COUNTIFS($E$2:E1231,"&lt;&gt;",$B$2:B1231,""),"000"))</f>
        <v/>
      </c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 hidden="1" x14ac:dyDescent="0.25">
      <c r="A1232" s="183" t="str">
        <f ca="1">IF(E1232="","",IF(B1232="",YEAR(TODAY()),B1232)&amp;"-"&amp;TEXT(COUNTIF($B$2:B1232,IF(B1232="",YEAR(TODAY()),B1232))+COUNTIFS($E$2:E1232,"&lt;&gt;",$B$2:B1232,""),"000"))</f>
        <v/>
      </c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 hidden="1" x14ac:dyDescent="0.25">
      <c r="A1233" s="183" t="str">
        <f ca="1">IF(E1233="","",IF(B1233="",YEAR(TODAY()),B1233)&amp;"-"&amp;TEXT(COUNTIF($B$2:B1233,IF(B1233="",YEAR(TODAY()),B1233))+COUNTIFS($E$2:E1233,"&lt;&gt;",$B$2:B1233,""),"000"))</f>
        <v/>
      </c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 hidden="1" x14ac:dyDescent="0.25">
      <c r="A1234" s="183" t="str">
        <f ca="1">IF(E1234="","",IF(B1234="",YEAR(TODAY()),B1234)&amp;"-"&amp;TEXT(COUNTIF($B$2:B1234,IF(B1234="",YEAR(TODAY()),B1234))+COUNTIFS($E$2:E1234,"&lt;&gt;",$B$2:B1234,""),"000"))</f>
        <v/>
      </c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 hidden="1" x14ac:dyDescent="0.25">
      <c r="A1235" s="183" t="str">
        <f ca="1">IF(E1235="","",IF(B1235="",YEAR(TODAY()),B1235)&amp;"-"&amp;TEXT(COUNTIF($B$2:B1235,IF(B1235="",YEAR(TODAY()),B1235))+COUNTIFS($E$2:E1235,"&lt;&gt;",$B$2:B1235,""),"000"))</f>
        <v/>
      </c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 hidden="1" x14ac:dyDescent="0.25">
      <c r="A1236" s="183" t="str">
        <f ca="1">IF(E1236="","",IF(B1236="",YEAR(TODAY()),B1236)&amp;"-"&amp;TEXT(COUNTIF($B$2:B1236,IF(B1236="",YEAR(TODAY()),B1236))+COUNTIFS($E$2:E1236,"&lt;&gt;",$B$2:B1236,""),"000"))</f>
        <v/>
      </c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 hidden="1" x14ac:dyDescent="0.25">
      <c r="A1237" s="183" t="str">
        <f ca="1">IF(E1237="","",IF(B1237="",YEAR(TODAY()),B1237)&amp;"-"&amp;TEXT(COUNTIF($B$2:B1237,IF(B1237="",YEAR(TODAY()),B1237))+COUNTIFS($E$2:E1237,"&lt;&gt;",$B$2:B1237,""),"000"))</f>
        <v/>
      </c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 hidden="1" x14ac:dyDescent="0.25">
      <c r="A1238" s="183" t="str">
        <f ca="1">IF(E1238="","",IF(B1238="",YEAR(TODAY()),B1238)&amp;"-"&amp;TEXT(COUNTIF($B$2:B1238,IF(B1238="",YEAR(TODAY()),B1238))+COUNTIFS($E$2:E1238,"&lt;&gt;",$B$2:B1238,""),"000"))</f>
        <v/>
      </c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 hidden="1" x14ac:dyDescent="0.25">
      <c r="A1239" s="183" t="str">
        <f ca="1">IF(E1239="","",IF(B1239="",YEAR(TODAY()),B1239)&amp;"-"&amp;TEXT(COUNTIF($B$2:B1239,IF(B1239="",YEAR(TODAY()),B1239))+COUNTIFS($E$2:E1239,"&lt;&gt;",$B$2:B1239,""),"000"))</f>
        <v/>
      </c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 hidden="1" x14ac:dyDescent="0.25">
      <c r="A1240" s="183" t="str">
        <f ca="1">IF(E1240="","",IF(B1240="",YEAR(TODAY()),B1240)&amp;"-"&amp;TEXT(COUNTIF($B$2:B1240,IF(B1240="",YEAR(TODAY()),B1240))+COUNTIFS($E$2:E1240,"&lt;&gt;",$B$2:B1240,""),"000"))</f>
        <v/>
      </c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 hidden="1" x14ac:dyDescent="0.25">
      <c r="A1241" s="183" t="str">
        <f ca="1">IF(E1241="","",IF(B1241="",YEAR(TODAY()),B1241)&amp;"-"&amp;TEXT(COUNTIF($B$2:B1241,IF(B1241="",YEAR(TODAY()),B1241))+COUNTIFS($E$2:E1241,"&lt;&gt;",$B$2:B1241,""),"000"))</f>
        <v/>
      </c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 hidden="1" x14ac:dyDescent="0.25">
      <c r="A1242" s="183" t="str">
        <f ca="1">IF(E1242="","",IF(B1242="",YEAR(TODAY()),B1242)&amp;"-"&amp;TEXT(COUNTIF($B$2:B1242,IF(B1242="",YEAR(TODAY()),B1242))+COUNTIFS($E$2:E1242,"&lt;&gt;",$B$2:B1242,""),"000"))</f>
        <v/>
      </c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 hidden="1" x14ac:dyDescent="0.25">
      <c r="A1243" s="183" t="str">
        <f ca="1">IF(E1243="","",IF(B1243="",YEAR(TODAY()),B1243)&amp;"-"&amp;TEXT(COUNTIF($B$2:B1243,IF(B1243="",YEAR(TODAY()),B1243))+COUNTIFS($E$2:E1243,"&lt;&gt;",$B$2:B1243,""),"000"))</f>
        <v/>
      </c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 hidden="1" x14ac:dyDescent="0.25">
      <c r="A1244" s="183" t="str">
        <f ca="1">IF(E1244="","",IF(B1244="",YEAR(TODAY()),B1244)&amp;"-"&amp;TEXT(COUNTIF($B$2:B1244,IF(B1244="",YEAR(TODAY()),B1244))+COUNTIFS($E$2:E1244,"&lt;&gt;",$B$2:B1244,""),"000"))</f>
        <v/>
      </c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 hidden="1" x14ac:dyDescent="0.25">
      <c r="A1245" s="183" t="str">
        <f ca="1">IF(E1245="","",IF(B1245="",YEAR(TODAY()),B1245)&amp;"-"&amp;TEXT(COUNTIF($B$2:B1245,IF(B1245="",YEAR(TODAY()),B1245))+COUNTIFS($E$2:E1245,"&lt;&gt;",$B$2:B1245,""),"000"))</f>
        <v/>
      </c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 hidden="1" x14ac:dyDescent="0.25">
      <c r="A1246" s="183" t="str">
        <f ca="1">IF(E1246="","",IF(B1246="",YEAR(TODAY()),B1246)&amp;"-"&amp;TEXT(COUNTIF($B$2:B1246,IF(B1246="",YEAR(TODAY()),B1246))+COUNTIFS($E$2:E1246,"&lt;&gt;",$B$2:B1246,""),"000"))</f>
        <v/>
      </c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 hidden="1" x14ac:dyDescent="0.25">
      <c r="A1247" s="183" t="str">
        <f ca="1">IF(E1247="","",IF(B1247="",YEAR(TODAY()),B1247)&amp;"-"&amp;TEXT(COUNTIF($B$2:B1247,IF(B1247="",YEAR(TODAY()),B1247))+COUNTIFS($E$2:E1247,"&lt;&gt;",$B$2:B1247,""),"000"))</f>
        <v/>
      </c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 hidden="1" x14ac:dyDescent="0.25">
      <c r="A1248" s="183" t="str">
        <f ca="1">IF(E1248="","",IF(B1248="",YEAR(TODAY()),B1248)&amp;"-"&amp;TEXT(COUNTIF($B$2:B1248,IF(B1248="",YEAR(TODAY()),B1248))+COUNTIFS($E$2:E1248,"&lt;&gt;",$B$2:B1248,""),"000"))</f>
        <v/>
      </c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 hidden="1" x14ac:dyDescent="0.25">
      <c r="A1249" s="183" t="str">
        <f ca="1">IF(E1249="","",IF(B1249="",YEAR(TODAY()),B1249)&amp;"-"&amp;TEXT(COUNTIF($B$2:B1249,IF(B1249="",YEAR(TODAY()),B1249))+COUNTIFS($E$2:E1249,"&lt;&gt;",$B$2:B1249,""),"000"))</f>
        <v/>
      </c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 hidden="1" x14ac:dyDescent="0.25">
      <c r="A1250" s="183" t="str">
        <f ca="1">IF(E1250="","",IF(B1250="",YEAR(TODAY()),B1250)&amp;"-"&amp;TEXT(COUNTIF($B$2:B1250,IF(B1250="",YEAR(TODAY()),B1250))+COUNTIFS($E$2:E1250,"&lt;&gt;",$B$2:B1250,""),"000"))</f>
        <v/>
      </c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 hidden="1" x14ac:dyDescent="0.25">
      <c r="A1251" s="183" t="str">
        <f ca="1">IF(E1251="","",IF(B1251="",YEAR(TODAY()),B1251)&amp;"-"&amp;TEXT(COUNTIF($B$2:B1251,IF(B1251="",YEAR(TODAY()),B1251))+COUNTIFS($E$2:E1251,"&lt;&gt;",$B$2:B1251,""),"000"))</f>
        <v/>
      </c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 hidden="1" x14ac:dyDescent="0.25">
      <c r="A1252" s="183" t="str">
        <f ca="1">IF(E1252="","",IF(B1252="",YEAR(TODAY()),B1252)&amp;"-"&amp;TEXT(COUNTIF($B$2:B1252,IF(B1252="",YEAR(TODAY()),B1252))+COUNTIFS($E$2:E1252,"&lt;&gt;",$B$2:B1252,""),"000"))</f>
        <v/>
      </c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 hidden="1" x14ac:dyDescent="0.25">
      <c r="A1253" s="183" t="str">
        <f ca="1">IF(E1253="","",IF(B1253="",YEAR(TODAY()),B1253)&amp;"-"&amp;TEXT(COUNTIF($B$2:B1253,IF(B1253="",YEAR(TODAY()),B1253))+COUNTIFS($E$2:E1253,"&lt;&gt;",$B$2:B1253,""),"000"))</f>
        <v/>
      </c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 hidden="1" x14ac:dyDescent="0.25">
      <c r="A1254" s="183" t="str">
        <f ca="1">IF(E1254="","",IF(B1254="",YEAR(TODAY()),B1254)&amp;"-"&amp;TEXT(COUNTIF($B$2:B1254,IF(B1254="",YEAR(TODAY()),B1254))+COUNTIFS($E$2:E1254,"&lt;&gt;",$B$2:B1254,""),"000"))</f>
        <v/>
      </c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 hidden="1" x14ac:dyDescent="0.25">
      <c r="A1255" s="183" t="str">
        <f ca="1">IF(E1255="","",IF(B1255="",YEAR(TODAY()),B1255)&amp;"-"&amp;TEXT(COUNTIF($B$2:B1255,IF(B1255="",YEAR(TODAY()),B1255))+COUNTIFS($E$2:E1255,"&lt;&gt;",$B$2:B1255,""),"000"))</f>
        <v/>
      </c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 hidden="1" x14ac:dyDescent="0.25">
      <c r="A1256" s="183" t="str">
        <f ca="1">IF(E1256="","",IF(B1256="",YEAR(TODAY()),B1256)&amp;"-"&amp;TEXT(COUNTIF($B$2:B1256,IF(B1256="",YEAR(TODAY()),B1256))+COUNTIFS($E$2:E1256,"&lt;&gt;",$B$2:B1256,""),"000"))</f>
        <v/>
      </c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 hidden="1" x14ac:dyDescent="0.25">
      <c r="A1257" s="183" t="str">
        <f ca="1">IF(E1257="","",IF(B1257="",YEAR(TODAY()),B1257)&amp;"-"&amp;TEXT(COUNTIF($B$2:B1257,IF(B1257="",YEAR(TODAY()),B1257))+COUNTIFS($E$2:E1257,"&lt;&gt;",$B$2:B1257,""),"000"))</f>
        <v/>
      </c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 hidden="1" x14ac:dyDescent="0.25">
      <c r="A1258" s="183" t="str">
        <f ca="1">IF(E1258="","",IF(B1258="",YEAR(TODAY()),B1258)&amp;"-"&amp;TEXT(COUNTIF($B$2:B1258,IF(B1258="",YEAR(TODAY()),B1258))+COUNTIFS($E$2:E1258,"&lt;&gt;",$B$2:B1258,""),"000"))</f>
        <v/>
      </c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 hidden="1" x14ac:dyDescent="0.25">
      <c r="A1259" s="183" t="str">
        <f ca="1">IF(E1259="","",IF(B1259="",YEAR(TODAY()),B1259)&amp;"-"&amp;TEXT(COUNTIF($B$2:B1259,IF(B1259="",YEAR(TODAY()),B1259))+COUNTIFS($E$2:E1259,"&lt;&gt;",$B$2:B1259,""),"000"))</f>
        <v/>
      </c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 hidden="1" x14ac:dyDescent="0.25">
      <c r="A1260" s="183" t="str">
        <f ca="1">IF(E1260="","",IF(B1260="",YEAR(TODAY()),B1260)&amp;"-"&amp;TEXT(COUNTIF($B$2:B1260,IF(B1260="",YEAR(TODAY()),B1260))+COUNTIFS($E$2:E1260,"&lt;&gt;",$B$2:B1260,""),"000"))</f>
        <v/>
      </c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 hidden="1" x14ac:dyDescent="0.25">
      <c r="A1261" s="183" t="str">
        <f ca="1">IF(E1261="","",IF(B1261="",YEAR(TODAY()),B1261)&amp;"-"&amp;TEXT(COUNTIF($B$2:B1261,IF(B1261="",YEAR(TODAY()),B1261))+COUNTIFS($E$2:E1261,"&lt;&gt;",$B$2:B1261,""),"000"))</f>
        <v/>
      </c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 hidden="1" x14ac:dyDescent="0.25">
      <c r="A1262" s="183" t="str">
        <f ca="1">IF(E1262="","",IF(B1262="",YEAR(TODAY()),B1262)&amp;"-"&amp;TEXT(COUNTIF($B$2:B1262,IF(B1262="",YEAR(TODAY()),B1262))+COUNTIFS($E$2:E1262,"&lt;&gt;",$B$2:B1262,""),"000"))</f>
        <v/>
      </c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 hidden="1" x14ac:dyDescent="0.25">
      <c r="A1263" s="183" t="str">
        <f ca="1">IF(E1263="","",IF(B1263="",YEAR(TODAY()),B1263)&amp;"-"&amp;TEXT(COUNTIF($B$2:B1263,IF(B1263="",YEAR(TODAY()),B1263))+COUNTIFS($E$2:E1263,"&lt;&gt;",$B$2:B1263,""),"000"))</f>
        <v/>
      </c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 hidden="1" x14ac:dyDescent="0.25">
      <c r="A1264" s="183" t="str">
        <f ca="1">IF(E1264="","",IF(B1264="",YEAR(TODAY()),B1264)&amp;"-"&amp;TEXT(COUNTIF($B$2:B1264,IF(B1264="",YEAR(TODAY()),B1264))+COUNTIFS($E$2:E1264,"&lt;&gt;",$B$2:B1264,""),"000"))</f>
        <v/>
      </c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 hidden="1" x14ac:dyDescent="0.25">
      <c r="A1265" s="183" t="str">
        <f ca="1">IF(E1265="","",IF(B1265="",YEAR(TODAY()),B1265)&amp;"-"&amp;TEXT(COUNTIF($B$2:B1265,IF(B1265="",YEAR(TODAY()),B1265))+COUNTIFS($E$2:E1265,"&lt;&gt;",$B$2:B1265,""),"000"))</f>
        <v/>
      </c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 hidden="1" x14ac:dyDescent="0.25">
      <c r="A1266" s="183" t="str">
        <f ca="1">IF(E1266="","",IF(B1266="",YEAR(TODAY()),B1266)&amp;"-"&amp;TEXT(COUNTIF($B$2:B1266,IF(B1266="",YEAR(TODAY()),B1266))+COUNTIFS($E$2:E1266,"&lt;&gt;",$B$2:B1266,""),"000"))</f>
        <v/>
      </c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 hidden="1" x14ac:dyDescent="0.25">
      <c r="A1267" s="183" t="str">
        <f ca="1">IF(E1267="","",IF(B1267="",YEAR(TODAY()),B1267)&amp;"-"&amp;TEXT(COUNTIF($B$2:B1267,IF(B1267="",YEAR(TODAY()),B1267))+COUNTIFS($E$2:E1267,"&lt;&gt;",$B$2:B1267,""),"000"))</f>
        <v/>
      </c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 hidden="1" x14ac:dyDescent="0.25">
      <c r="A1268" s="183" t="str">
        <f ca="1">IF(E1268="","",IF(B1268="",YEAR(TODAY()),B1268)&amp;"-"&amp;TEXT(COUNTIF($B$2:B1268,IF(B1268="",YEAR(TODAY()),B1268))+COUNTIFS($E$2:E1268,"&lt;&gt;",$B$2:B1268,""),"000"))</f>
        <v/>
      </c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 hidden="1" x14ac:dyDescent="0.25">
      <c r="A1269" s="183" t="str">
        <f ca="1">IF(E1269="","",IF(B1269="",YEAR(TODAY()),B1269)&amp;"-"&amp;TEXT(COUNTIF($B$2:B1269,IF(B1269="",YEAR(TODAY()),B1269))+COUNTIFS($E$2:E1269,"&lt;&gt;",$B$2:B1269,""),"000"))</f>
        <v/>
      </c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 hidden="1" x14ac:dyDescent="0.25">
      <c r="A1270" s="183" t="str">
        <f ca="1">IF(E1270="","",IF(B1270="",YEAR(TODAY()),B1270)&amp;"-"&amp;TEXT(COUNTIF($B$2:B1270,IF(B1270="",YEAR(TODAY()),B1270))+COUNTIFS($E$2:E1270,"&lt;&gt;",$B$2:B1270,""),"000"))</f>
        <v/>
      </c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 hidden="1" x14ac:dyDescent="0.25">
      <c r="A1271" s="183" t="str">
        <f ca="1">IF(E1271="","",IF(B1271="",YEAR(TODAY()),B1271)&amp;"-"&amp;TEXT(COUNTIF($B$2:B1271,IF(B1271="",YEAR(TODAY()),B1271))+COUNTIFS($E$2:E1271,"&lt;&gt;",$B$2:B1271,""),"000"))</f>
        <v/>
      </c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 hidden="1" x14ac:dyDescent="0.25">
      <c r="A1272" s="183" t="str">
        <f ca="1">IF(E1272="","",IF(B1272="",YEAR(TODAY()),B1272)&amp;"-"&amp;TEXT(COUNTIF($B$2:B1272,IF(B1272="",YEAR(TODAY()),B1272))+COUNTIFS($E$2:E1272,"&lt;&gt;",$B$2:B1272,""),"000"))</f>
        <v/>
      </c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 hidden="1" x14ac:dyDescent="0.25">
      <c r="A1273" s="183" t="str">
        <f ca="1">IF(E1273="","",IF(B1273="",YEAR(TODAY()),B1273)&amp;"-"&amp;TEXT(COUNTIF($B$2:B1273,IF(B1273="",YEAR(TODAY()),B1273))+COUNTIFS($E$2:E1273,"&lt;&gt;",$B$2:B1273,""),"000"))</f>
        <v/>
      </c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 hidden="1" x14ac:dyDescent="0.25">
      <c r="A1274" s="183" t="str">
        <f ca="1">IF(E1274="","",IF(B1274="",YEAR(TODAY()),B1274)&amp;"-"&amp;TEXT(COUNTIF($B$2:B1274,IF(B1274="",YEAR(TODAY()),B1274))+COUNTIFS($E$2:E1274,"&lt;&gt;",$B$2:B1274,""),"000"))</f>
        <v/>
      </c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 hidden="1" x14ac:dyDescent="0.25">
      <c r="A1275" s="183" t="str">
        <f ca="1">IF(E1275="","",IF(B1275="",YEAR(TODAY()),B1275)&amp;"-"&amp;TEXT(COUNTIF($B$2:B1275,IF(B1275="",YEAR(TODAY()),B1275))+COUNTIFS($E$2:E1275,"&lt;&gt;",$B$2:B1275,""),"000"))</f>
        <v/>
      </c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 hidden="1" x14ac:dyDescent="0.25">
      <c r="A1276" s="183" t="str">
        <f ca="1">IF(E1276="","",IF(B1276="",YEAR(TODAY()),B1276)&amp;"-"&amp;TEXT(COUNTIF($B$2:B1276,IF(B1276="",YEAR(TODAY()),B1276))+COUNTIFS($E$2:E1276,"&lt;&gt;",$B$2:B1276,""),"000"))</f>
        <v/>
      </c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 hidden="1" x14ac:dyDescent="0.25">
      <c r="A1277" s="183" t="str">
        <f ca="1">IF(E1277="","",IF(B1277="",YEAR(TODAY()),B1277)&amp;"-"&amp;TEXT(COUNTIF($B$2:B1277,IF(B1277="",YEAR(TODAY()),B1277))+COUNTIFS($E$2:E1277,"&lt;&gt;",$B$2:B1277,""),"000"))</f>
        <v/>
      </c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 hidden="1" x14ac:dyDescent="0.25">
      <c r="A1278" s="183" t="str">
        <f ca="1">IF(E1278="","",IF(B1278="",YEAR(TODAY()),B1278)&amp;"-"&amp;TEXT(COUNTIF($B$2:B1278,IF(B1278="",YEAR(TODAY()),B1278))+COUNTIFS($E$2:E1278,"&lt;&gt;",$B$2:B1278,""),"000"))</f>
        <v/>
      </c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 hidden="1" x14ac:dyDescent="0.25">
      <c r="A1279" s="183" t="str">
        <f ca="1">IF(E1279="","",IF(B1279="",YEAR(TODAY()),B1279)&amp;"-"&amp;TEXT(COUNTIF($B$2:B1279,IF(B1279="",YEAR(TODAY()),B1279))+COUNTIFS($E$2:E1279,"&lt;&gt;",$B$2:B1279,""),"000"))</f>
        <v/>
      </c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 hidden="1" x14ac:dyDescent="0.25">
      <c r="A1280" s="183" t="str">
        <f ca="1">IF(E1280="","",IF(B1280="",YEAR(TODAY()),B1280)&amp;"-"&amp;TEXT(COUNTIF($B$2:B1280,IF(B1280="",YEAR(TODAY()),B1280))+COUNTIFS($E$2:E1280,"&lt;&gt;",$B$2:B1280,""),"000"))</f>
        <v/>
      </c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 hidden="1" x14ac:dyDescent="0.25">
      <c r="A1281" s="183" t="str">
        <f ca="1">IF(E1281="","",IF(B1281="",YEAR(TODAY()),B1281)&amp;"-"&amp;TEXT(COUNTIF($B$2:B1281,IF(B1281="",YEAR(TODAY()),B1281))+COUNTIFS($E$2:E1281,"&lt;&gt;",$B$2:B1281,""),"000"))</f>
        <v/>
      </c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 hidden="1" x14ac:dyDescent="0.25">
      <c r="A1282" s="183" t="str">
        <f ca="1">IF(E1282="","",IF(B1282="",YEAR(TODAY()),B1282)&amp;"-"&amp;TEXT(COUNTIF($B$2:B1282,IF(B1282="",YEAR(TODAY()),B1282))+COUNTIFS($E$2:E1282,"&lt;&gt;",$B$2:B1282,""),"000"))</f>
        <v/>
      </c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 hidden="1" x14ac:dyDescent="0.25">
      <c r="A1283" s="183" t="str">
        <f ca="1">IF(E1283="","",IF(B1283="",YEAR(TODAY()),B1283)&amp;"-"&amp;TEXT(COUNTIF($B$2:B1283,IF(B1283="",YEAR(TODAY()),B1283))+COUNTIFS($E$2:E1283,"&lt;&gt;",$B$2:B1283,""),"000"))</f>
        <v/>
      </c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 hidden="1" x14ac:dyDescent="0.25">
      <c r="A1284" s="183" t="str">
        <f ca="1">IF(E1284="","",IF(B1284="",YEAR(TODAY()),B1284)&amp;"-"&amp;TEXT(COUNTIF($B$2:B1284,IF(B1284="",YEAR(TODAY()),B1284))+COUNTIFS($E$2:E1284,"&lt;&gt;",$B$2:B1284,""),"000"))</f>
        <v/>
      </c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 hidden="1" x14ac:dyDescent="0.25">
      <c r="A1285" s="183" t="str">
        <f ca="1">IF(E1285="","",IF(B1285="",YEAR(TODAY()),B1285)&amp;"-"&amp;TEXT(COUNTIF($B$2:B1285,IF(B1285="",YEAR(TODAY()),B1285))+COUNTIFS($E$2:E1285,"&lt;&gt;",$B$2:B1285,""),"000"))</f>
        <v/>
      </c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 hidden="1" x14ac:dyDescent="0.25">
      <c r="A1286" s="183" t="str">
        <f ca="1">IF(E1286="","",IF(B1286="",YEAR(TODAY()),B1286)&amp;"-"&amp;TEXT(COUNTIF($B$2:B1286,IF(B1286="",YEAR(TODAY()),B1286))+COUNTIFS($E$2:E1286,"&lt;&gt;",$B$2:B1286,""),"000"))</f>
        <v/>
      </c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 hidden="1" x14ac:dyDescent="0.25">
      <c r="A1287" s="183" t="str">
        <f ca="1">IF(E1287="","",IF(B1287="",YEAR(TODAY()),B1287)&amp;"-"&amp;TEXT(COUNTIF($B$2:B1287,IF(B1287="",YEAR(TODAY()),B1287))+COUNTIFS($E$2:E1287,"&lt;&gt;",$B$2:B1287,""),"000"))</f>
        <v/>
      </c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 hidden="1" x14ac:dyDescent="0.25">
      <c r="A1288" s="183" t="str">
        <f ca="1">IF(E1288="","",IF(B1288="",YEAR(TODAY()),B1288)&amp;"-"&amp;TEXT(COUNTIF($B$2:B1288,IF(B1288="",YEAR(TODAY()),B1288))+COUNTIFS($E$2:E1288,"&lt;&gt;",$B$2:B1288,""),"000"))</f>
        <v/>
      </c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 hidden="1" x14ac:dyDescent="0.25">
      <c r="A1289" s="183" t="str">
        <f ca="1">IF(E1289="","",IF(B1289="",YEAR(TODAY()),B1289)&amp;"-"&amp;TEXT(COUNTIF($B$2:B1289,IF(B1289="",YEAR(TODAY()),B1289))+COUNTIFS($E$2:E1289,"&lt;&gt;",$B$2:B1289,""),"000"))</f>
        <v/>
      </c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 hidden="1" x14ac:dyDescent="0.25">
      <c r="A1290" s="183" t="str">
        <f ca="1">IF(E1290="","",IF(B1290="",YEAR(TODAY()),B1290)&amp;"-"&amp;TEXT(COUNTIF($B$2:B1290,IF(B1290="",YEAR(TODAY()),B1290))+COUNTIFS($E$2:E1290,"&lt;&gt;",$B$2:B1290,""),"000"))</f>
        <v/>
      </c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 hidden="1" x14ac:dyDescent="0.25">
      <c r="A1291" s="183" t="str">
        <f ca="1">IF(E1291="","",IF(B1291="",YEAR(TODAY()),B1291)&amp;"-"&amp;TEXT(COUNTIF($B$2:B1291,IF(B1291="",YEAR(TODAY()),B1291))+COUNTIFS($E$2:E1291,"&lt;&gt;",$B$2:B1291,""),"000"))</f>
        <v/>
      </c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 hidden="1" x14ac:dyDescent="0.25">
      <c r="A1292" s="183" t="str">
        <f ca="1">IF(E1292="","",IF(B1292="",YEAR(TODAY()),B1292)&amp;"-"&amp;TEXT(COUNTIF($B$2:B1292,IF(B1292="",YEAR(TODAY()),B1292))+COUNTIFS($E$2:E1292,"&lt;&gt;",$B$2:B1292,""),"000"))</f>
        <v/>
      </c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 hidden="1" x14ac:dyDescent="0.25">
      <c r="A1293" s="183" t="str">
        <f ca="1">IF(E1293="","",IF(B1293="",YEAR(TODAY()),B1293)&amp;"-"&amp;TEXT(COUNTIF($B$2:B1293,IF(B1293="",YEAR(TODAY()),B1293))+COUNTIFS($E$2:E1293,"&lt;&gt;",$B$2:B1293,""),"000"))</f>
        <v/>
      </c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 hidden="1" x14ac:dyDescent="0.25">
      <c r="A1294" s="183" t="str">
        <f ca="1">IF(E1294="","",IF(B1294="",YEAR(TODAY()),B1294)&amp;"-"&amp;TEXT(COUNTIF($B$2:B1294,IF(B1294="",YEAR(TODAY()),B1294))+COUNTIFS($E$2:E1294,"&lt;&gt;",$B$2:B1294,""),"000"))</f>
        <v/>
      </c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 hidden="1" x14ac:dyDescent="0.25">
      <c r="A1295" s="183" t="str">
        <f ca="1">IF(E1295="","",IF(B1295="",YEAR(TODAY()),B1295)&amp;"-"&amp;TEXT(COUNTIF($B$2:B1295,IF(B1295="",YEAR(TODAY()),B1295))+COUNTIFS($E$2:E1295,"&lt;&gt;",$B$2:B1295,""),"000"))</f>
        <v/>
      </c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 hidden="1" x14ac:dyDescent="0.25">
      <c r="A1296" s="183" t="str">
        <f ca="1">IF(E1296="","",IF(B1296="",YEAR(TODAY()),B1296)&amp;"-"&amp;TEXT(COUNTIF($B$2:B1296,IF(B1296="",YEAR(TODAY()),B1296))+COUNTIFS($E$2:E1296,"&lt;&gt;",$B$2:B1296,""),"000"))</f>
        <v/>
      </c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 hidden="1" x14ac:dyDescent="0.25">
      <c r="A1297" s="183" t="str">
        <f ca="1">IF(E1297="","",IF(B1297="",YEAR(TODAY()),B1297)&amp;"-"&amp;TEXT(COUNTIF($B$2:B1297,IF(B1297="",YEAR(TODAY()),B1297))+COUNTIFS($E$2:E1297,"&lt;&gt;",$B$2:B1297,""),"000"))</f>
        <v/>
      </c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 hidden="1" x14ac:dyDescent="0.25">
      <c r="A1298" s="183" t="str">
        <f ca="1">IF(E1298="","",IF(B1298="",YEAR(TODAY()),B1298)&amp;"-"&amp;TEXT(COUNTIF($B$2:B1298,IF(B1298="",YEAR(TODAY()),B1298))+COUNTIFS($E$2:E1298,"&lt;&gt;",$B$2:B1298,""),"000"))</f>
        <v/>
      </c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 hidden="1" x14ac:dyDescent="0.25">
      <c r="A1299" s="183" t="str">
        <f ca="1">IF(E1299="","",IF(B1299="",YEAR(TODAY()),B1299)&amp;"-"&amp;TEXT(COUNTIF($B$2:B1299,IF(B1299="",YEAR(TODAY()),B1299))+COUNTIFS($E$2:E1299,"&lt;&gt;",$B$2:B1299,""),"000"))</f>
        <v/>
      </c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 hidden="1" x14ac:dyDescent="0.25">
      <c r="A1300" s="183" t="str">
        <f ca="1">IF(E1300="","",IF(B1300="",YEAR(TODAY()),B1300)&amp;"-"&amp;TEXT(COUNTIF($B$2:B1300,IF(B1300="",YEAR(TODAY()),B1300))+COUNTIFS($E$2:E1300,"&lt;&gt;",$B$2:B1300,""),"000"))</f>
        <v/>
      </c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 hidden="1" x14ac:dyDescent="0.25">
      <c r="A1301" s="183" t="str">
        <f ca="1">IF(E1301="","",IF(B1301="",YEAR(TODAY()),B1301)&amp;"-"&amp;TEXT(COUNTIF($B$2:B1301,IF(B1301="",YEAR(TODAY()),B1301))+COUNTIFS($E$2:E1301,"&lt;&gt;",$B$2:B1301,""),"000"))</f>
        <v/>
      </c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 hidden="1" x14ac:dyDescent="0.25">
      <c r="A1302" s="183" t="str">
        <f ca="1">IF(E1302="","",IF(B1302="",YEAR(TODAY()),B1302)&amp;"-"&amp;TEXT(COUNTIF($B$2:B1302,IF(B1302="",YEAR(TODAY()),B1302))+COUNTIFS($E$2:E1302,"&lt;&gt;",$B$2:B1302,""),"000"))</f>
        <v/>
      </c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 hidden="1" x14ac:dyDescent="0.25">
      <c r="A1303" s="183" t="str">
        <f ca="1">IF(E1303="","",IF(B1303="",YEAR(TODAY()),B1303)&amp;"-"&amp;TEXT(COUNTIF($B$2:B1303,IF(B1303="",YEAR(TODAY()),B1303))+COUNTIFS($E$2:E1303,"&lt;&gt;",$B$2:B1303,""),"000"))</f>
        <v/>
      </c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 hidden="1" x14ac:dyDescent="0.25">
      <c r="A1304" s="183" t="str">
        <f ca="1">IF(E1304="","",IF(B1304="",YEAR(TODAY()),B1304)&amp;"-"&amp;TEXT(COUNTIF($B$2:B1304,IF(B1304="",YEAR(TODAY()),B1304))+COUNTIFS($E$2:E1304,"&lt;&gt;",$B$2:B1304,""),"000"))</f>
        <v/>
      </c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 hidden="1" x14ac:dyDescent="0.25">
      <c r="A1305" s="183" t="str">
        <f ca="1">IF(E1305="","",IF(B1305="",YEAR(TODAY()),B1305)&amp;"-"&amp;TEXT(COUNTIF($B$2:B1305,IF(B1305="",YEAR(TODAY()),B1305))+COUNTIFS($E$2:E1305,"&lt;&gt;",$B$2:B1305,""),"000"))</f>
        <v/>
      </c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 hidden="1" x14ac:dyDescent="0.25">
      <c r="A1306" s="183" t="str">
        <f ca="1">IF(E1306="","",IF(B1306="",YEAR(TODAY()),B1306)&amp;"-"&amp;TEXT(COUNTIF($B$2:B1306,IF(B1306="",YEAR(TODAY()),B1306))+COUNTIFS($E$2:E1306,"&lt;&gt;",$B$2:B1306,""),"000"))</f>
        <v/>
      </c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 hidden="1" x14ac:dyDescent="0.25">
      <c r="A1307" s="183" t="str">
        <f ca="1">IF(E1307="","",IF(B1307="",YEAR(TODAY()),B1307)&amp;"-"&amp;TEXT(COUNTIF($B$2:B1307,IF(B1307="",YEAR(TODAY()),B1307))+COUNTIFS($E$2:E1307,"&lt;&gt;",$B$2:B1307,""),"000"))</f>
        <v/>
      </c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 hidden="1" x14ac:dyDescent="0.25">
      <c r="A1308" s="183" t="str">
        <f ca="1">IF(E1308="","",IF(B1308="",YEAR(TODAY()),B1308)&amp;"-"&amp;TEXT(COUNTIF($B$2:B1308,IF(B1308="",YEAR(TODAY()),B1308))+COUNTIFS($E$2:E1308,"&lt;&gt;",$B$2:B1308,""),"000"))</f>
        <v/>
      </c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 hidden="1" x14ac:dyDescent="0.25">
      <c r="A1309" s="183" t="str">
        <f ca="1">IF(E1309="","",IF(B1309="",YEAR(TODAY()),B1309)&amp;"-"&amp;TEXT(COUNTIF($B$2:B1309,IF(B1309="",YEAR(TODAY()),B1309))+COUNTIFS($E$2:E1309,"&lt;&gt;",$B$2:B1309,""),"000"))</f>
        <v/>
      </c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 hidden="1" x14ac:dyDescent="0.25">
      <c r="A1310" s="183" t="str">
        <f ca="1">IF(E1310="","",IF(B1310="",YEAR(TODAY()),B1310)&amp;"-"&amp;TEXT(COUNTIF($B$2:B1310,IF(B1310="",YEAR(TODAY()),B1310))+COUNTIFS($E$2:E1310,"&lt;&gt;",$B$2:B1310,""),"000"))</f>
        <v/>
      </c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 hidden="1" x14ac:dyDescent="0.25">
      <c r="A1311" s="183" t="str">
        <f ca="1">IF(E1311="","",IF(B1311="",YEAR(TODAY()),B1311)&amp;"-"&amp;TEXT(COUNTIF($B$2:B1311,IF(B1311="",YEAR(TODAY()),B1311))+COUNTIFS($E$2:E1311,"&lt;&gt;",$B$2:B1311,""),"000"))</f>
        <v/>
      </c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 hidden="1" x14ac:dyDescent="0.25">
      <c r="A1312" s="183" t="str">
        <f ca="1">IF(E1312="","",IF(B1312="",YEAR(TODAY()),B1312)&amp;"-"&amp;TEXT(COUNTIF($B$2:B1312,IF(B1312="",YEAR(TODAY()),B1312))+COUNTIFS($E$2:E1312,"&lt;&gt;",$B$2:B1312,""),"000"))</f>
        <v/>
      </c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 hidden="1" x14ac:dyDescent="0.25">
      <c r="A1313" s="183" t="str">
        <f ca="1">IF(E1313="","",IF(B1313="",YEAR(TODAY()),B1313)&amp;"-"&amp;TEXT(COUNTIF($B$2:B1313,IF(B1313="",YEAR(TODAY()),B1313))+COUNTIFS($E$2:E1313,"&lt;&gt;",$B$2:B1313,""),"000"))</f>
        <v/>
      </c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 hidden="1" x14ac:dyDescent="0.25">
      <c r="A1314" s="183" t="str">
        <f ca="1">IF(E1314="","",IF(B1314="",YEAR(TODAY()),B1314)&amp;"-"&amp;TEXT(COUNTIF($B$2:B1314,IF(B1314="",YEAR(TODAY()),B1314))+COUNTIFS($E$2:E1314,"&lt;&gt;",$B$2:B1314,""),"000"))</f>
        <v/>
      </c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 hidden="1" x14ac:dyDescent="0.25">
      <c r="A1315" s="183" t="str">
        <f ca="1">IF(E1315="","",IF(B1315="",YEAR(TODAY()),B1315)&amp;"-"&amp;TEXT(COUNTIF($B$2:B1315,IF(B1315="",YEAR(TODAY()),B1315))+COUNTIFS($E$2:E1315,"&lt;&gt;",$B$2:B1315,""),"000"))</f>
        <v/>
      </c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 hidden="1" x14ac:dyDescent="0.25">
      <c r="A1316" s="183" t="str">
        <f ca="1">IF(E1316="","",IF(B1316="",YEAR(TODAY()),B1316)&amp;"-"&amp;TEXT(COUNTIF($B$2:B1316,IF(B1316="",YEAR(TODAY()),B1316))+COUNTIFS($E$2:E1316,"&lt;&gt;",$B$2:B1316,""),"000"))</f>
        <v/>
      </c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 hidden="1" x14ac:dyDescent="0.25">
      <c r="A1317" s="183" t="str">
        <f ca="1">IF(E1317="","",IF(B1317="",YEAR(TODAY()),B1317)&amp;"-"&amp;TEXT(COUNTIF($B$2:B1317,IF(B1317="",YEAR(TODAY()),B1317))+COUNTIFS($E$2:E1317,"&lt;&gt;",$B$2:B1317,""),"000"))</f>
        <v/>
      </c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 hidden="1" x14ac:dyDescent="0.25">
      <c r="A1318" s="183" t="str">
        <f ca="1">IF(E1318="","",IF(B1318="",YEAR(TODAY()),B1318)&amp;"-"&amp;TEXT(COUNTIF($B$2:B1318,IF(B1318="",YEAR(TODAY()),B1318))+COUNTIFS($E$2:E1318,"&lt;&gt;",$B$2:B1318,""),"000"))</f>
        <v/>
      </c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 hidden="1" x14ac:dyDescent="0.25">
      <c r="A1319" s="183" t="str">
        <f ca="1">IF(E1319="","",IF(B1319="",YEAR(TODAY()),B1319)&amp;"-"&amp;TEXT(COUNTIF($B$2:B1319,IF(B1319="",YEAR(TODAY()),B1319))+COUNTIFS($E$2:E1319,"&lt;&gt;",$B$2:B1319,""),"000"))</f>
        <v/>
      </c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 hidden="1" x14ac:dyDescent="0.25">
      <c r="A1320" s="183" t="str">
        <f ca="1">IF(E1320="","",IF(B1320="",YEAR(TODAY()),B1320)&amp;"-"&amp;TEXT(COUNTIF($B$2:B1320,IF(B1320="",YEAR(TODAY()),B1320))+COUNTIFS($E$2:E1320,"&lt;&gt;",$B$2:B1320,""),"000"))</f>
        <v/>
      </c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 hidden="1" x14ac:dyDescent="0.25">
      <c r="A1321" s="183" t="str">
        <f ca="1">IF(E1321="","",IF(B1321="",YEAR(TODAY()),B1321)&amp;"-"&amp;TEXT(COUNTIF($B$2:B1321,IF(B1321="",YEAR(TODAY()),B1321))+COUNTIFS($E$2:E1321,"&lt;&gt;",$B$2:B1321,""),"000"))</f>
        <v/>
      </c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 hidden="1" x14ac:dyDescent="0.25">
      <c r="A1322" s="183" t="str">
        <f ca="1">IF(E1322="","",IF(B1322="",YEAR(TODAY()),B1322)&amp;"-"&amp;TEXT(COUNTIF($B$2:B1322,IF(B1322="",YEAR(TODAY()),B1322))+COUNTIFS($E$2:E1322,"&lt;&gt;",$B$2:B1322,""),"000"))</f>
        <v/>
      </c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 hidden="1" x14ac:dyDescent="0.25">
      <c r="A1323" s="183" t="str">
        <f ca="1">IF(E1323="","",IF(B1323="",YEAR(TODAY()),B1323)&amp;"-"&amp;TEXT(COUNTIF($B$2:B1323,IF(B1323="",YEAR(TODAY()),B1323))+COUNTIFS($E$2:E1323,"&lt;&gt;",$B$2:B1323,""),"000"))</f>
        <v/>
      </c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 hidden="1" x14ac:dyDescent="0.25">
      <c r="A1324" s="183" t="str">
        <f ca="1">IF(E1324="","",IF(B1324="",YEAR(TODAY()),B1324)&amp;"-"&amp;TEXT(COUNTIF($B$2:B1324,IF(B1324="",YEAR(TODAY()),B1324))+COUNTIFS($E$2:E1324,"&lt;&gt;",$B$2:B1324,""),"000"))</f>
        <v/>
      </c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 hidden="1" x14ac:dyDescent="0.25">
      <c r="A1325" s="183" t="str">
        <f ca="1">IF(E1325="","",IF(B1325="",YEAR(TODAY()),B1325)&amp;"-"&amp;TEXT(COUNTIF($B$2:B1325,IF(B1325="",YEAR(TODAY()),B1325))+COUNTIFS($E$2:E1325,"&lt;&gt;",$B$2:B1325,""),"000"))</f>
        <v/>
      </c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 hidden="1" x14ac:dyDescent="0.25">
      <c r="A1326" s="183" t="str">
        <f ca="1">IF(E1326="","",IF(B1326="",YEAR(TODAY()),B1326)&amp;"-"&amp;TEXT(COUNTIF($B$2:B1326,IF(B1326="",YEAR(TODAY()),B1326))+COUNTIFS($E$2:E1326,"&lt;&gt;",$B$2:B1326,""),"000"))</f>
        <v/>
      </c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 hidden="1" x14ac:dyDescent="0.25">
      <c r="A1327" s="183" t="str">
        <f ca="1">IF(E1327="","",IF(B1327="",YEAR(TODAY()),B1327)&amp;"-"&amp;TEXT(COUNTIF($B$2:B1327,IF(B1327="",YEAR(TODAY()),B1327))+COUNTIFS($E$2:E1327,"&lt;&gt;",$B$2:B1327,""),"000"))</f>
        <v/>
      </c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 hidden="1" x14ac:dyDescent="0.25">
      <c r="A1328" s="183" t="str">
        <f ca="1">IF(E1328="","",IF(B1328="",YEAR(TODAY()),B1328)&amp;"-"&amp;TEXT(COUNTIF($B$2:B1328,IF(B1328="",YEAR(TODAY()),B1328))+COUNTIFS($E$2:E1328,"&lt;&gt;",$B$2:B1328,""),"000"))</f>
        <v/>
      </c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 hidden="1" x14ac:dyDescent="0.25">
      <c r="A1329" s="183" t="str">
        <f ca="1">IF(E1329="","",IF(B1329="",YEAR(TODAY()),B1329)&amp;"-"&amp;TEXT(COUNTIF($B$2:B1329,IF(B1329="",YEAR(TODAY()),B1329))+COUNTIFS($E$2:E1329,"&lt;&gt;",$B$2:B1329,""),"000"))</f>
        <v/>
      </c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 hidden="1" x14ac:dyDescent="0.25">
      <c r="A1330" s="183" t="str">
        <f ca="1">IF(E1330="","",IF(B1330="",YEAR(TODAY()),B1330)&amp;"-"&amp;TEXT(COUNTIF($B$2:B1330,IF(B1330="",YEAR(TODAY()),B1330))+COUNTIFS($E$2:E1330,"&lt;&gt;",$B$2:B1330,""),"000"))</f>
        <v/>
      </c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 hidden="1" x14ac:dyDescent="0.25">
      <c r="A1331" s="183" t="str">
        <f ca="1">IF(E1331="","",IF(B1331="",YEAR(TODAY()),B1331)&amp;"-"&amp;TEXT(COUNTIF($B$2:B1331,IF(B1331="",YEAR(TODAY()),B1331))+COUNTIFS($E$2:E1331,"&lt;&gt;",$B$2:B1331,""),"000"))</f>
        <v/>
      </c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 hidden="1" x14ac:dyDescent="0.25">
      <c r="A1332" s="183" t="str">
        <f ca="1">IF(E1332="","",IF(B1332="",YEAR(TODAY()),B1332)&amp;"-"&amp;TEXT(COUNTIF($B$2:B1332,IF(B1332="",YEAR(TODAY()),B1332))+COUNTIFS($E$2:E1332,"&lt;&gt;",$B$2:B1332,""),"000"))</f>
        <v/>
      </c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 hidden="1" x14ac:dyDescent="0.25">
      <c r="A1333" s="183" t="str">
        <f ca="1">IF(E1333="","",IF(B1333="",YEAR(TODAY()),B1333)&amp;"-"&amp;TEXT(COUNTIF($B$2:B1333,IF(B1333="",YEAR(TODAY()),B1333))+COUNTIFS($E$2:E1333,"&lt;&gt;",$B$2:B1333,""),"000"))</f>
        <v/>
      </c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 hidden="1" x14ac:dyDescent="0.25">
      <c r="A1334" s="183" t="str">
        <f ca="1">IF(E1334="","",IF(B1334="",YEAR(TODAY()),B1334)&amp;"-"&amp;TEXT(COUNTIF($B$2:B1334,IF(B1334="",YEAR(TODAY()),B1334))+COUNTIFS($E$2:E1334,"&lt;&gt;",$B$2:B1334,""),"000"))</f>
        <v/>
      </c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 hidden="1" x14ac:dyDescent="0.25">
      <c r="A1335" s="183" t="str">
        <f ca="1">IF(E1335="","",IF(B1335="",YEAR(TODAY()),B1335)&amp;"-"&amp;TEXT(COUNTIF($B$2:B1335,IF(B1335="",YEAR(TODAY()),B1335))+COUNTIFS($E$2:E1335,"&lt;&gt;",$B$2:B1335,""),"000"))</f>
        <v/>
      </c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 hidden="1" x14ac:dyDescent="0.25">
      <c r="A1336" s="183" t="str">
        <f ca="1">IF(E1336="","",IF(B1336="",YEAR(TODAY()),B1336)&amp;"-"&amp;TEXT(COUNTIF($B$2:B1336,IF(B1336="",YEAR(TODAY()),B1336))+COUNTIFS($E$2:E1336,"&lt;&gt;",$B$2:B1336,""),"000"))</f>
        <v/>
      </c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 hidden="1" x14ac:dyDescent="0.25">
      <c r="A1337" s="183" t="str">
        <f ca="1">IF(E1337="","",IF(B1337="",YEAR(TODAY()),B1337)&amp;"-"&amp;TEXT(COUNTIF($B$2:B1337,IF(B1337="",YEAR(TODAY()),B1337))+COUNTIFS($E$2:E1337,"&lt;&gt;",$B$2:B1337,""),"000"))</f>
        <v/>
      </c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 hidden="1" x14ac:dyDescent="0.25">
      <c r="A1338" s="183" t="str">
        <f ca="1">IF(E1338="","",IF(B1338="",YEAR(TODAY()),B1338)&amp;"-"&amp;TEXT(COUNTIF($B$2:B1338,IF(B1338="",YEAR(TODAY()),B1338))+COUNTIFS($E$2:E1338,"&lt;&gt;",$B$2:B1338,""),"000"))</f>
        <v/>
      </c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 hidden="1" x14ac:dyDescent="0.25">
      <c r="A1339" s="183" t="str">
        <f ca="1">IF(E1339="","",IF(B1339="",YEAR(TODAY()),B1339)&amp;"-"&amp;TEXT(COUNTIF($B$2:B1339,IF(B1339="",YEAR(TODAY()),B1339))+COUNTIFS($E$2:E1339,"&lt;&gt;",$B$2:B1339,""),"000"))</f>
        <v/>
      </c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 hidden="1" x14ac:dyDescent="0.25">
      <c r="A1340" s="183" t="str">
        <f ca="1">IF(E1340="","",IF(B1340="",YEAR(TODAY()),B1340)&amp;"-"&amp;TEXT(COUNTIF($B$2:B1340,IF(B1340="",YEAR(TODAY()),B1340))+COUNTIFS($E$2:E1340,"&lt;&gt;",$B$2:B1340,""),"000"))</f>
        <v/>
      </c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 hidden="1" x14ac:dyDescent="0.25">
      <c r="A1341" s="183" t="str">
        <f ca="1">IF(E1341="","",IF(B1341="",YEAR(TODAY()),B1341)&amp;"-"&amp;TEXT(COUNTIF($B$2:B1341,IF(B1341="",YEAR(TODAY()),B1341))+COUNTIFS($E$2:E1341,"&lt;&gt;",$B$2:B1341,""),"000"))</f>
        <v/>
      </c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 hidden="1" x14ac:dyDescent="0.25">
      <c r="A1342" s="183" t="str">
        <f ca="1">IF(E1342="","",IF(B1342="",YEAR(TODAY()),B1342)&amp;"-"&amp;TEXT(COUNTIF($B$2:B1342,IF(B1342="",YEAR(TODAY()),B1342))+COUNTIFS($E$2:E1342,"&lt;&gt;",$B$2:B1342,""),"000"))</f>
        <v/>
      </c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 hidden="1" x14ac:dyDescent="0.25">
      <c r="A1343" s="183" t="str">
        <f ca="1">IF(E1343="","",IF(B1343="",YEAR(TODAY()),B1343)&amp;"-"&amp;TEXT(COUNTIF($B$2:B1343,IF(B1343="",YEAR(TODAY()),B1343))+COUNTIFS($E$2:E1343,"&lt;&gt;",$B$2:B1343,""),"000"))</f>
        <v/>
      </c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 hidden="1" x14ac:dyDescent="0.25">
      <c r="A1344" s="183" t="str">
        <f ca="1">IF(E1344="","",IF(B1344="",YEAR(TODAY()),B1344)&amp;"-"&amp;TEXT(COUNTIF($B$2:B1344,IF(B1344="",YEAR(TODAY()),B1344))+COUNTIFS($E$2:E1344,"&lt;&gt;",$B$2:B1344,""),"000"))</f>
        <v/>
      </c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 hidden="1" x14ac:dyDescent="0.25">
      <c r="A1345" s="183" t="str">
        <f ca="1">IF(E1345="","",IF(B1345="",YEAR(TODAY()),B1345)&amp;"-"&amp;TEXT(COUNTIF($B$2:B1345,IF(B1345="",YEAR(TODAY()),B1345))+COUNTIFS($E$2:E1345,"&lt;&gt;",$B$2:B1345,""),"000"))</f>
        <v/>
      </c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 hidden="1" x14ac:dyDescent="0.25">
      <c r="A1346" s="183" t="str">
        <f ca="1">IF(E1346="","",IF(B1346="",YEAR(TODAY()),B1346)&amp;"-"&amp;TEXT(COUNTIF($B$2:B1346,IF(B1346="",YEAR(TODAY()),B1346))+COUNTIFS($E$2:E1346,"&lt;&gt;",$B$2:B1346,""),"000"))</f>
        <v/>
      </c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 hidden="1" x14ac:dyDescent="0.25">
      <c r="A1347" s="183" t="str">
        <f ca="1">IF(E1347="","",IF(B1347="",YEAR(TODAY()),B1347)&amp;"-"&amp;TEXT(COUNTIF($B$2:B1347,IF(B1347="",YEAR(TODAY()),B1347))+COUNTIFS($E$2:E1347,"&lt;&gt;",$B$2:B1347,""),"000"))</f>
        <v/>
      </c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 hidden="1" x14ac:dyDescent="0.25">
      <c r="A1348" s="183" t="str">
        <f ca="1">IF(E1348="","",IF(B1348="",YEAR(TODAY()),B1348)&amp;"-"&amp;TEXT(COUNTIF($B$2:B1348,IF(B1348="",YEAR(TODAY()),B1348))+COUNTIFS($E$2:E1348,"&lt;&gt;",$B$2:B1348,""),"000"))</f>
        <v/>
      </c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 hidden="1" x14ac:dyDescent="0.25">
      <c r="A1349" s="183" t="str">
        <f ca="1">IF(E1349="","",IF(B1349="",YEAR(TODAY()),B1349)&amp;"-"&amp;TEXT(COUNTIF($B$2:B1349,IF(B1349="",YEAR(TODAY()),B1349))+COUNTIFS($E$2:E1349,"&lt;&gt;",$B$2:B1349,""),"000"))</f>
        <v/>
      </c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 hidden="1" x14ac:dyDescent="0.25">
      <c r="A1350" s="183" t="str">
        <f ca="1">IF(E1350="","",IF(B1350="",YEAR(TODAY()),B1350)&amp;"-"&amp;TEXT(COUNTIF($B$2:B1350,IF(B1350="",YEAR(TODAY()),B1350))+COUNTIFS($E$2:E1350,"&lt;&gt;",$B$2:B1350,""),"000"))</f>
        <v/>
      </c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 hidden="1" x14ac:dyDescent="0.25">
      <c r="A1351" s="183" t="str">
        <f ca="1">IF(E1351="","",IF(B1351="",YEAR(TODAY()),B1351)&amp;"-"&amp;TEXT(COUNTIF($B$2:B1351,IF(B1351="",YEAR(TODAY()),B1351))+COUNTIFS($E$2:E1351,"&lt;&gt;",$B$2:B1351,""),"000"))</f>
        <v/>
      </c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 hidden="1" x14ac:dyDescent="0.25">
      <c r="A1352" s="183" t="str">
        <f ca="1">IF(E1352="","",IF(B1352="",YEAR(TODAY()),B1352)&amp;"-"&amp;TEXT(COUNTIF($B$2:B1352,IF(B1352="",YEAR(TODAY()),B1352))+COUNTIFS($E$2:E1352,"&lt;&gt;",$B$2:B1352,""),"000"))</f>
        <v/>
      </c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 hidden="1" x14ac:dyDescent="0.25">
      <c r="A1353" s="183" t="str">
        <f ca="1">IF(E1353="","",IF(B1353="",YEAR(TODAY()),B1353)&amp;"-"&amp;TEXT(COUNTIF($B$2:B1353,IF(B1353="",YEAR(TODAY()),B1353))+COUNTIFS($E$2:E1353,"&lt;&gt;",$B$2:B1353,""),"000"))</f>
        <v/>
      </c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 hidden="1" x14ac:dyDescent="0.25">
      <c r="A1354" s="183" t="str">
        <f ca="1">IF(E1354="","",IF(B1354="",YEAR(TODAY()),B1354)&amp;"-"&amp;TEXT(COUNTIF($B$2:B1354,IF(B1354="",YEAR(TODAY()),B1354))+COUNTIFS($E$2:E1354,"&lt;&gt;",$B$2:B1354,""),"000"))</f>
        <v/>
      </c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 hidden="1" x14ac:dyDescent="0.25">
      <c r="A1355" s="183" t="str">
        <f ca="1">IF(E1355="","",IF(B1355="",YEAR(TODAY()),B1355)&amp;"-"&amp;TEXT(COUNTIF($B$2:B1355,IF(B1355="",YEAR(TODAY()),B1355))+COUNTIFS($E$2:E1355,"&lt;&gt;",$B$2:B1355,""),"000"))</f>
        <v/>
      </c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 hidden="1" x14ac:dyDescent="0.25">
      <c r="A1356" s="183" t="str">
        <f ca="1">IF(E1356="","",IF(B1356="",YEAR(TODAY()),B1356)&amp;"-"&amp;TEXT(COUNTIF($B$2:B1356,IF(B1356="",YEAR(TODAY()),B1356))+COUNTIFS($E$2:E1356,"&lt;&gt;",$B$2:B1356,""),"000"))</f>
        <v/>
      </c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 hidden="1" x14ac:dyDescent="0.25">
      <c r="A1357" s="183" t="str">
        <f ca="1">IF(E1357="","",IF(B1357="",YEAR(TODAY()),B1357)&amp;"-"&amp;TEXT(COUNTIF($B$2:B1357,IF(B1357="",YEAR(TODAY()),B1357))+COUNTIFS($E$2:E1357,"&lt;&gt;",$B$2:B1357,""),"000"))</f>
        <v/>
      </c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 hidden="1" x14ac:dyDescent="0.25">
      <c r="A1358" s="183" t="str">
        <f ca="1">IF(E1358="","",IF(B1358="",YEAR(TODAY()),B1358)&amp;"-"&amp;TEXT(COUNTIF($B$2:B1358,IF(B1358="",YEAR(TODAY()),B1358))+COUNTIFS($E$2:E1358,"&lt;&gt;",$B$2:B1358,""),"000"))</f>
        <v/>
      </c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 hidden="1" x14ac:dyDescent="0.25">
      <c r="A1359" s="183" t="str">
        <f ca="1">IF(E1359="","",IF(B1359="",YEAR(TODAY()),B1359)&amp;"-"&amp;TEXT(COUNTIF($B$2:B1359,IF(B1359="",YEAR(TODAY()),B1359))+COUNTIFS($E$2:E1359,"&lt;&gt;",$B$2:B1359,""),"000"))</f>
        <v/>
      </c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 hidden="1" x14ac:dyDescent="0.25">
      <c r="A1360" s="183" t="str">
        <f ca="1">IF(E1360="","",IF(B1360="",YEAR(TODAY()),B1360)&amp;"-"&amp;TEXT(COUNTIF($B$2:B1360,IF(B1360="",YEAR(TODAY()),B1360))+COUNTIFS($E$2:E1360,"&lt;&gt;",$B$2:B1360,""),"000"))</f>
        <v/>
      </c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 hidden="1" x14ac:dyDescent="0.25">
      <c r="A1361" s="183" t="str">
        <f ca="1">IF(E1361="","",IF(B1361="",YEAR(TODAY()),B1361)&amp;"-"&amp;TEXT(COUNTIF($B$2:B1361,IF(B1361="",YEAR(TODAY()),B1361))+COUNTIFS($E$2:E1361,"&lt;&gt;",$B$2:B1361,""),"000"))</f>
        <v/>
      </c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 hidden="1" x14ac:dyDescent="0.25">
      <c r="A1362" s="183" t="str">
        <f ca="1">IF(E1362="","",IF(B1362="",YEAR(TODAY()),B1362)&amp;"-"&amp;TEXT(COUNTIF($B$2:B1362,IF(B1362="",YEAR(TODAY()),B1362))+COUNTIFS($E$2:E1362,"&lt;&gt;",$B$2:B1362,""),"000"))</f>
        <v/>
      </c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 hidden="1" x14ac:dyDescent="0.25">
      <c r="A1363" s="183" t="str">
        <f ca="1">IF(E1363="","",IF(B1363="",YEAR(TODAY()),B1363)&amp;"-"&amp;TEXT(COUNTIF($B$2:B1363,IF(B1363="",YEAR(TODAY()),B1363))+COUNTIFS($E$2:E1363,"&lt;&gt;",$B$2:B1363,""),"000"))</f>
        <v/>
      </c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 hidden="1" x14ac:dyDescent="0.25">
      <c r="A1364" s="183" t="str">
        <f ca="1">IF(E1364="","",IF(B1364="",YEAR(TODAY()),B1364)&amp;"-"&amp;TEXT(COUNTIF($B$2:B1364,IF(B1364="",YEAR(TODAY()),B1364))+COUNTIFS($E$2:E1364,"&lt;&gt;",$B$2:B1364,""),"000"))</f>
        <v/>
      </c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 hidden="1" x14ac:dyDescent="0.25">
      <c r="A1365" s="183" t="str">
        <f ca="1">IF(E1365="","",IF(B1365="",YEAR(TODAY()),B1365)&amp;"-"&amp;TEXT(COUNTIF($B$2:B1365,IF(B1365="",YEAR(TODAY()),B1365))+COUNTIFS($E$2:E1365,"&lt;&gt;",$B$2:B1365,""),"000"))</f>
        <v/>
      </c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 hidden="1" x14ac:dyDescent="0.25">
      <c r="A1366" s="183" t="str">
        <f ca="1">IF(E1366="","",IF(B1366="",YEAR(TODAY()),B1366)&amp;"-"&amp;TEXT(COUNTIF($B$2:B1366,IF(B1366="",YEAR(TODAY()),B1366))+COUNTIFS($E$2:E1366,"&lt;&gt;",$B$2:B1366,""),"000"))</f>
        <v/>
      </c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 hidden="1" x14ac:dyDescent="0.25">
      <c r="A1367" s="183" t="str">
        <f ca="1">IF(E1367="","",IF(B1367="",YEAR(TODAY()),B1367)&amp;"-"&amp;TEXT(COUNTIF($B$2:B1367,IF(B1367="",YEAR(TODAY()),B1367))+COUNTIFS($E$2:E1367,"&lt;&gt;",$B$2:B1367,""),"000"))</f>
        <v/>
      </c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 hidden="1" x14ac:dyDescent="0.25">
      <c r="A1368" s="183" t="str">
        <f ca="1">IF(E1368="","",IF(B1368="",YEAR(TODAY()),B1368)&amp;"-"&amp;TEXT(COUNTIF($B$2:B1368,IF(B1368="",YEAR(TODAY()),B1368))+COUNTIFS($E$2:E1368,"&lt;&gt;",$B$2:B1368,""),"000"))</f>
        <v/>
      </c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 hidden="1" x14ac:dyDescent="0.25">
      <c r="A1369" s="183" t="str">
        <f ca="1">IF(E1369="","",IF(B1369="",YEAR(TODAY()),B1369)&amp;"-"&amp;TEXT(COUNTIF($B$2:B1369,IF(B1369="",YEAR(TODAY()),B1369))+COUNTIFS($E$2:E1369,"&lt;&gt;",$B$2:B1369,""),"000"))</f>
        <v/>
      </c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 hidden="1" x14ac:dyDescent="0.25">
      <c r="A1370" s="183" t="str">
        <f ca="1">IF(E1370="","",IF(B1370="",YEAR(TODAY()),B1370)&amp;"-"&amp;TEXT(COUNTIF($B$2:B1370,IF(B1370="",YEAR(TODAY()),B1370))+COUNTIFS($E$2:E1370,"&lt;&gt;",$B$2:B1370,""),"000"))</f>
        <v/>
      </c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 hidden="1" x14ac:dyDescent="0.25">
      <c r="A1371" s="183" t="str">
        <f ca="1">IF(E1371="","",IF(B1371="",YEAR(TODAY()),B1371)&amp;"-"&amp;TEXT(COUNTIF($B$2:B1371,IF(B1371="",YEAR(TODAY()),B1371))+COUNTIFS($E$2:E1371,"&lt;&gt;",$B$2:B1371,""),"000"))</f>
        <v/>
      </c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 hidden="1" x14ac:dyDescent="0.25">
      <c r="A1372" s="183" t="str">
        <f ca="1">IF(E1372="","",IF(B1372="",YEAR(TODAY()),B1372)&amp;"-"&amp;TEXT(COUNTIF($B$2:B1372,IF(B1372="",YEAR(TODAY()),B1372))+COUNTIFS($E$2:E1372,"&lt;&gt;",$B$2:B1372,""),"000"))</f>
        <v/>
      </c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 hidden="1" x14ac:dyDescent="0.25">
      <c r="A1373" s="183" t="str">
        <f ca="1">IF(E1373="","",IF(B1373="",YEAR(TODAY()),B1373)&amp;"-"&amp;TEXT(COUNTIF($B$2:B1373,IF(B1373="",YEAR(TODAY()),B1373))+COUNTIFS($E$2:E1373,"&lt;&gt;",$B$2:B1373,""),"000"))</f>
        <v/>
      </c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 hidden="1" x14ac:dyDescent="0.25">
      <c r="A1374" s="183" t="str">
        <f ca="1">IF(E1374="","",IF(B1374="",YEAR(TODAY()),B1374)&amp;"-"&amp;TEXT(COUNTIF($B$2:B1374,IF(B1374="",YEAR(TODAY()),B1374))+COUNTIFS($E$2:E1374,"&lt;&gt;",$B$2:B1374,""),"000"))</f>
        <v/>
      </c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 hidden="1" x14ac:dyDescent="0.25">
      <c r="A1375" s="183" t="str">
        <f ca="1">IF(E1375="","",IF(B1375="",YEAR(TODAY()),B1375)&amp;"-"&amp;TEXT(COUNTIF($B$2:B1375,IF(B1375="",YEAR(TODAY()),B1375))+COUNTIFS($E$2:E1375,"&lt;&gt;",$B$2:B1375,""),"000"))</f>
        <v/>
      </c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 hidden="1" x14ac:dyDescent="0.25">
      <c r="A1376" s="183" t="str">
        <f ca="1">IF(E1376="","",IF(B1376="",YEAR(TODAY()),B1376)&amp;"-"&amp;TEXT(COUNTIF($B$2:B1376,IF(B1376="",YEAR(TODAY()),B1376))+COUNTIFS($E$2:E1376,"&lt;&gt;",$B$2:B1376,""),"000"))</f>
        <v/>
      </c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 hidden="1" x14ac:dyDescent="0.25">
      <c r="A1377" s="183" t="str">
        <f ca="1">IF(E1377="","",IF(B1377="",YEAR(TODAY()),B1377)&amp;"-"&amp;TEXT(COUNTIF($B$2:B1377,IF(B1377="",YEAR(TODAY()),B1377))+COUNTIFS($E$2:E1377,"&lt;&gt;",$B$2:B1377,""),"000"))</f>
        <v/>
      </c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 hidden="1" x14ac:dyDescent="0.25">
      <c r="A1378" s="183" t="str">
        <f ca="1">IF(E1378="","",IF(B1378="",YEAR(TODAY()),B1378)&amp;"-"&amp;TEXT(COUNTIF($B$2:B1378,IF(B1378="",YEAR(TODAY()),B1378))+COUNTIFS($E$2:E1378,"&lt;&gt;",$B$2:B1378,""),"000"))</f>
        <v/>
      </c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 hidden="1" x14ac:dyDescent="0.25">
      <c r="A1379" s="183" t="str">
        <f ca="1">IF(E1379="","",IF(B1379="",YEAR(TODAY()),B1379)&amp;"-"&amp;TEXT(COUNTIF($B$2:B1379,IF(B1379="",YEAR(TODAY()),B1379))+COUNTIFS($E$2:E1379,"&lt;&gt;",$B$2:B1379,""),"000"))</f>
        <v/>
      </c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 hidden="1" x14ac:dyDescent="0.25">
      <c r="A1380" s="183" t="str">
        <f ca="1">IF(E1380="","",IF(B1380="",YEAR(TODAY()),B1380)&amp;"-"&amp;TEXT(COUNTIF($B$2:B1380,IF(B1380="",YEAR(TODAY()),B1380))+COUNTIFS($E$2:E1380,"&lt;&gt;",$B$2:B1380,""),"000"))</f>
        <v/>
      </c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 hidden="1" x14ac:dyDescent="0.25">
      <c r="A1381" s="183" t="str">
        <f ca="1">IF(E1381="","",IF(B1381="",YEAR(TODAY()),B1381)&amp;"-"&amp;TEXT(COUNTIF($B$2:B1381,IF(B1381="",YEAR(TODAY()),B1381))+COUNTIFS($E$2:E1381,"&lt;&gt;",$B$2:B1381,""),"000"))</f>
        <v/>
      </c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 hidden="1" x14ac:dyDescent="0.25">
      <c r="A1382" s="183" t="str">
        <f ca="1">IF(E1382="","",IF(B1382="",YEAR(TODAY()),B1382)&amp;"-"&amp;TEXT(COUNTIF($B$2:B1382,IF(B1382="",YEAR(TODAY()),B1382))+COUNTIFS($E$2:E1382,"&lt;&gt;",$B$2:B1382,""),"000"))</f>
        <v/>
      </c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 hidden="1" x14ac:dyDescent="0.25">
      <c r="A1383" s="183" t="str">
        <f ca="1">IF(E1383="","",IF(B1383="",YEAR(TODAY()),B1383)&amp;"-"&amp;TEXT(COUNTIF($B$2:B1383,IF(B1383="",YEAR(TODAY()),B1383))+COUNTIFS($E$2:E1383,"&lt;&gt;",$B$2:B1383,""),"000"))</f>
        <v/>
      </c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 hidden="1" x14ac:dyDescent="0.25">
      <c r="A1384" s="183" t="str">
        <f ca="1">IF(E1384="","",IF(B1384="",YEAR(TODAY()),B1384)&amp;"-"&amp;TEXT(COUNTIF($B$2:B1384,IF(B1384="",YEAR(TODAY()),B1384))+COUNTIFS($E$2:E1384,"&lt;&gt;",$B$2:B1384,""),"000"))</f>
        <v/>
      </c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 hidden="1" x14ac:dyDescent="0.25">
      <c r="A1385" s="183" t="str">
        <f ca="1">IF(E1385="","",IF(B1385="",YEAR(TODAY()),B1385)&amp;"-"&amp;TEXT(COUNTIF($B$2:B1385,IF(B1385="",YEAR(TODAY()),B1385))+COUNTIFS($E$2:E1385,"&lt;&gt;",$B$2:B1385,""),"000"))</f>
        <v/>
      </c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 hidden="1" x14ac:dyDescent="0.25">
      <c r="A1386" s="183" t="str">
        <f ca="1">IF(E1386="","",IF(B1386="",YEAR(TODAY()),B1386)&amp;"-"&amp;TEXT(COUNTIF($B$2:B1386,IF(B1386="",YEAR(TODAY()),B1386))+COUNTIFS($E$2:E1386,"&lt;&gt;",$B$2:B1386,""),"000"))</f>
        <v/>
      </c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 hidden="1" x14ac:dyDescent="0.25">
      <c r="A1387" s="183" t="str">
        <f ca="1">IF(E1387="","",IF(B1387="",YEAR(TODAY()),B1387)&amp;"-"&amp;TEXT(COUNTIF($B$2:B1387,IF(B1387="",YEAR(TODAY()),B1387))+COUNTIFS($E$2:E1387,"&lt;&gt;",$B$2:B1387,""),"000"))</f>
        <v/>
      </c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 hidden="1" x14ac:dyDescent="0.25">
      <c r="A1388" s="183" t="str">
        <f ca="1">IF(E1388="","",IF(B1388="",YEAR(TODAY()),B1388)&amp;"-"&amp;TEXT(COUNTIF($B$2:B1388,IF(B1388="",YEAR(TODAY()),B1388))+COUNTIFS($E$2:E1388,"&lt;&gt;",$B$2:B1388,""),"000"))</f>
        <v/>
      </c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 hidden="1" x14ac:dyDescent="0.25">
      <c r="A1389" s="183" t="str">
        <f ca="1">IF(E1389="","",IF(B1389="",YEAR(TODAY()),B1389)&amp;"-"&amp;TEXT(COUNTIF($B$2:B1389,IF(B1389="",YEAR(TODAY()),B1389))+COUNTIFS($E$2:E1389,"&lt;&gt;",$B$2:B1389,""),"000"))</f>
        <v/>
      </c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 hidden="1" x14ac:dyDescent="0.25">
      <c r="A1390" s="183" t="str">
        <f ca="1">IF(E1390="","",IF(B1390="",YEAR(TODAY()),B1390)&amp;"-"&amp;TEXT(COUNTIF($B$2:B1390,IF(B1390="",YEAR(TODAY()),B1390))+COUNTIFS($E$2:E1390,"&lt;&gt;",$B$2:B1390,""),"000"))</f>
        <v/>
      </c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 hidden="1" x14ac:dyDescent="0.25">
      <c r="A1391" s="183" t="str">
        <f ca="1">IF(E1391="","",IF(B1391="",YEAR(TODAY()),B1391)&amp;"-"&amp;TEXT(COUNTIF($B$2:B1391,IF(B1391="",YEAR(TODAY()),B1391))+COUNTIFS($E$2:E1391,"&lt;&gt;",$B$2:B1391,""),"000"))</f>
        <v/>
      </c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 hidden="1" x14ac:dyDescent="0.25">
      <c r="A1392" s="183" t="str">
        <f ca="1">IF(E1392="","",IF(B1392="",YEAR(TODAY()),B1392)&amp;"-"&amp;TEXT(COUNTIF($B$2:B1392,IF(B1392="",YEAR(TODAY()),B1392))+COUNTIFS($E$2:E1392,"&lt;&gt;",$B$2:B1392,""),"000"))</f>
        <v/>
      </c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 hidden="1" x14ac:dyDescent="0.25">
      <c r="A1393" s="183" t="str">
        <f ca="1">IF(E1393="","",IF(B1393="",YEAR(TODAY()),B1393)&amp;"-"&amp;TEXT(COUNTIF($B$2:B1393,IF(B1393="",YEAR(TODAY()),B1393))+COUNTIFS($E$2:E1393,"&lt;&gt;",$B$2:B1393,""),"000"))</f>
        <v/>
      </c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 hidden="1" x14ac:dyDescent="0.25">
      <c r="A1394" s="183" t="str">
        <f ca="1">IF(E1394="","",IF(B1394="",YEAR(TODAY()),B1394)&amp;"-"&amp;TEXT(COUNTIF($B$2:B1394,IF(B1394="",YEAR(TODAY()),B1394))+COUNTIFS($E$2:E1394,"&lt;&gt;",$B$2:B1394,""),"000"))</f>
        <v/>
      </c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 hidden="1" x14ac:dyDescent="0.25">
      <c r="A1395" s="183" t="str">
        <f ca="1">IF(E1395="","",IF(B1395="",YEAR(TODAY()),B1395)&amp;"-"&amp;TEXT(COUNTIF($B$2:B1395,IF(B1395="",YEAR(TODAY()),B1395))+COUNTIFS($E$2:E1395,"&lt;&gt;",$B$2:B1395,""),"000"))</f>
        <v/>
      </c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 hidden="1" x14ac:dyDescent="0.25">
      <c r="A1396" s="183" t="str">
        <f ca="1">IF(E1396="","",IF(B1396="",YEAR(TODAY()),B1396)&amp;"-"&amp;TEXT(COUNTIF($B$2:B1396,IF(B1396="",YEAR(TODAY()),B1396))+COUNTIFS($E$2:E1396,"&lt;&gt;",$B$2:B1396,""),"000"))</f>
        <v/>
      </c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 hidden="1" x14ac:dyDescent="0.25">
      <c r="A1397" s="183" t="str">
        <f ca="1">IF(E1397="","",IF(B1397="",YEAR(TODAY()),B1397)&amp;"-"&amp;TEXT(COUNTIF($B$2:B1397,IF(B1397="",YEAR(TODAY()),B1397))+COUNTIFS($E$2:E1397,"&lt;&gt;",$B$2:B1397,""),"000"))</f>
        <v/>
      </c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 hidden="1" x14ac:dyDescent="0.25">
      <c r="A1398" s="183" t="str">
        <f ca="1">IF(E1398="","",IF(B1398="",YEAR(TODAY()),B1398)&amp;"-"&amp;TEXT(COUNTIF($B$2:B1398,IF(B1398="",YEAR(TODAY()),B1398))+COUNTIFS($E$2:E1398,"&lt;&gt;",$B$2:B1398,""),"000"))</f>
        <v/>
      </c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 hidden="1" x14ac:dyDescent="0.25">
      <c r="A1399" s="183" t="str">
        <f ca="1">IF(E1399="","",IF(B1399="",YEAR(TODAY()),B1399)&amp;"-"&amp;TEXT(COUNTIF($B$2:B1399,IF(B1399="",YEAR(TODAY()),B1399))+COUNTIFS($E$2:E1399,"&lt;&gt;",$B$2:B1399,""),"000"))</f>
        <v/>
      </c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 hidden="1" x14ac:dyDescent="0.25">
      <c r="A1400" s="183" t="str">
        <f ca="1">IF(E1400="","",IF(B1400="",YEAR(TODAY()),B1400)&amp;"-"&amp;TEXT(COUNTIF($B$2:B1400,IF(B1400="",YEAR(TODAY()),B1400))+COUNTIFS($E$2:E1400,"&lt;&gt;",$B$2:B1400,""),"000"))</f>
        <v/>
      </c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 hidden="1" x14ac:dyDescent="0.25">
      <c r="A1401" s="183" t="str">
        <f ca="1">IF(E1401="","",IF(B1401="",YEAR(TODAY()),B1401)&amp;"-"&amp;TEXT(COUNTIF($B$2:B1401,IF(B1401="",YEAR(TODAY()),B1401))+COUNTIFS($E$2:E1401,"&lt;&gt;",$B$2:B1401,""),"000"))</f>
        <v/>
      </c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 hidden="1" x14ac:dyDescent="0.25">
      <c r="A1402" s="183" t="str">
        <f ca="1">IF(E1402="","",IF(B1402="",YEAR(TODAY()),B1402)&amp;"-"&amp;TEXT(COUNTIF($B$2:B1402,IF(B1402="",YEAR(TODAY()),B1402))+COUNTIFS($E$2:E1402,"&lt;&gt;",$B$2:B1402,""),"000"))</f>
        <v/>
      </c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 hidden="1" x14ac:dyDescent="0.25">
      <c r="A1403" s="183" t="str">
        <f ca="1">IF(E1403="","",IF(B1403="",YEAR(TODAY()),B1403)&amp;"-"&amp;TEXT(COUNTIF($B$2:B1403,IF(B1403="",YEAR(TODAY()),B1403))+COUNTIFS($E$2:E1403,"&lt;&gt;",$B$2:B1403,""),"000"))</f>
        <v/>
      </c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 hidden="1" x14ac:dyDescent="0.25">
      <c r="A1404" s="183" t="str">
        <f ca="1">IF(E1404="","",IF(B1404="",YEAR(TODAY()),B1404)&amp;"-"&amp;TEXT(COUNTIF($B$2:B1404,IF(B1404="",YEAR(TODAY()),B1404))+COUNTIFS($E$2:E1404,"&lt;&gt;",$B$2:B1404,""),"000"))</f>
        <v/>
      </c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 hidden="1" x14ac:dyDescent="0.25">
      <c r="A1405" s="183" t="str">
        <f ca="1">IF(E1405="","",IF(B1405="",YEAR(TODAY()),B1405)&amp;"-"&amp;TEXT(COUNTIF($B$2:B1405,IF(B1405="",YEAR(TODAY()),B1405))+COUNTIFS($E$2:E1405,"&lt;&gt;",$B$2:B1405,""),"000"))</f>
        <v/>
      </c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 hidden="1" x14ac:dyDescent="0.25">
      <c r="A1406" s="183" t="str">
        <f ca="1">IF(E1406="","",IF(B1406="",YEAR(TODAY()),B1406)&amp;"-"&amp;TEXT(COUNTIF($B$2:B1406,IF(B1406="",YEAR(TODAY()),B1406))+COUNTIFS($E$2:E1406,"&lt;&gt;",$B$2:B1406,""),"000"))</f>
        <v/>
      </c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 hidden="1" x14ac:dyDescent="0.25">
      <c r="A1407" s="183" t="str">
        <f ca="1">IF(E1407="","",IF(B1407="",YEAR(TODAY()),B1407)&amp;"-"&amp;TEXT(COUNTIF($B$2:B1407,IF(B1407="",YEAR(TODAY()),B1407))+COUNTIFS($E$2:E1407,"&lt;&gt;",$B$2:B1407,""),"000"))</f>
        <v/>
      </c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 hidden="1" x14ac:dyDescent="0.25">
      <c r="A1408" s="183" t="str">
        <f ca="1">IF(E1408="","",IF(B1408="",YEAR(TODAY()),B1408)&amp;"-"&amp;TEXT(COUNTIF($B$2:B1408,IF(B1408="",YEAR(TODAY()),B1408))+COUNTIFS($E$2:E1408,"&lt;&gt;",$B$2:B1408,""),"000"))</f>
        <v/>
      </c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 hidden="1" x14ac:dyDescent="0.25">
      <c r="A1409" s="183" t="str">
        <f ca="1">IF(E1409="","",IF(B1409="",YEAR(TODAY()),B1409)&amp;"-"&amp;TEXT(COUNTIF($B$2:B1409,IF(B1409="",YEAR(TODAY()),B1409))+COUNTIFS($E$2:E1409,"&lt;&gt;",$B$2:B1409,""),"000"))</f>
        <v/>
      </c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 hidden="1" x14ac:dyDescent="0.25">
      <c r="A1410" s="183" t="str">
        <f ca="1">IF(E1410="","",IF(B1410="",YEAR(TODAY()),B1410)&amp;"-"&amp;TEXT(COUNTIF($B$2:B1410,IF(B1410="",YEAR(TODAY()),B1410))+COUNTIFS($E$2:E1410,"&lt;&gt;",$B$2:B1410,""),"000"))</f>
        <v/>
      </c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 hidden="1" x14ac:dyDescent="0.25">
      <c r="A1411" s="183" t="str">
        <f ca="1">IF(E1411="","",IF(B1411="",YEAR(TODAY()),B1411)&amp;"-"&amp;TEXT(COUNTIF($B$2:B1411,IF(B1411="",YEAR(TODAY()),B1411))+COUNTIFS($E$2:E1411,"&lt;&gt;",$B$2:B1411,""),"000"))</f>
        <v/>
      </c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 hidden="1" x14ac:dyDescent="0.25">
      <c r="A1412" s="183" t="str">
        <f ca="1">IF(E1412="","",IF(B1412="",YEAR(TODAY()),B1412)&amp;"-"&amp;TEXT(COUNTIF($B$2:B1412,IF(B1412="",YEAR(TODAY()),B1412))+COUNTIFS($E$2:E1412,"&lt;&gt;",$B$2:B1412,""),"000"))</f>
        <v/>
      </c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 hidden="1" x14ac:dyDescent="0.25">
      <c r="A1413" s="183" t="str">
        <f ca="1">IF(E1413="","",IF(B1413="",YEAR(TODAY()),B1413)&amp;"-"&amp;TEXT(COUNTIF($B$2:B1413,IF(B1413="",YEAR(TODAY()),B1413))+COUNTIFS($E$2:E1413,"&lt;&gt;",$B$2:B1413,""),"000"))</f>
        <v/>
      </c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 hidden="1" x14ac:dyDescent="0.25">
      <c r="A1414" s="183" t="str">
        <f ca="1">IF(E1414="","",IF(B1414="",YEAR(TODAY()),B1414)&amp;"-"&amp;TEXT(COUNTIF($B$2:B1414,IF(B1414="",YEAR(TODAY()),B1414))+COUNTIFS($E$2:E1414,"&lt;&gt;",$B$2:B1414,""),"000"))</f>
        <v/>
      </c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 hidden="1" x14ac:dyDescent="0.25">
      <c r="A1415" s="183" t="str">
        <f ca="1">IF(E1415="","",IF(B1415="",YEAR(TODAY()),B1415)&amp;"-"&amp;TEXT(COUNTIF($B$2:B1415,IF(B1415="",YEAR(TODAY()),B1415))+COUNTIFS($E$2:E1415,"&lt;&gt;",$B$2:B1415,""),"000"))</f>
        <v/>
      </c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 hidden="1" x14ac:dyDescent="0.25">
      <c r="A1416" s="183" t="str">
        <f ca="1">IF(E1416="","",IF(B1416="",YEAR(TODAY()),B1416)&amp;"-"&amp;TEXT(COUNTIF($B$2:B1416,IF(B1416="",YEAR(TODAY()),B1416))+COUNTIFS($E$2:E1416,"&lt;&gt;",$B$2:B1416,""),"000"))</f>
        <v/>
      </c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 hidden="1" x14ac:dyDescent="0.25">
      <c r="A1417" s="183" t="str">
        <f ca="1">IF(E1417="","",IF(B1417="",YEAR(TODAY()),B1417)&amp;"-"&amp;TEXT(COUNTIF($B$2:B1417,IF(B1417="",YEAR(TODAY()),B1417))+COUNTIFS($E$2:E1417,"&lt;&gt;",$B$2:B1417,""),"000"))</f>
        <v/>
      </c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 hidden="1" x14ac:dyDescent="0.25">
      <c r="A1418" s="183" t="str">
        <f ca="1">IF(E1418="","",IF(B1418="",YEAR(TODAY()),B1418)&amp;"-"&amp;TEXT(COUNTIF($B$2:B1418,IF(B1418="",YEAR(TODAY()),B1418))+COUNTIFS($E$2:E1418,"&lt;&gt;",$B$2:B1418,""),"000"))</f>
        <v/>
      </c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 hidden="1" x14ac:dyDescent="0.25">
      <c r="A1419" s="183" t="str">
        <f ca="1">IF(E1419="","",IF(B1419="",YEAR(TODAY()),B1419)&amp;"-"&amp;TEXT(COUNTIF($B$2:B1419,IF(B1419="",YEAR(TODAY()),B1419))+COUNTIFS($E$2:E1419,"&lt;&gt;",$B$2:B1419,""),"000"))</f>
        <v/>
      </c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 hidden="1" x14ac:dyDescent="0.25">
      <c r="A1420" s="183" t="str">
        <f ca="1">IF(E1420="","",IF(B1420="",YEAR(TODAY()),B1420)&amp;"-"&amp;TEXT(COUNTIF($B$2:B1420,IF(B1420="",YEAR(TODAY()),B1420))+COUNTIFS($E$2:E1420,"&lt;&gt;",$B$2:B1420,""),"000"))</f>
        <v/>
      </c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 hidden="1" x14ac:dyDescent="0.25">
      <c r="A1421" s="183" t="str">
        <f ca="1">IF(E1421="","",IF(B1421="",YEAR(TODAY()),B1421)&amp;"-"&amp;TEXT(COUNTIF($B$2:B1421,IF(B1421="",YEAR(TODAY()),B1421))+COUNTIFS($E$2:E1421,"&lt;&gt;",$B$2:B1421,""),"000"))</f>
        <v/>
      </c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 hidden="1" x14ac:dyDescent="0.25">
      <c r="A1422" s="183" t="str">
        <f ca="1">IF(E1422="","",IF(B1422="",YEAR(TODAY()),B1422)&amp;"-"&amp;TEXT(COUNTIF($B$2:B1422,IF(B1422="",YEAR(TODAY()),B1422))+COUNTIFS($E$2:E1422,"&lt;&gt;",$B$2:B1422,""),"000"))</f>
        <v/>
      </c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 hidden="1" x14ac:dyDescent="0.25">
      <c r="A1423" s="183" t="str">
        <f ca="1">IF(E1423="","",IF(B1423="",YEAR(TODAY()),B1423)&amp;"-"&amp;TEXT(COUNTIF($B$2:B1423,IF(B1423="",YEAR(TODAY()),B1423))+COUNTIFS($E$2:E1423,"&lt;&gt;",$B$2:B1423,""),"000"))</f>
        <v/>
      </c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 hidden="1" x14ac:dyDescent="0.25">
      <c r="A1424" s="183" t="str">
        <f ca="1">IF(E1424="","",IF(B1424="",YEAR(TODAY()),B1424)&amp;"-"&amp;TEXT(COUNTIF($B$2:B1424,IF(B1424="",YEAR(TODAY()),B1424))+COUNTIFS($E$2:E1424,"&lt;&gt;",$B$2:B1424,""),"000"))</f>
        <v/>
      </c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 hidden="1" x14ac:dyDescent="0.25">
      <c r="A1425" s="183" t="str">
        <f ca="1">IF(E1425="","",IF(B1425="",YEAR(TODAY()),B1425)&amp;"-"&amp;TEXT(COUNTIF($B$2:B1425,IF(B1425="",YEAR(TODAY()),B1425))+COUNTIFS($E$2:E1425,"&lt;&gt;",$B$2:B1425,""),"000"))</f>
        <v/>
      </c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 hidden="1" x14ac:dyDescent="0.25">
      <c r="A1426" s="183" t="str">
        <f ca="1">IF(E1426="","",IF(B1426="",YEAR(TODAY()),B1426)&amp;"-"&amp;TEXT(COUNTIF($B$2:B1426,IF(B1426="",YEAR(TODAY()),B1426))+COUNTIFS($E$2:E1426,"&lt;&gt;",$B$2:B1426,""),"000"))</f>
        <v/>
      </c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 hidden="1" x14ac:dyDescent="0.25">
      <c r="A1427" s="183" t="str">
        <f ca="1">IF(E1427="","",IF(B1427="",YEAR(TODAY()),B1427)&amp;"-"&amp;TEXT(COUNTIF($B$2:B1427,IF(B1427="",YEAR(TODAY()),B1427))+COUNTIFS($E$2:E1427,"&lt;&gt;",$B$2:B1427,""),"000"))</f>
        <v/>
      </c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 hidden="1" x14ac:dyDescent="0.25">
      <c r="A1428" s="183" t="str">
        <f ca="1">IF(E1428="","",IF(B1428="",YEAR(TODAY()),B1428)&amp;"-"&amp;TEXT(COUNTIF($B$2:B1428,IF(B1428="",YEAR(TODAY()),B1428))+COUNTIFS($E$2:E1428,"&lt;&gt;",$B$2:B1428,""),"000"))</f>
        <v/>
      </c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 hidden="1" x14ac:dyDescent="0.25">
      <c r="A1429" s="183" t="str">
        <f ca="1">IF(E1429="","",IF(B1429="",YEAR(TODAY()),B1429)&amp;"-"&amp;TEXT(COUNTIF($B$2:B1429,IF(B1429="",YEAR(TODAY()),B1429))+COUNTIFS($E$2:E1429,"&lt;&gt;",$B$2:B1429,""),"000"))</f>
        <v/>
      </c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 hidden="1" x14ac:dyDescent="0.25">
      <c r="A1430" s="183" t="str">
        <f ca="1">IF(E1430="","",IF(B1430="",YEAR(TODAY()),B1430)&amp;"-"&amp;TEXT(COUNTIF($B$2:B1430,IF(B1430="",YEAR(TODAY()),B1430))+COUNTIFS($E$2:E1430,"&lt;&gt;",$B$2:B1430,""),"000"))</f>
        <v/>
      </c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 hidden="1" x14ac:dyDescent="0.25">
      <c r="A1431" s="183" t="str">
        <f ca="1">IF(E1431="","",IF(B1431="",YEAR(TODAY()),B1431)&amp;"-"&amp;TEXT(COUNTIF($B$2:B1431,IF(B1431="",YEAR(TODAY()),B1431))+COUNTIFS($E$2:E1431,"&lt;&gt;",$B$2:B1431,""),"000"))</f>
        <v/>
      </c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 hidden="1" x14ac:dyDescent="0.25">
      <c r="A1432" s="183" t="str">
        <f ca="1">IF(E1432="","",IF(B1432="",YEAR(TODAY()),B1432)&amp;"-"&amp;TEXT(COUNTIF($B$2:B1432,IF(B1432="",YEAR(TODAY()),B1432))+COUNTIFS($E$2:E1432,"&lt;&gt;",$B$2:B1432,""),"000"))</f>
        <v/>
      </c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 hidden="1" x14ac:dyDescent="0.25">
      <c r="A1433" s="183" t="str">
        <f ca="1">IF(E1433="","",IF(B1433="",YEAR(TODAY()),B1433)&amp;"-"&amp;TEXT(COUNTIF($B$2:B1433,IF(B1433="",YEAR(TODAY()),B1433))+COUNTIFS($E$2:E1433,"&lt;&gt;",$B$2:B1433,""),"000"))</f>
        <v/>
      </c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 hidden="1" x14ac:dyDescent="0.25">
      <c r="A1434" s="183" t="str">
        <f ca="1">IF(E1434="","",IF(B1434="",YEAR(TODAY()),B1434)&amp;"-"&amp;TEXT(COUNTIF($B$2:B1434,IF(B1434="",YEAR(TODAY()),B1434))+COUNTIFS($E$2:E1434,"&lt;&gt;",$B$2:B1434,""),"000"))</f>
        <v/>
      </c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 hidden="1" x14ac:dyDescent="0.25">
      <c r="A1435" s="183" t="str">
        <f ca="1">IF(E1435="","",IF(B1435="",YEAR(TODAY()),B1435)&amp;"-"&amp;TEXT(COUNTIF($B$2:B1435,IF(B1435="",YEAR(TODAY()),B1435))+COUNTIFS($E$2:E1435,"&lt;&gt;",$B$2:B1435,""),"000"))</f>
        <v/>
      </c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 hidden="1" x14ac:dyDescent="0.25">
      <c r="A1436" s="183" t="str">
        <f ca="1">IF(E1436="","",IF(B1436="",YEAR(TODAY()),B1436)&amp;"-"&amp;TEXT(COUNTIF($B$2:B1436,IF(B1436="",YEAR(TODAY()),B1436))+COUNTIFS($E$2:E1436,"&lt;&gt;",$B$2:B1436,""),"000"))</f>
        <v/>
      </c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 hidden="1" x14ac:dyDescent="0.25">
      <c r="A1437" s="183" t="str">
        <f ca="1">IF(E1437="","",IF(B1437="",YEAR(TODAY()),B1437)&amp;"-"&amp;TEXT(COUNTIF($B$2:B1437,IF(B1437="",YEAR(TODAY()),B1437))+COUNTIFS($E$2:E1437,"&lt;&gt;",$B$2:B1437,""),"000"))</f>
        <v/>
      </c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 hidden="1" x14ac:dyDescent="0.25">
      <c r="A1438" s="183" t="str">
        <f ca="1">IF(E1438="","",IF(B1438="",YEAR(TODAY()),B1438)&amp;"-"&amp;TEXT(COUNTIF($B$2:B1438,IF(B1438="",YEAR(TODAY()),B1438))+COUNTIFS($E$2:E1438,"&lt;&gt;",$B$2:B1438,""),"000"))</f>
        <v/>
      </c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 hidden="1" x14ac:dyDescent="0.25">
      <c r="A1439" s="183" t="str">
        <f ca="1">IF(E1439="","",IF(B1439="",YEAR(TODAY()),B1439)&amp;"-"&amp;TEXT(COUNTIF($B$2:B1439,IF(B1439="",YEAR(TODAY()),B1439))+COUNTIFS($E$2:E1439,"&lt;&gt;",$B$2:B1439,""),"000"))</f>
        <v/>
      </c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 hidden="1" x14ac:dyDescent="0.25">
      <c r="A1440" s="183" t="str">
        <f ca="1">IF(E1440="","",IF(B1440="",YEAR(TODAY()),B1440)&amp;"-"&amp;TEXT(COUNTIF($B$2:B1440,IF(B1440="",YEAR(TODAY()),B1440))+COUNTIFS($E$2:E1440,"&lt;&gt;",$B$2:B1440,""),"000"))</f>
        <v/>
      </c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 hidden="1" x14ac:dyDescent="0.25">
      <c r="A1441" s="183" t="str">
        <f ca="1">IF(E1441="","",IF(B1441="",YEAR(TODAY()),B1441)&amp;"-"&amp;TEXT(COUNTIF($B$2:B1441,IF(B1441="",YEAR(TODAY()),B1441))+COUNTIFS($E$2:E1441,"&lt;&gt;",$B$2:B1441,""),"000"))</f>
        <v/>
      </c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 hidden="1" x14ac:dyDescent="0.25">
      <c r="A1442" s="183" t="str">
        <f ca="1">IF(E1442="","",IF(B1442="",YEAR(TODAY()),B1442)&amp;"-"&amp;TEXT(COUNTIF($B$2:B1442,IF(B1442="",YEAR(TODAY()),B1442))+COUNTIFS($E$2:E1442,"&lt;&gt;",$B$2:B1442,""),"000"))</f>
        <v/>
      </c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 hidden="1" x14ac:dyDescent="0.25">
      <c r="A1443" s="183" t="str">
        <f ca="1">IF(E1443="","",IF(B1443="",YEAR(TODAY()),B1443)&amp;"-"&amp;TEXT(COUNTIF($B$2:B1443,IF(B1443="",YEAR(TODAY()),B1443))+COUNTIFS($E$2:E1443,"&lt;&gt;",$B$2:B1443,""),"000"))</f>
        <v/>
      </c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 hidden="1" x14ac:dyDescent="0.25">
      <c r="A1444" s="183" t="str">
        <f ca="1">IF(E1444="","",IF(B1444="",YEAR(TODAY()),B1444)&amp;"-"&amp;TEXT(COUNTIF($B$2:B1444,IF(B1444="",YEAR(TODAY()),B1444))+COUNTIFS($E$2:E1444,"&lt;&gt;",$B$2:B1444,""),"000"))</f>
        <v/>
      </c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 hidden="1" x14ac:dyDescent="0.25">
      <c r="A1445" s="183" t="str">
        <f ca="1">IF(E1445="","",IF(B1445="",YEAR(TODAY()),B1445)&amp;"-"&amp;TEXT(COUNTIF($B$2:B1445,IF(B1445="",YEAR(TODAY()),B1445))+COUNTIFS($E$2:E1445,"&lt;&gt;",$B$2:B1445,""),"000"))</f>
        <v/>
      </c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 hidden="1" x14ac:dyDescent="0.25">
      <c r="A1446" s="183" t="str">
        <f ca="1">IF(E1446="","",IF(B1446="",YEAR(TODAY()),B1446)&amp;"-"&amp;TEXT(COUNTIF($B$2:B1446,IF(B1446="",YEAR(TODAY()),B1446))+COUNTIFS($E$2:E1446,"&lt;&gt;",$B$2:B1446,""),"000"))</f>
        <v/>
      </c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 hidden="1" x14ac:dyDescent="0.25">
      <c r="A1447" s="183" t="str">
        <f ca="1">IF(E1447="","",IF(B1447="",YEAR(TODAY()),B1447)&amp;"-"&amp;TEXT(COUNTIF($B$2:B1447,IF(B1447="",YEAR(TODAY()),B1447))+COUNTIFS($E$2:E1447,"&lt;&gt;",$B$2:B1447,""),"000"))</f>
        <v/>
      </c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 hidden="1" x14ac:dyDescent="0.25">
      <c r="A1448" s="183" t="str">
        <f ca="1">IF(E1448="","",IF(B1448="",YEAR(TODAY()),B1448)&amp;"-"&amp;TEXT(COUNTIF($B$2:B1448,IF(B1448="",YEAR(TODAY()),B1448))+COUNTIFS($E$2:E1448,"&lt;&gt;",$B$2:B1448,""),"000"))</f>
        <v/>
      </c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 hidden="1" x14ac:dyDescent="0.25">
      <c r="A1449" s="183" t="str">
        <f ca="1">IF(E1449="","",IF(B1449="",YEAR(TODAY()),B1449)&amp;"-"&amp;TEXT(COUNTIF($B$2:B1449,IF(B1449="",YEAR(TODAY()),B1449))+COUNTIFS($E$2:E1449,"&lt;&gt;",$B$2:B1449,""),"000"))</f>
        <v/>
      </c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 hidden="1" x14ac:dyDescent="0.25">
      <c r="A1450" s="183" t="str">
        <f ca="1">IF(E1450="","",IF(B1450="",YEAR(TODAY()),B1450)&amp;"-"&amp;TEXT(COUNTIF($B$2:B1450,IF(B1450="",YEAR(TODAY()),B1450))+COUNTIFS($E$2:E1450,"&lt;&gt;",$B$2:B1450,""),"000"))</f>
        <v/>
      </c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 hidden="1" x14ac:dyDescent="0.25">
      <c r="A1451" s="183" t="str">
        <f ca="1">IF(E1451="","",IF(B1451="",YEAR(TODAY()),B1451)&amp;"-"&amp;TEXT(COUNTIF($B$2:B1451,IF(B1451="",YEAR(TODAY()),B1451))+COUNTIFS($E$2:E1451,"&lt;&gt;",$B$2:B1451,""),"000"))</f>
        <v/>
      </c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 hidden="1" x14ac:dyDescent="0.25">
      <c r="A1452" s="183" t="str">
        <f ca="1">IF(E1452="","",IF(B1452="",YEAR(TODAY()),B1452)&amp;"-"&amp;TEXT(COUNTIF($B$2:B1452,IF(B1452="",YEAR(TODAY()),B1452))+COUNTIFS($E$2:E1452,"&lt;&gt;",$B$2:B1452,""),"000"))</f>
        <v/>
      </c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 hidden="1" x14ac:dyDescent="0.25">
      <c r="A1453" s="183" t="str">
        <f ca="1">IF(E1453="","",IF(B1453="",YEAR(TODAY()),B1453)&amp;"-"&amp;TEXT(COUNTIF($B$2:B1453,IF(B1453="",YEAR(TODAY()),B1453))+COUNTIFS($E$2:E1453,"&lt;&gt;",$B$2:B1453,""),"000"))</f>
        <v/>
      </c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 hidden="1" x14ac:dyDescent="0.25">
      <c r="A1454" s="183" t="str">
        <f ca="1">IF(E1454="","",IF(B1454="",YEAR(TODAY()),B1454)&amp;"-"&amp;TEXT(COUNTIF($B$2:B1454,IF(B1454="",YEAR(TODAY()),B1454))+COUNTIFS($E$2:E1454,"&lt;&gt;",$B$2:B1454,""),"000"))</f>
        <v/>
      </c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 hidden="1" x14ac:dyDescent="0.25">
      <c r="A1455" s="183" t="str">
        <f ca="1">IF(E1455="","",IF(B1455="",YEAR(TODAY()),B1455)&amp;"-"&amp;TEXT(COUNTIF($B$2:B1455,IF(B1455="",YEAR(TODAY()),B1455))+COUNTIFS($E$2:E1455,"&lt;&gt;",$B$2:B1455,""),"000"))</f>
        <v/>
      </c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 hidden="1" x14ac:dyDescent="0.25">
      <c r="A1456" s="183" t="str">
        <f ca="1">IF(E1456="","",IF(B1456="",YEAR(TODAY()),B1456)&amp;"-"&amp;TEXT(COUNTIF($B$2:B1456,IF(B1456="",YEAR(TODAY()),B1456))+COUNTIFS($E$2:E1456,"&lt;&gt;",$B$2:B1456,""),"000"))</f>
        <v/>
      </c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 hidden="1" x14ac:dyDescent="0.25">
      <c r="A1457" s="183" t="str">
        <f ca="1">IF(E1457="","",IF(B1457="",YEAR(TODAY()),B1457)&amp;"-"&amp;TEXT(COUNTIF($B$2:B1457,IF(B1457="",YEAR(TODAY()),B1457))+COUNTIFS($E$2:E1457,"&lt;&gt;",$B$2:B1457,""),"000"))</f>
        <v/>
      </c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 hidden="1" x14ac:dyDescent="0.25">
      <c r="A1458" s="183" t="str">
        <f ca="1">IF(E1458="","",IF(B1458="",YEAR(TODAY()),B1458)&amp;"-"&amp;TEXT(COUNTIF($B$2:B1458,IF(B1458="",YEAR(TODAY()),B1458))+COUNTIFS($E$2:E1458,"&lt;&gt;",$B$2:B1458,""),"000"))</f>
        <v/>
      </c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 hidden="1" x14ac:dyDescent="0.25">
      <c r="A1459" s="183" t="str">
        <f ca="1">IF(E1459="","",IF(B1459="",YEAR(TODAY()),B1459)&amp;"-"&amp;TEXT(COUNTIF($B$2:B1459,IF(B1459="",YEAR(TODAY()),B1459))+COUNTIFS($E$2:E1459,"&lt;&gt;",$B$2:B1459,""),"000"))</f>
        <v/>
      </c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 hidden="1" x14ac:dyDescent="0.25">
      <c r="A1460" s="183" t="str">
        <f ca="1">IF(E1460="","",IF(B1460="",YEAR(TODAY()),B1460)&amp;"-"&amp;TEXT(COUNTIF($B$2:B1460,IF(B1460="",YEAR(TODAY()),B1460))+COUNTIFS($E$2:E1460,"&lt;&gt;",$B$2:B1460,""),"000"))</f>
        <v/>
      </c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 hidden="1" x14ac:dyDescent="0.25">
      <c r="A1461" s="183" t="str">
        <f ca="1">IF(E1461="","",IF(B1461="",YEAR(TODAY()),B1461)&amp;"-"&amp;TEXT(COUNTIF($B$2:B1461,IF(B1461="",YEAR(TODAY()),B1461))+COUNTIFS($E$2:E1461,"&lt;&gt;",$B$2:B1461,""),"000"))</f>
        <v/>
      </c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 hidden="1" x14ac:dyDescent="0.25">
      <c r="A1462" s="183" t="str">
        <f ca="1">IF(E1462="","",IF(B1462="",YEAR(TODAY()),B1462)&amp;"-"&amp;TEXT(COUNTIF($B$2:B1462,IF(B1462="",YEAR(TODAY()),B1462))+COUNTIFS($E$2:E1462,"&lt;&gt;",$B$2:B1462,""),"000"))</f>
        <v/>
      </c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 hidden="1" x14ac:dyDescent="0.25">
      <c r="A1463" s="183" t="str">
        <f ca="1">IF(E1463="","",IF(B1463="",YEAR(TODAY()),B1463)&amp;"-"&amp;TEXT(COUNTIF($B$2:B1463,IF(B1463="",YEAR(TODAY()),B1463))+COUNTIFS($E$2:E1463,"&lt;&gt;",$B$2:B1463,""),"000"))</f>
        <v/>
      </c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 hidden="1" x14ac:dyDescent="0.25">
      <c r="A1464" s="183" t="str">
        <f ca="1">IF(E1464="","",IF(B1464="",YEAR(TODAY()),B1464)&amp;"-"&amp;TEXT(COUNTIF($B$2:B1464,IF(B1464="",YEAR(TODAY()),B1464))+COUNTIFS($E$2:E1464,"&lt;&gt;",$B$2:B1464,""),"000"))</f>
        <v/>
      </c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 hidden="1" x14ac:dyDescent="0.25">
      <c r="A1465" s="183" t="str">
        <f ca="1">IF(E1465="","",IF(B1465="",YEAR(TODAY()),B1465)&amp;"-"&amp;TEXT(COUNTIF($B$2:B1465,IF(B1465="",YEAR(TODAY()),B1465))+COUNTIFS($E$2:E1465,"&lt;&gt;",$B$2:B1465,""),"000"))</f>
        <v/>
      </c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 hidden="1" x14ac:dyDescent="0.25">
      <c r="A1466" s="183" t="str">
        <f ca="1">IF(E1466="","",IF(B1466="",YEAR(TODAY()),B1466)&amp;"-"&amp;TEXT(COUNTIF($B$2:B1466,IF(B1466="",YEAR(TODAY()),B1466))+COUNTIFS($E$2:E1466,"&lt;&gt;",$B$2:B1466,""),"000"))</f>
        <v/>
      </c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 hidden="1" x14ac:dyDescent="0.25">
      <c r="A1467" s="183" t="str">
        <f ca="1">IF(E1467="","",IF(B1467="",YEAR(TODAY()),B1467)&amp;"-"&amp;TEXT(COUNTIF($B$2:B1467,IF(B1467="",YEAR(TODAY()),B1467))+COUNTIFS($E$2:E1467,"&lt;&gt;",$B$2:B1467,""),"000"))</f>
        <v/>
      </c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 hidden="1" x14ac:dyDescent="0.25">
      <c r="A1468" s="183" t="str">
        <f ca="1">IF(E1468="","",IF(B1468="",YEAR(TODAY()),B1468)&amp;"-"&amp;TEXT(COUNTIF($B$2:B1468,IF(B1468="",YEAR(TODAY()),B1468))+COUNTIFS($E$2:E1468,"&lt;&gt;",$B$2:B1468,""),"000"))</f>
        <v/>
      </c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 hidden="1" x14ac:dyDescent="0.25">
      <c r="A1469" s="183" t="str">
        <f ca="1">IF(E1469="","",IF(B1469="",YEAR(TODAY()),B1469)&amp;"-"&amp;TEXT(COUNTIF($B$2:B1469,IF(B1469="",YEAR(TODAY()),B1469))+COUNTIFS($E$2:E1469,"&lt;&gt;",$B$2:B1469,""),"000"))</f>
        <v/>
      </c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 hidden="1" x14ac:dyDescent="0.25">
      <c r="A1470" s="183" t="str">
        <f ca="1">IF(E1470="","",IF(B1470="",YEAR(TODAY()),B1470)&amp;"-"&amp;TEXT(COUNTIF($B$2:B1470,IF(B1470="",YEAR(TODAY()),B1470))+COUNTIFS($E$2:E1470,"&lt;&gt;",$B$2:B1470,""),"000"))</f>
        <v/>
      </c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 hidden="1" x14ac:dyDescent="0.25">
      <c r="A1471" s="183" t="str">
        <f ca="1">IF(E1471="","",IF(B1471="",YEAR(TODAY()),B1471)&amp;"-"&amp;TEXT(COUNTIF($B$2:B1471,IF(B1471="",YEAR(TODAY()),B1471))+COUNTIFS($E$2:E1471,"&lt;&gt;",$B$2:B1471,""),"000"))</f>
        <v/>
      </c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 hidden="1" x14ac:dyDescent="0.25">
      <c r="A1472" s="183" t="str">
        <f ca="1">IF(E1472="","",IF(B1472="",YEAR(TODAY()),B1472)&amp;"-"&amp;TEXT(COUNTIF($B$2:B1472,IF(B1472="",YEAR(TODAY()),B1472))+COUNTIFS($E$2:E1472,"&lt;&gt;",$B$2:B1472,""),"000"))</f>
        <v/>
      </c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 hidden="1" x14ac:dyDescent="0.25">
      <c r="A1473" s="183" t="str">
        <f ca="1">IF(E1473="","",IF(B1473="",YEAR(TODAY()),B1473)&amp;"-"&amp;TEXT(COUNTIF($B$2:B1473,IF(B1473="",YEAR(TODAY()),B1473))+COUNTIFS($E$2:E1473,"&lt;&gt;",$B$2:B1473,""),"000"))</f>
        <v/>
      </c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 hidden="1" x14ac:dyDescent="0.25">
      <c r="A1474" s="183" t="str">
        <f ca="1">IF(E1474="","",IF(B1474="",YEAR(TODAY()),B1474)&amp;"-"&amp;TEXT(COUNTIF($B$2:B1474,IF(B1474="",YEAR(TODAY()),B1474))+COUNTIFS($E$2:E1474,"&lt;&gt;",$B$2:B1474,""),"000"))</f>
        <v/>
      </c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 hidden="1" x14ac:dyDescent="0.25">
      <c r="A1475" s="183" t="str">
        <f ca="1">IF(E1475="","",IF(B1475="",YEAR(TODAY()),B1475)&amp;"-"&amp;TEXT(COUNTIF($B$2:B1475,IF(B1475="",YEAR(TODAY()),B1475))+COUNTIFS($E$2:E1475,"&lt;&gt;",$B$2:B1475,""),"000"))</f>
        <v/>
      </c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 hidden="1" x14ac:dyDescent="0.25">
      <c r="A1476" s="183" t="str">
        <f ca="1">IF(E1476="","",IF(B1476="",YEAR(TODAY()),B1476)&amp;"-"&amp;TEXT(COUNTIF($B$2:B1476,IF(B1476="",YEAR(TODAY()),B1476))+COUNTIFS($E$2:E1476,"&lt;&gt;",$B$2:B1476,""),"000"))</f>
        <v/>
      </c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 hidden="1" x14ac:dyDescent="0.25">
      <c r="A1477" s="183" t="str">
        <f ca="1">IF(E1477="","",IF(B1477="",YEAR(TODAY()),B1477)&amp;"-"&amp;TEXT(COUNTIF($B$2:B1477,IF(B1477="",YEAR(TODAY()),B1477))+COUNTIFS($E$2:E1477,"&lt;&gt;",$B$2:B1477,""),"000"))</f>
        <v/>
      </c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 hidden="1" x14ac:dyDescent="0.25">
      <c r="A1478" s="183" t="str">
        <f ca="1">IF(E1478="","",IF(B1478="",YEAR(TODAY()),B1478)&amp;"-"&amp;TEXT(COUNTIF($B$2:B1478,IF(B1478="",YEAR(TODAY()),B1478))+COUNTIFS($E$2:E1478,"&lt;&gt;",$B$2:B1478,""),"000"))</f>
        <v/>
      </c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 hidden="1" x14ac:dyDescent="0.25">
      <c r="A1479" s="183" t="str">
        <f ca="1">IF(E1479="","",IF(B1479="",YEAR(TODAY()),B1479)&amp;"-"&amp;TEXT(COUNTIF($B$2:B1479,IF(B1479="",YEAR(TODAY()),B1479))+COUNTIFS($E$2:E1479,"&lt;&gt;",$B$2:B1479,""),"000"))</f>
        <v/>
      </c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 hidden="1" x14ac:dyDescent="0.25">
      <c r="A1480" s="183" t="str">
        <f ca="1">IF(E1480="","",IF(B1480="",YEAR(TODAY()),B1480)&amp;"-"&amp;TEXT(COUNTIF($B$2:B1480,IF(B1480="",YEAR(TODAY()),B1480))+COUNTIFS($E$2:E1480,"&lt;&gt;",$B$2:B1480,""),"000"))</f>
        <v/>
      </c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 hidden="1" x14ac:dyDescent="0.25">
      <c r="A1481" s="183" t="str">
        <f ca="1">IF(E1481="","",IF(B1481="",YEAR(TODAY()),B1481)&amp;"-"&amp;TEXT(COUNTIF($B$2:B1481,IF(B1481="",YEAR(TODAY()),B1481))+COUNTIFS($E$2:E1481,"&lt;&gt;",$B$2:B1481,""),"000"))</f>
        <v/>
      </c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 hidden="1" x14ac:dyDescent="0.25">
      <c r="A1482" s="183" t="str">
        <f ca="1">IF(E1482="","",IF(B1482="",YEAR(TODAY()),B1482)&amp;"-"&amp;TEXT(COUNTIF($B$2:B1482,IF(B1482="",YEAR(TODAY()),B1482))+COUNTIFS($E$2:E1482,"&lt;&gt;",$B$2:B1482,""),"000"))</f>
        <v/>
      </c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 hidden="1" x14ac:dyDescent="0.25">
      <c r="A1483" s="183" t="str">
        <f ca="1">IF(E1483="","",IF(B1483="",YEAR(TODAY()),B1483)&amp;"-"&amp;TEXT(COUNTIF($B$2:B1483,IF(B1483="",YEAR(TODAY()),B1483))+COUNTIFS($E$2:E1483,"&lt;&gt;",$B$2:B1483,""),"000"))</f>
        <v/>
      </c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 hidden="1" x14ac:dyDescent="0.25">
      <c r="A1484" s="183" t="str">
        <f ca="1">IF(E1484="","",IF(B1484="",YEAR(TODAY()),B1484)&amp;"-"&amp;TEXT(COUNTIF($B$2:B1484,IF(B1484="",YEAR(TODAY()),B1484))+COUNTIFS($E$2:E1484,"&lt;&gt;",$B$2:B1484,""),"000"))</f>
        <v/>
      </c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 hidden="1" x14ac:dyDescent="0.25">
      <c r="A1485" s="183" t="str">
        <f ca="1">IF(E1485="","",IF(B1485="",YEAR(TODAY()),B1485)&amp;"-"&amp;TEXT(COUNTIF($B$2:B1485,IF(B1485="",YEAR(TODAY()),B1485))+COUNTIFS($E$2:E1485,"&lt;&gt;",$B$2:B1485,""),"000"))</f>
        <v/>
      </c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 hidden="1" x14ac:dyDescent="0.25">
      <c r="A1486" s="183" t="str">
        <f ca="1">IF(E1486="","",IF(B1486="",YEAR(TODAY()),B1486)&amp;"-"&amp;TEXT(COUNTIF($B$2:B1486,IF(B1486="",YEAR(TODAY()),B1486))+COUNTIFS($E$2:E1486,"&lt;&gt;",$B$2:B1486,""),"000"))</f>
        <v/>
      </c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 hidden="1" x14ac:dyDescent="0.25">
      <c r="A1487" s="183" t="str">
        <f ca="1">IF(E1487="","",IF(B1487="",YEAR(TODAY()),B1487)&amp;"-"&amp;TEXT(COUNTIF($B$2:B1487,IF(B1487="",YEAR(TODAY()),B1487))+COUNTIFS($E$2:E1487,"&lt;&gt;",$B$2:B1487,""),"000"))</f>
        <v/>
      </c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 hidden="1" x14ac:dyDescent="0.25">
      <c r="A1488" s="183" t="str">
        <f ca="1">IF(E1488="","",IF(B1488="",YEAR(TODAY()),B1488)&amp;"-"&amp;TEXT(COUNTIF($B$2:B1488,IF(B1488="",YEAR(TODAY()),B1488))+COUNTIFS($E$2:E1488,"&lt;&gt;",$B$2:B1488,""),"000"))</f>
        <v/>
      </c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 hidden="1" x14ac:dyDescent="0.25">
      <c r="A1489" s="183" t="str">
        <f ca="1">IF(E1489="","",IF(B1489="",YEAR(TODAY()),B1489)&amp;"-"&amp;TEXT(COUNTIF($B$2:B1489,IF(B1489="",YEAR(TODAY()),B1489))+COUNTIFS($E$2:E1489,"&lt;&gt;",$B$2:B1489,""),"000"))</f>
        <v/>
      </c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 hidden="1" x14ac:dyDescent="0.25">
      <c r="A1490" s="183" t="str">
        <f ca="1">IF(E1490="","",IF(B1490="",YEAR(TODAY()),B1490)&amp;"-"&amp;TEXT(COUNTIF($B$2:B1490,IF(B1490="",YEAR(TODAY()),B1490))+COUNTIFS($E$2:E1490,"&lt;&gt;",$B$2:B1490,""),"000"))</f>
        <v/>
      </c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 hidden="1" x14ac:dyDescent="0.25">
      <c r="A1491" s="183" t="str">
        <f ca="1">IF(E1491="","",IF(B1491="",YEAR(TODAY()),B1491)&amp;"-"&amp;TEXT(COUNTIF($B$2:B1491,IF(B1491="",YEAR(TODAY()),B1491))+COUNTIFS($E$2:E1491,"&lt;&gt;",$B$2:B1491,""),"000"))</f>
        <v/>
      </c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 hidden="1" x14ac:dyDescent="0.25">
      <c r="A1492" s="183" t="str">
        <f ca="1">IF(E1492="","",IF(B1492="",YEAR(TODAY()),B1492)&amp;"-"&amp;TEXT(COUNTIF($B$2:B1492,IF(B1492="",YEAR(TODAY()),B1492))+COUNTIFS($E$2:E1492,"&lt;&gt;",$B$2:B1492,""),"000"))</f>
        <v/>
      </c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 hidden="1" x14ac:dyDescent="0.25">
      <c r="A1493" s="183" t="str">
        <f ca="1">IF(E1493="","",IF(B1493="",YEAR(TODAY()),B1493)&amp;"-"&amp;TEXT(COUNTIF($B$2:B1493,IF(B1493="",YEAR(TODAY()),B1493))+COUNTIFS($E$2:E1493,"&lt;&gt;",$B$2:B1493,""),"000"))</f>
        <v/>
      </c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 hidden="1" x14ac:dyDescent="0.25">
      <c r="A1494" s="183" t="str">
        <f ca="1">IF(E1494="","",IF(B1494="",YEAR(TODAY()),B1494)&amp;"-"&amp;TEXT(COUNTIF($B$2:B1494,IF(B1494="",YEAR(TODAY()),B1494))+COUNTIFS($E$2:E1494,"&lt;&gt;",$B$2:B1494,""),"000"))</f>
        <v/>
      </c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 hidden="1" x14ac:dyDescent="0.25">
      <c r="A1495" s="183" t="str">
        <f ca="1">IF(E1495="","",IF(B1495="",YEAR(TODAY()),B1495)&amp;"-"&amp;TEXT(COUNTIF($B$2:B1495,IF(B1495="",YEAR(TODAY()),B1495))+COUNTIFS($E$2:E1495,"&lt;&gt;",$B$2:B1495,""),"000"))</f>
        <v/>
      </c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 hidden="1" x14ac:dyDescent="0.25">
      <c r="A1496" s="183" t="str">
        <f ca="1">IF(E1496="","",IF(B1496="",YEAR(TODAY()),B1496)&amp;"-"&amp;TEXT(COUNTIF($B$2:B1496,IF(B1496="",YEAR(TODAY()),B1496))+COUNTIFS($E$2:E1496,"&lt;&gt;",$B$2:B1496,""),"000"))</f>
        <v/>
      </c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 hidden="1" x14ac:dyDescent="0.25">
      <c r="A1497" s="183" t="str">
        <f ca="1">IF(E1497="","",IF(B1497="",YEAR(TODAY()),B1497)&amp;"-"&amp;TEXT(COUNTIF($B$2:B1497,IF(B1497="",YEAR(TODAY()),B1497))+COUNTIFS($E$2:E1497,"&lt;&gt;",$B$2:B1497,""),"000"))</f>
        <v/>
      </c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 hidden="1" x14ac:dyDescent="0.25">
      <c r="A1498" s="183" t="str">
        <f ca="1">IF(E1498="","",IF(B1498="",YEAR(TODAY()),B1498)&amp;"-"&amp;TEXT(COUNTIF($B$2:B1498,IF(B1498="",YEAR(TODAY()),B1498))+COUNTIFS($E$2:E1498,"&lt;&gt;",$B$2:B1498,""),"000"))</f>
        <v/>
      </c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 hidden="1" x14ac:dyDescent="0.25">
      <c r="A1499" s="183" t="str">
        <f ca="1">IF(E1499="","",IF(B1499="",YEAR(TODAY()),B1499)&amp;"-"&amp;TEXT(COUNTIF($B$2:B1499,IF(B1499="",YEAR(TODAY()),B1499))+COUNTIFS($E$2:E1499,"&lt;&gt;",$B$2:B1499,""),"000"))</f>
        <v/>
      </c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 hidden="1" x14ac:dyDescent="0.25">
      <c r="A1500" s="183" t="str">
        <f ca="1">IF(E1500="","",IF(B1500="",YEAR(TODAY()),B1500)&amp;"-"&amp;TEXT(COUNTIF($B$2:B1500,IF(B1500="",YEAR(TODAY()),B1500))+COUNTIFS($E$2:E1500,"&lt;&gt;",$B$2:B1500,""),"000"))</f>
        <v/>
      </c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 hidden="1" x14ac:dyDescent="0.25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 hidden="1" x14ac:dyDescent="0.25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 hidden="1" x14ac:dyDescent="0.25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 hidden="1" x14ac:dyDescent="0.25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 hidden="1" x14ac:dyDescent="0.25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 hidden="1" x14ac:dyDescent="0.25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 hidden="1" x14ac:dyDescent="0.25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 hidden="1" x14ac:dyDescent="0.25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 hidden="1" x14ac:dyDescent="0.25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 hidden="1" x14ac:dyDescent="0.25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 hidden="1" x14ac:dyDescent="0.25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 hidden="1" x14ac:dyDescent="0.25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 hidden="1" x14ac:dyDescent="0.25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 hidden="1" x14ac:dyDescent="0.25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 hidden="1" x14ac:dyDescent="0.25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 hidden="1" x14ac:dyDescent="0.25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 hidden="1" x14ac:dyDescent="0.25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 hidden="1" x14ac:dyDescent="0.25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 hidden="1" x14ac:dyDescent="0.25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 hidden="1" x14ac:dyDescent="0.25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 hidden="1" x14ac:dyDescent="0.25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 hidden="1" x14ac:dyDescent="0.25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 hidden="1" x14ac:dyDescent="0.25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 hidden="1" x14ac:dyDescent="0.25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 hidden="1" x14ac:dyDescent="0.25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 hidden="1" x14ac:dyDescent="0.25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 hidden="1" x14ac:dyDescent="0.25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 hidden="1" x14ac:dyDescent="0.25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 hidden="1" x14ac:dyDescent="0.25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 hidden="1" x14ac:dyDescent="0.25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 hidden="1" x14ac:dyDescent="0.25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 hidden="1" x14ac:dyDescent="0.25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 hidden="1" x14ac:dyDescent="0.25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 hidden="1" x14ac:dyDescent="0.25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 hidden="1" x14ac:dyDescent="0.25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 hidden="1" x14ac:dyDescent="0.25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 hidden="1" x14ac:dyDescent="0.25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 hidden="1" x14ac:dyDescent="0.25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 hidden="1" x14ac:dyDescent="0.25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 hidden="1" x14ac:dyDescent="0.25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 hidden="1" x14ac:dyDescent="0.25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 hidden="1" x14ac:dyDescent="0.25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 hidden="1" x14ac:dyDescent="0.25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 hidden="1" x14ac:dyDescent="0.25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 hidden="1" x14ac:dyDescent="0.25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 hidden="1" x14ac:dyDescent="0.25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 hidden="1" x14ac:dyDescent="0.25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 hidden="1" x14ac:dyDescent="0.25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 hidden="1" x14ac:dyDescent="0.25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 hidden="1" x14ac:dyDescent="0.25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 hidden="1" x14ac:dyDescent="0.25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 hidden="1" x14ac:dyDescent="0.25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 hidden="1" x14ac:dyDescent="0.25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 hidden="1" x14ac:dyDescent="0.25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 hidden="1" x14ac:dyDescent="0.25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 hidden="1" x14ac:dyDescent="0.25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 hidden="1" x14ac:dyDescent="0.25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 hidden="1" x14ac:dyDescent="0.25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 hidden="1" x14ac:dyDescent="0.25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 hidden="1" x14ac:dyDescent="0.25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 hidden="1" x14ac:dyDescent="0.25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 hidden="1" x14ac:dyDescent="0.25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 hidden="1" x14ac:dyDescent="0.25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 hidden="1" x14ac:dyDescent="0.25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 hidden="1" x14ac:dyDescent="0.25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 hidden="1" x14ac:dyDescent="0.25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 hidden="1" x14ac:dyDescent="0.25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 hidden="1" x14ac:dyDescent="0.25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 hidden="1" x14ac:dyDescent="0.25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 hidden="1" x14ac:dyDescent="0.25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 hidden="1" x14ac:dyDescent="0.25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 hidden="1" x14ac:dyDescent="0.25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 hidden="1" x14ac:dyDescent="0.25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 hidden="1" x14ac:dyDescent="0.25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 hidden="1" x14ac:dyDescent="0.25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 hidden="1" x14ac:dyDescent="0.25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 hidden="1" x14ac:dyDescent="0.25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 hidden="1" x14ac:dyDescent="0.25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 hidden="1" x14ac:dyDescent="0.25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 hidden="1" x14ac:dyDescent="0.25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 hidden="1" x14ac:dyDescent="0.25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 hidden="1" x14ac:dyDescent="0.25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 hidden="1" x14ac:dyDescent="0.25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 hidden="1" x14ac:dyDescent="0.25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 hidden="1" x14ac:dyDescent="0.25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 hidden="1" x14ac:dyDescent="0.25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 hidden="1" x14ac:dyDescent="0.25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 hidden="1" x14ac:dyDescent="0.25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 hidden="1" x14ac:dyDescent="0.25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 hidden="1" x14ac:dyDescent="0.25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 hidden="1" x14ac:dyDescent="0.25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 hidden="1" x14ac:dyDescent="0.25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 hidden="1" x14ac:dyDescent="0.25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 hidden="1" x14ac:dyDescent="0.25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 hidden="1" x14ac:dyDescent="0.25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 hidden="1" x14ac:dyDescent="0.25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 hidden="1" x14ac:dyDescent="0.25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 hidden="1" x14ac:dyDescent="0.25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 hidden="1" x14ac:dyDescent="0.25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 hidden="1" x14ac:dyDescent="0.25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 hidden="1" x14ac:dyDescent="0.25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 hidden="1" x14ac:dyDescent="0.25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 hidden="1" x14ac:dyDescent="0.25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 hidden="1" x14ac:dyDescent="0.25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 hidden="1" x14ac:dyDescent="0.25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 hidden="1" x14ac:dyDescent="0.25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 hidden="1" x14ac:dyDescent="0.25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 hidden="1" x14ac:dyDescent="0.25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 hidden="1" x14ac:dyDescent="0.25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 hidden="1" x14ac:dyDescent="0.25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 hidden="1" x14ac:dyDescent="0.25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 hidden="1" x14ac:dyDescent="0.25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 hidden="1" x14ac:dyDescent="0.25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 hidden="1" x14ac:dyDescent="0.25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 hidden="1" x14ac:dyDescent="0.25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 hidden="1" x14ac:dyDescent="0.25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 hidden="1" x14ac:dyDescent="0.25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 hidden="1" x14ac:dyDescent="0.25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 hidden="1" x14ac:dyDescent="0.25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 hidden="1" x14ac:dyDescent="0.25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 hidden="1" x14ac:dyDescent="0.25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 hidden="1" x14ac:dyDescent="0.25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 hidden="1" x14ac:dyDescent="0.25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 hidden="1" x14ac:dyDescent="0.25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 hidden="1" x14ac:dyDescent="0.25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 hidden="1" x14ac:dyDescent="0.25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 hidden="1" x14ac:dyDescent="0.25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 hidden="1" x14ac:dyDescent="0.25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 hidden="1" x14ac:dyDescent="0.25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 hidden="1" x14ac:dyDescent="0.25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 hidden="1" x14ac:dyDescent="0.25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 hidden="1" x14ac:dyDescent="0.25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 hidden="1" x14ac:dyDescent="0.25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 hidden="1" x14ac:dyDescent="0.25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 hidden="1" x14ac:dyDescent="0.25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 hidden="1" x14ac:dyDescent="0.25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 hidden="1" x14ac:dyDescent="0.25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 hidden="1" x14ac:dyDescent="0.25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 hidden="1" x14ac:dyDescent="0.25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 hidden="1" x14ac:dyDescent="0.25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 hidden="1" x14ac:dyDescent="0.25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 hidden="1" x14ac:dyDescent="0.25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 hidden="1" x14ac:dyDescent="0.25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 hidden="1" x14ac:dyDescent="0.25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 hidden="1" x14ac:dyDescent="0.25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 hidden="1" x14ac:dyDescent="0.25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 hidden="1" x14ac:dyDescent="0.25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 hidden="1" x14ac:dyDescent="0.25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 hidden="1" x14ac:dyDescent="0.25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 hidden="1" x14ac:dyDescent="0.25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 hidden="1" x14ac:dyDescent="0.25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 hidden="1" x14ac:dyDescent="0.25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 hidden="1" x14ac:dyDescent="0.25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 hidden="1" x14ac:dyDescent="0.25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 hidden="1" x14ac:dyDescent="0.25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 hidden="1" x14ac:dyDescent="0.25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 hidden="1" x14ac:dyDescent="0.25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 hidden="1" x14ac:dyDescent="0.25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 hidden="1" x14ac:dyDescent="0.25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 hidden="1" x14ac:dyDescent="0.25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 hidden="1" x14ac:dyDescent="0.25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 hidden="1" x14ac:dyDescent="0.25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 hidden="1" x14ac:dyDescent="0.25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 hidden="1" x14ac:dyDescent="0.25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 hidden="1" x14ac:dyDescent="0.25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 hidden="1" x14ac:dyDescent="0.25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 hidden="1" x14ac:dyDescent="0.25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 hidden="1" x14ac:dyDescent="0.25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 hidden="1" x14ac:dyDescent="0.25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 hidden="1" x14ac:dyDescent="0.25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 hidden="1" x14ac:dyDescent="0.25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 hidden="1" x14ac:dyDescent="0.25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 hidden="1" x14ac:dyDescent="0.25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 hidden="1" x14ac:dyDescent="0.25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 hidden="1" x14ac:dyDescent="0.25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 hidden="1" x14ac:dyDescent="0.25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 hidden="1" x14ac:dyDescent="0.25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 hidden="1" x14ac:dyDescent="0.25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 hidden="1" x14ac:dyDescent="0.25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 hidden="1" x14ac:dyDescent="0.25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 hidden="1" x14ac:dyDescent="0.25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 hidden="1" x14ac:dyDescent="0.25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 hidden="1" x14ac:dyDescent="0.25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 hidden="1" x14ac:dyDescent="0.25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 hidden="1" x14ac:dyDescent="0.25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 hidden="1" x14ac:dyDescent="0.25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 hidden="1" x14ac:dyDescent="0.25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 hidden="1" x14ac:dyDescent="0.25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 hidden="1" x14ac:dyDescent="0.25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 hidden="1" x14ac:dyDescent="0.25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 hidden="1" x14ac:dyDescent="0.25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 hidden="1" x14ac:dyDescent="0.25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 hidden="1" x14ac:dyDescent="0.25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 hidden="1" x14ac:dyDescent="0.25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 hidden="1" x14ac:dyDescent="0.25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 hidden="1" x14ac:dyDescent="0.25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 hidden="1" x14ac:dyDescent="0.25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 hidden="1" x14ac:dyDescent="0.25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 hidden="1" x14ac:dyDescent="0.25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 hidden="1" x14ac:dyDescent="0.25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 hidden="1" x14ac:dyDescent="0.25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 hidden="1" x14ac:dyDescent="0.25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 hidden="1" x14ac:dyDescent="0.25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 hidden="1" x14ac:dyDescent="0.25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 hidden="1" x14ac:dyDescent="0.25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 hidden="1" x14ac:dyDescent="0.25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 hidden="1" x14ac:dyDescent="0.25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 hidden="1" x14ac:dyDescent="0.25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 hidden="1" x14ac:dyDescent="0.25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 hidden="1" x14ac:dyDescent="0.25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 hidden="1" x14ac:dyDescent="0.25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 hidden="1" x14ac:dyDescent="0.25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 hidden="1" x14ac:dyDescent="0.25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 hidden="1" x14ac:dyDescent="0.25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 hidden="1" x14ac:dyDescent="0.25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 hidden="1" x14ac:dyDescent="0.25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 hidden="1" x14ac:dyDescent="0.25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 hidden="1" x14ac:dyDescent="0.25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 hidden="1" x14ac:dyDescent="0.25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 hidden="1" x14ac:dyDescent="0.25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 hidden="1" x14ac:dyDescent="0.25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 hidden="1" x14ac:dyDescent="0.25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 hidden="1" x14ac:dyDescent="0.25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 hidden="1" x14ac:dyDescent="0.25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 hidden="1" x14ac:dyDescent="0.25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 hidden="1" x14ac:dyDescent="0.25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 hidden="1" x14ac:dyDescent="0.25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 hidden="1" x14ac:dyDescent="0.25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 hidden="1" x14ac:dyDescent="0.25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 hidden="1" x14ac:dyDescent="0.25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 hidden="1" x14ac:dyDescent="0.25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 hidden="1" x14ac:dyDescent="0.25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 hidden="1" x14ac:dyDescent="0.25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 hidden="1" x14ac:dyDescent="0.25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 hidden="1" x14ac:dyDescent="0.25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 hidden="1" x14ac:dyDescent="0.25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 hidden="1" x14ac:dyDescent="0.25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 hidden="1" x14ac:dyDescent="0.25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 hidden="1" x14ac:dyDescent="0.25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 hidden="1" x14ac:dyDescent="0.25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 hidden="1" x14ac:dyDescent="0.25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 hidden="1" x14ac:dyDescent="0.25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 hidden="1" x14ac:dyDescent="0.25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 hidden="1" x14ac:dyDescent="0.25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 hidden="1" x14ac:dyDescent="0.25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 hidden="1" x14ac:dyDescent="0.25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 hidden="1" x14ac:dyDescent="0.25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 hidden="1" x14ac:dyDescent="0.25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 hidden="1" x14ac:dyDescent="0.25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 hidden="1" x14ac:dyDescent="0.25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 hidden="1" x14ac:dyDescent="0.25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 hidden="1" x14ac:dyDescent="0.25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 hidden="1" x14ac:dyDescent="0.25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 hidden="1" x14ac:dyDescent="0.25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 hidden="1" x14ac:dyDescent="0.25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 hidden="1" x14ac:dyDescent="0.25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 hidden="1" x14ac:dyDescent="0.25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 hidden="1" x14ac:dyDescent="0.25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 hidden="1" x14ac:dyDescent="0.25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 hidden="1" x14ac:dyDescent="0.25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 hidden="1" x14ac:dyDescent="0.25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 hidden="1" x14ac:dyDescent="0.25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 hidden="1" x14ac:dyDescent="0.25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 hidden="1" x14ac:dyDescent="0.25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 hidden="1" x14ac:dyDescent="0.25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 hidden="1" x14ac:dyDescent="0.25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 hidden="1" x14ac:dyDescent="0.25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 hidden="1" x14ac:dyDescent="0.25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 hidden="1" x14ac:dyDescent="0.25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 hidden="1" x14ac:dyDescent="0.25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 hidden="1" x14ac:dyDescent="0.25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 hidden="1" x14ac:dyDescent="0.25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 hidden="1" x14ac:dyDescent="0.25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 hidden="1" x14ac:dyDescent="0.25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 hidden="1" x14ac:dyDescent="0.25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 hidden="1" x14ac:dyDescent="0.25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 hidden="1" x14ac:dyDescent="0.25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 hidden="1" x14ac:dyDescent="0.25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 hidden="1" x14ac:dyDescent="0.25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 hidden="1" x14ac:dyDescent="0.25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 hidden="1" x14ac:dyDescent="0.25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 hidden="1" x14ac:dyDescent="0.25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 hidden="1" x14ac:dyDescent="0.25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 hidden="1" x14ac:dyDescent="0.25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 hidden="1" x14ac:dyDescent="0.25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 hidden="1" x14ac:dyDescent="0.25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 hidden="1" x14ac:dyDescent="0.25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 hidden="1" x14ac:dyDescent="0.25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 hidden="1" x14ac:dyDescent="0.25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 hidden="1" x14ac:dyDescent="0.25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 hidden="1" x14ac:dyDescent="0.25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 hidden="1" x14ac:dyDescent="0.25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 hidden="1" x14ac:dyDescent="0.25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 hidden="1" x14ac:dyDescent="0.25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 hidden="1" x14ac:dyDescent="0.25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 hidden="1" x14ac:dyDescent="0.25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 hidden="1" x14ac:dyDescent="0.25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 hidden="1" x14ac:dyDescent="0.25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 hidden="1" x14ac:dyDescent="0.25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 hidden="1" x14ac:dyDescent="0.25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 hidden="1" x14ac:dyDescent="0.25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 hidden="1" x14ac:dyDescent="0.25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 hidden="1" x14ac:dyDescent="0.25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 hidden="1" x14ac:dyDescent="0.25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 hidden="1" x14ac:dyDescent="0.25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 hidden="1" x14ac:dyDescent="0.25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 hidden="1" x14ac:dyDescent="0.25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 hidden="1" x14ac:dyDescent="0.25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 hidden="1" x14ac:dyDescent="0.25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 hidden="1" x14ac:dyDescent="0.25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 hidden="1" x14ac:dyDescent="0.25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 hidden="1" x14ac:dyDescent="0.25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 hidden="1" x14ac:dyDescent="0.25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 hidden="1" x14ac:dyDescent="0.25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 hidden="1" x14ac:dyDescent="0.25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 hidden="1" x14ac:dyDescent="0.25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 hidden="1" x14ac:dyDescent="0.25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 hidden="1" x14ac:dyDescent="0.25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 hidden="1" x14ac:dyDescent="0.25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 hidden="1" x14ac:dyDescent="0.25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 hidden="1" x14ac:dyDescent="0.25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 hidden="1" x14ac:dyDescent="0.25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 hidden="1" x14ac:dyDescent="0.25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 hidden="1" x14ac:dyDescent="0.25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 hidden="1" x14ac:dyDescent="0.25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 hidden="1" x14ac:dyDescent="0.25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 hidden="1" x14ac:dyDescent="0.25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 hidden="1" x14ac:dyDescent="0.25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 hidden="1" x14ac:dyDescent="0.25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 hidden="1" x14ac:dyDescent="0.25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 hidden="1" x14ac:dyDescent="0.25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 hidden="1" x14ac:dyDescent="0.25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 hidden="1" x14ac:dyDescent="0.25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 hidden="1" x14ac:dyDescent="0.25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 hidden="1" x14ac:dyDescent="0.25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 hidden="1" x14ac:dyDescent="0.25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 hidden="1" x14ac:dyDescent="0.25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 hidden="1" x14ac:dyDescent="0.25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 hidden="1" x14ac:dyDescent="0.25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 hidden="1" x14ac:dyDescent="0.25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 hidden="1" x14ac:dyDescent="0.25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 hidden="1" x14ac:dyDescent="0.25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 hidden="1" x14ac:dyDescent="0.25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 hidden="1" x14ac:dyDescent="0.25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 hidden="1" x14ac:dyDescent="0.25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 hidden="1" x14ac:dyDescent="0.25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 hidden="1" x14ac:dyDescent="0.25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 hidden="1" x14ac:dyDescent="0.25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 hidden="1" x14ac:dyDescent="0.25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 hidden="1" x14ac:dyDescent="0.25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 hidden="1" x14ac:dyDescent="0.25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 hidden="1" x14ac:dyDescent="0.25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 hidden="1" x14ac:dyDescent="0.25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 hidden="1" x14ac:dyDescent="0.25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 hidden="1" x14ac:dyDescent="0.25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 hidden="1" x14ac:dyDescent="0.25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 hidden="1" x14ac:dyDescent="0.25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 hidden="1" x14ac:dyDescent="0.25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 hidden="1" x14ac:dyDescent="0.25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 hidden="1" x14ac:dyDescent="0.25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 hidden="1" x14ac:dyDescent="0.25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 hidden="1" x14ac:dyDescent="0.25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 hidden="1" x14ac:dyDescent="0.25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 hidden="1" x14ac:dyDescent="0.25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 hidden="1" x14ac:dyDescent="0.25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 hidden="1" x14ac:dyDescent="0.25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 hidden="1" x14ac:dyDescent="0.25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 hidden="1" x14ac:dyDescent="0.25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 hidden="1" x14ac:dyDescent="0.25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 hidden="1" x14ac:dyDescent="0.25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 hidden="1" x14ac:dyDescent="0.25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 hidden="1" x14ac:dyDescent="0.25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 hidden="1" x14ac:dyDescent="0.25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 hidden="1" x14ac:dyDescent="0.25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 hidden="1" x14ac:dyDescent="0.25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 hidden="1" x14ac:dyDescent="0.25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 hidden="1" x14ac:dyDescent="0.25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 hidden="1" x14ac:dyDescent="0.25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 hidden="1" x14ac:dyDescent="0.25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 hidden="1" x14ac:dyDescent="0.25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 hidden="1" x14ac:dyDescent="0.25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 hidden="1" x14ac:dyDescent="0.25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 hidden="1" x14ac:dyDescent="0.25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 hidden="1" x14ac:dyDescent="0.25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 hidden="1" x14ac:dyDescent="0.25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 hidden="1" x14ac:dyDescent="0.25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 hidden="1" x14ac:dyDescent="0.25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 hidden="1" x14ac:dyDescent="0.25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 hidden="1" x14ac:dyDescent="0.25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 hidden="1" x14ac:dyDescent="0.25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 hidden="1" x14ac:dyDescent="0.25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 hidden="1" x14ac:dyDescent="0.25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 hidden="1" x14ac:dyDescent="0.25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 hidden="1" x14ac:dyDescent="0.25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 hidden="1" x14ac:dyDescent="0.25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 hidden="1" x14ac:dyDescent="0.25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 hidden="1" x14ac:dyDescent="0.25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 hidden="1" x14ac:dyDescent="0.25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 hidden="1" x14ac:dyDescent="0.25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 hidden="1" x14ac:dyDescent="0.25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 hidden="1" x14ac:dyDescent="0.25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 hidden="1" x14ac:dyDescent="0.25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 hidden="1" x14ac:dyDescent="0.25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 hidden="1" x14ac:dyDescent="0.25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 hidden="1" x14ac:dyDescent="0.25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 hidden="1" x14ac:dyDescent="0.25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 hidden="1" x14ac:dyDescent="0.25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 hidden="1" x14ac:dyDescent="0.25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 hidden="1" x14ac:dyDescent="0.25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 hidden="1" x14ac:dyDescent="0.25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 hidden="1" x14ac:dyDescent="0.25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 hidden="1" x14ac:dyDescent="0.25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 hidden="1" x14ac:dyDescent="0.25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 hidden="1" x14ac:dyDescent="0.25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 hidden="1" x14ac:dyDescent="0.25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 hidden="1" x14ac:dyDescent="0.25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 hidden="1" x14ac:dyDescent="0.25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 hidden="1" x14ac:dyDescent="0.25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 hidden="1" x14ac:dyDescent="0.25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 hidden="1" x14ac:dyDescent="0.25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 hidden="1" x14ac:dyDescent="0.25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 hidden="1" x14ac:dyDescent="0.25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 hidden="1" x14ac:dyDescent="0.25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 hidden="1" x14ac:dyDescent="0.25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 hidden="1" x14ac:dyDescent="0.25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 hidden="1" x14ac:dyDescent="0.25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 hidden="1" x14ac:dyDescent="0.25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 hidden="1" x14ac:dyDescent="0.25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 hidden="1" x14ac:dyDescent="0.25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 hidden="1" x14ac:dyDescent="0.25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 hidden="1" x14ac:dyDescent="0.25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 hidden="1" x14ac:dyDescent="0.25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 hidden="1" x14ac:dyDescent="0.25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 hidden="1" x14ac:dyDescent="0.25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 hidden="1" x14ac:dyDescent="0.25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 hidden="1" x14ac:dyDescent="0.25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 hidden="1" x14ac:dyDescent="0.25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 hidden="1" x14ac:dyDescent="0.25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 hidden="1" x14ac:dyDescent="0.25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 hidden="1" x14ac:dyDescent="0.25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 hidden="1" x14ac:dyDescent="0.25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 hidden="1" x14ac:dyDescent="0.25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 hidden="1" x14ac:dyDescent="0.25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 hidden="1" x14ac:dyDescent="0.25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 hidden="1" x14ac:dyDescent="0.25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 hidden="1" x14ac:dyDescent="0.25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 hidden="1" x14ac:dyDescent="0.25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 hidden="1" x14ac:dyDescent="0.25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 hidden="1" x14ac:dyDescent="0.25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 hidden="1" x14ac:dyDescent="0.25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 hidden="1" x14ac:dyDescent="0.25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 hidden="1" x14ac:dyDescent="0.25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 hidden="1" x14ac:dyDescent="0.25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 hidden="1" x14ac:dyDescent="0.25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 hidden="1" x14ac:dyDescent="0.25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 hidden="1" x14ac:dyDescent="0.25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 hidden="1" x14ac:dyDescent="0.25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 hidden="1" x14ac:dyDescent="0.25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 hidden="1" x14ac:dyDescent="0.25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 hidden="1" x14ac:dyDescent="0.25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 hidden="1" x14ac:dyDescent="0.25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 hidden="1" x14ac:dyDescent="0.25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 hidden="1" x14ac:dyDescent="0.25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 hidden="1" x14ac:dyDescent="0.25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 hidden="1" x14ac:dyDescent="0.25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 hidden="1" x14ac:dyDescent="0.25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 hidden="1" x14ac:dyDescent="0.25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 hidden="1" x14ac:dyDescent="0.25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 hidden="1" x14ac:dyDescent="0.25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 hidden="1" x14ac:dyDescent="0.25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 hidden="1" x14ac:dyDescent="0.25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 hidden="1" x14ac:dyDescent="0.25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 hidden="1" x14ac:dyDescent="0.25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 hidden="1" x14ac:dyDescent="0.25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 hidden="1" x14ac:dyDescent="0.25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 hidden="1" x14ac:dyDescent="0.25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 hidden="1" x14ac:dyDescent="0.25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 hidden="1" x14ac:dyDescent="0.25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 hidden="1" x14ac:dyDescent="0.25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 hidden="1" x14ac:dyDescent="0.25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 hidden="1" x14ac:dyDescent="0.25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 hidden="1" x14ac:dyDescent="0.25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 hidden="1" x14ac:dyDescent="0.25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 hidden="1" x14ac:dyDescent="0.25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 hidden="1" x14ac:dyDescent="0.25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 hidden="1" x14ac:dyDescent="0.25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 hidden="1" x14ac:dyDescent="0.25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 hidden="1" x14ac:dyDescent="0.25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 hidden="1" x14ac:dyDescent="0.25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 hidden="1" x14ac:dyDescent="0.25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 hidden="1" x14ac:dyDescent="0.25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 hidden="1" x14ac:dyDescent="0.25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 hidden="1" x14ac:dyDescent="0.25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 hidden="1" x14ac:dyDescent="0.25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 hidden="1" x14ac:dyDescent="0.25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 hidden="1" x14ac:dyDescent="0.25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 hidden="1" x14ac:dyDescent="0.25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 hidden="1" x14ac:dyDescent="0.25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 hidden="1" x14ac:dyDescent="0.25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 hidden="1" x14ac:dyDescent="0.25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 hidden="1" x14ac:dyDescent="0.25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 hidden="1" x14ac:dyDescent="0.25">
      <c r="A2002" s="175"/>
      <c r="B2002" s="223"/>
      <c r="C2002" s="193"/>
      <c r="D2002" s="193"/>
      <c r="E2002" s="184"/>
      <c r="F2002" s="211"/>
      <c r="G2002" s="194"/>
      <c r="H2002" s="195"/>
      <c r="I2002" s="196"/>
      <c r="J2002" s="196"/>
      <c r="K2002" s="224"/>
      <c r="L2002" s="225"/>
      <c r="M2002" s="198"/>
      <c r="N2002" s="199"/>
      <c r="O2002" s="200"/>
      <c r="P2002" s="200"/>
      <c r="Q2002" s="200"/>
      <c r="R2002" s="200"/>
      <c r="S2002" s="193"/>
      <c r="T2002" s="194"/>
    </row>
    <row r="2003" spans="1:20" ht="15" hidden="1" x14ac:dyDescent="0.25">
      <c r="A2003" s="175"/>
      <c r="B2003" s="223"/>
      <c r="C2003" s="193"/>
      <c r="D2003" s="193"/>
      <c r="E2003" s="184"/>
      <c r="F2003" s="211"/>
      <c r="G2003" s="194"/>
      <c r="H2003" s="195"/>
      <c r="I2003" s="196"/>
      <c r="J2003" s="196"/>
      <c r="K2003" s="224"/>
      <c r="L2003" s="225"/>
      <c r="M2003" s="198"/>
      <c r="N2003" s="199"/>
      <c r="O2003" s="200"/>
      <c r="P2003" s="200"/>
      <c r="Q2003" s="200"/>
      <c r="R2003" s="200"/>
      <c r="S2003" s="193"/>
      <c r="T2003" s="194"/>
    </row>
    <row r="2004" spans="1:20" ht="22.5" hidden="1" customHeight="1" x14ac:dyDescent="0.25">
      <c r="A2004" s="175"/>
      <c r="B2004" s="220"/>
      <c r="C2004" s="183"/>
      <c r="D2004" s="183"/>
      <c r="E2004" s="184"/>
      <c r="F2004" s="185"/>
      <c r="G2004" s="186"/>
      <c r="H2004" s="191"/>
      <c r="I2004" s="192"/>
      <c r="J2004" s="192"/>
      <c r="K2004" s="221"/>
      <c r="L2004" s="222"/>
      <c r="M2004" s="188"/>
      <c r="N2004" s="189"/>
      <c r="O2004" s="190"/>
      <c r="P2004" s="190"/>
      <c r="Q2004" s="190"/>
      <c r="R2004" s="190"/>
      <c r="S2004" s="183"/>
      <c r="T2004" s="186"/>
    </row>
    <row r="2005" spans="1:20" ht="22.5" hidden="1" customHeight="1" x14ac:dyDescent="0.25">
      <c r="A2005" s="175"/>
      <c r="B2005" s="223"/>
      <c r="C2005" s="193"/>
      <c r="D2005" s="193"/>
      <c r="E2005" s="184"/>
      <c r="F2005" s="211"/>
      <c r="G2005" s="194"/>
      <c r="H2005" s="195"/>
      <c r="I2005" s="196"/>
      <c r="J2005" s="196"/>
      <c r="K2005" s="224"/>
      <c r="L2005" s="225"/>
      <c r="M2005" s="198"/>
      <c r="N2005" s="199"/>
      <c r="O2005" s="200"/>
      <c r="P2005" s="200"/>
      <c r="Q2005" s="200"/>
      <c r="R2005" s="200"/>
      <c r="S2005" s="193"/>
      <c r="T2005" s="194"/>
    </row>
    <row r="2006" spans="1:20" ht="22.5" hidden="1" customHeight="1" x14ac:dyDescent="0.25">
      <c r="A2006" s="175"/>
      <c r="B2006" s="220"/>
      <c r="C2006" s="183"/>
      <c r="D2006" s="183"/>
      <c r="E2006" s="184"/>
      <c r="F2006" s="185"/>
      <c r="G2006" s="186"/>
      <c r="H2006" s="191"/>
      <c r="I2006" s="192"/>
      <c r="J2006" s="192"/>
      <c r="K2006" s="221"/>
      <c r="L2006" s="222"/>
      <c r="M2006" s="188"/>
      <c r="N2006" s="189"/>
      <c r="O2006" s="190"/>
      <c r="P2006" s="190"/>
      <c r="Q2006" s="190"/>
      <c r="R2006" s="190"/>
      <c r="S2006" s="183"/>
      <c r="T2006" s="186"/>
    </row>
    <row r="2007" spans="1:20" ht="22.5" hidden="1" customHeight="1" x14ac:dyDescent="0.25">
      <c r="A2007" s="200"/>
      <c r="B2007" s="223"/>
      <c r="C2007" s="193"/>
      <c r="D2007" s="193"/>
      <c r="E2007" s="203"/>
      <c r="F2007" s="211"/>
      <c r="G2007" s="194"/>
      <c r="H2007" s="195"/>
      <c r="I2007" s="196"/>
      <c r="J2007" s="196"/>
      <c r="K2007" s="224"/>
      <c r="L2007" s="225"/>
      <c r="M2007" s="198"/>
      <c r="N2007" s="199"/>
      <c r="O2007" s="200"/>
      <c r="P2007" s="200"/>
      <c r="Q2007" s="200"/>
      <c r="R2007" s="200"/>
      <c r="S2007" s="193"/>
      <c r="T2007" s="19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2:T2001">
    <cfRule type="expression" dxfId="52" priority="9">
      <formula>MOD(ROW(),2)=0</formula>
    </cfRule>
  </conditionalFormatting>
  <conditionalFormatting sqref="A2002:A2006 E2007 A2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H2002:I1048576 I736:J2001 I726:J734" xr:uid="{A71E4390-A059-418C-8F5C-AD2AF445253E}">
      <formula1>41640</formula1>
      <formula2>47848</formula2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9"/>
  <sheetViews>
    <sheetView workbookViewId="0">
      <selection activeCell="I16" sqref="I16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5" t="s">
        <v>2993</v>
      </c>
      <c r="H1" s="213" t="s">
        <v>2994</v>
      </c>
    </row>
    <row r="2" spans="1:8" x14ac:dyDescent="0.25">
      <c r="H2" s="212" t="s">
        <v>2995</v>
      </c>
    </row>
    <row r="3" spans="1:8" x14ac:dyDescent="0.25">
      <c r="A3" t="s">
        <v>0</v>
      </c>
      <c r="B3" t="s">
        <v>19</v>
      </c>
      <c r="C3" t="s">
        <v>2996</v>
      </c>
      <c r="D3" t="s">
        <v>2997</v>
      </c>
      <c r="E3" t="s">
        <v>2998</v>
      </c>
      <c r="H3" s="212" t="s">
        <v>2999</v>
      </c>
    </row>
    <row r="4" spans="1:8" x14ac:dyDescent="0.25">
      <c r="A4">
        <v>1</v>
      </c>
      <c r="B4" t="s">
        <v>3000</v>
      </c>
      <c r="D4" t="s">
        <v>3001</v>
      </c>
      <c r="E4" s="214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2" t="s">
        <v>3002</v>
      </c>
    </row>
    <row r="5" spans="1:8" x14ac:dyDescent="0.25">
      <c r="A5">
        <v>2</v>
      </c>
      <c r="B5" t="s">
        <v>2507</v>
      </c>
      <c r="D5" t="s">
        <v>3001</v>
      </c>
      <c r="E5" s="214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2" t="s">
        <v>3003</v>
      </c>
    </row>
    <row r="6" spans="1:8" x14ac:dyDescent="0.25">
      <c r="A6">
        <v>3</v>
      </c>
      <c r="B6" t="s">
        <v>1030</v>
      </c>
      <c r="D6" t="s">
        <v>3001</v>
      </c>
      <c r="E6" s="214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2"/>
    </row>
    <row r="7" spans="1:8" x14ac:dyDescent="0.25">
      <c r="A7">
        <v>4</v>
      </c>
      <c r="B7" t="s">
        <v>3004</v>
      </c>
      <c r="D7" t="s">
        <v>3001</v>
      </c>
      <c r="E7" s="214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3" t="s">
        <v>3005</v>
      </c>
    </row>
    <row r="8" spans="1:8" x14ac:dyDescent="0.25">
      <c r="A8">
        <v>5</v>
      </c>
      <c r="B8" t="s">
        <v>3006</v>
      </c>
      <c r="D8" t="s">
        <v>3001</v>
      </c>
      <c r="E8" s="214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3001</v>
      </c>
      <c r="E9" s="214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3001</v>
      </c>
      <c r="E10" s="214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3001</v>
      </c>
      <c r="E11" s="214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2833</v>
      </c>
      <c r="D12" t="s">
        <v>3001</v>
      </c>
      <c r="E12" s="214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3001</v>
      </c>
      <c r="E13" s="214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3001</v>
      </c>
      <c r="E14" s="214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2806</v>
      </c>
      <c r="D15" t="s">
        <v>3001</v>
      </c>
      <c r="E15" s="214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3001</v>
      </c>
      <c r="E16" s="214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3001</v>
      </c>
      <c r="E17" s="214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3001</v>
      </c>
      <c r="E18" s="214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3001</v>
      </c>
      <c r="E19" s="214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3001</v>
      </c>
      <c r="E20" s="214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3001</v>
      </c>
      <c r="E21" s="214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3001</v>
      </c>
      <c r="E22" s="214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3007</v>
      </c>
      <c r="D23" t="s">
        <v>3001</v>
      </c>
      <c r="E23" s="214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3001</v>
      </c>
      <c r="E24" s="214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3008</v>
      </c>
      <c r="D25" t="s">
        <v>3001</v>
      </c>
      <c r="E25" s="214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3009</v>
      </c>
      <c r="D26" t="s">
        <v>3001</v>
      </c>
      <c r="E26" s="214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3001</v>
      </c>
      <c r="E27" s="214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3001</v>
      </c>
      <c r="E28" s="214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3010</v>
      </c>
      <c r="D29" t="s">
        <v>3001</v>
      </c>
      <c r="E29" s="214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3001</v>
      </c>
      <c r="E30" s="214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3001</v>
      </c>
      <c r="E31" s="214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3001</v>
      </c>
      <c r="E32" s="214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3011</v>
      </c>
      <c r="D33" t="s">
        <v>3001</v>
      </c>
      <c r="E33" s="214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3012</v>
      </c>
      <c r="D34" t="s">
        <v>3001</v>
      </c>
      <c r="E34" s="214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3001</v>
      </c>
      <c r="E35" s="214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3001</v>
      </c>
      <c r="E36" s="214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3001</v>
      </c>
      <c r="E37" s="214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3013</v>
      </c>
      <c r="D38" t="s">
        <v>3001</v>
      </c>
      <c r="E38" s="214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37</v>
      </c>
      <c r="B39" t="s">
        <v>2154</v>
      </c>
      <c r="D39" t="s">
        <v>3001</v>
      </c>
      <c r="E39" s="214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38</v>
      </c>
      <c r="B40" t="s">
        <v>3014</v>
      </c>
      <c r="D40" t="s">
        <v>3001</v>
      </c>
      <c r="E40" s="214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39</v>
      </c>
      <c r="B41" t="s">
        <v>2583</v>
      </c>
      <c r="D41" t="s">
        <v>3001</v>
      </c>
      <c r="E41" s="214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40</v>
      </c>
      <c r="B42" t="s">
        <v>3015</v>
      </c>
      <c r="D42" t="s">
        <v>3001</v>
      </c>
      <c r="E42" s="214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41</v>
      </c>
      <c r="B43" t="s">
        <v>862</v>
      </c>
      <c r="D43" t="s">
        <v>3001</v>
      </c>
      <c r="E43" s="214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42</v>
      </c>
      <c r="B44" t="s">
        <v>717</v>
      </c>
      <c r="D44" t="s">
        <v>3001</v>
      </c>
      <c r="E44" s="214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43</v>
      </c>
      <c r="B45" t="s">
        <v>3016</v>
      </c>
      <c r="D45" t="s">
        <v>3001</v>
      </c>
      <c r="E45" s="214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44</v>
      </c>
      <c r="B46" t="s">
        <v>2161</v>
      </c>
      <c r="D46" t="s">
        <v>3001</v>
      </c>
      <c r="E46" s="214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45</v>
      </c>
      <c r="B47" t="s">
        <v>218</v>
      </c>
      <c r="D47" t="s">
        <v>3001</v>
      </c>
      <c r="E47" s="214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46</v>
      </c>
      <c r="B48" t="s">
        <v>973</v>
      </c>
      <c r="D48" t="s">
        <v>3001</v>
      </c>
      <c r="E48" s="214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47</v>
      </c>
      <c r="B49" t="s">
        <v>1407</v>
      </c>
      <c r="D49" t="s">
        <v>3001</v>
      </c>
      <c r="E49" s="214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48</v>
      </c>
      <c r="B50" t="s">
        <v>3017</v>
      </c>
      <c r="D50" t="s">
        <v>3001</v>
      </c>
      <c r="E50" s="214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49</v>
      </c>
      <c r="B51" t="s">
        <v>2721</v>
      </c>
      <c r="D51" t="s">
        <v>3001</v>
      </c>
      <c r="E51" s="214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50</v>
      </c>
      <c r="B52" t="s">
        <v>3018</v>
      </c>
      <c r="D52" t="s">
        <v>3001</v>
      </c>
      <c r="E52" s="214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51</v>
      </c>
      <c r="B53" t="s">
        <v>1062</v>
      </c>
      <c r="D53" t="s">
        <v>3001</v>
      </c>
      <c r="E53" s="214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52</v>
      </c>
      <c r="B54" t="s">
        <v>1759</v>
      </c>
      <c r="D54" t="s">
        <v>3001</v>
      </c>
      <c r="E54" s="214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53</v>
      </c>
      <c r="B55" t="s">
        <v>3019</v>
      </c>
      <c r="D55" t="s">
        <v>3001</v>
      </c>
      <c r="E55" s="214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54</v>
      </c>
      <c r="B56" t="s">
        <v>81</v>
      </c>
      <c r="D56" t="s">
        <v>3001</v>
      </c>
      <c r="E56" s="214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55</v>
      </c>
      <c r="B57" t="s">
        <v>1103</v>
      </c>
      <c r="D57" t="s">
        <v>3001</v>
      </c>
      <c r="E57" s="214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56</v>
      </c>
      <c r="B58" t="s">
        <v>2055</v>
      </c>
      <c r="D58" t="s">
        <v>3001</v>
      </c>
      <c r="E58" s="214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57</v>
      </c>
      <c r="B59" t="s">
        <v>3020</v>
      </c>
      <c r="D59" t="s">
        <v>3001</v>
      </c>
      <c r="E59" s="214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58</v>
      </c>
      <c r="B60" t="s">
        <v>1880</v>
      </c>
      <c r="D60" t="s">
        <v>3001</v>
      </c>
      <c r="E60" s="214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59</v>
      </c>
      <c r="B61" t="s">
        <v>2089</v>
      </c>
      <c r="D61" t="s">
        <v>3001</v>
      </c>
      <c r="E61" s="214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60</v>
      </c>
      <c r="B62" t="s">
        <v>2021</v>
      </c>
      <c r="D62" t="s">
        <v>3001</v>
      </c>
      <c r="E62" s="214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61</v>
      </c>
      <c r="B63" t="s">
        <v>3021</v>
      </c>
      <c r="D63" t="s">
        <v>3001</v>
      </c>
      <c r="E63" s="214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62</v>
      </c>
      <c r="B64" t="s">
        <v>3022</v>
      </c>
      <c r="D64" t="s">
        <v>3001</v>
      </c>
      <c r="E64" s="214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63</v>
      </c>
      <c r="B65" t="s">
        <v>3023</v>
      </c>
      <c r="D65" t="s">
        <v>3001</v>
      </c>
      <c r="E65" s="214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64</v>
      </c>
      <c r="B66" t="s">
        <v>3024</v>
      </c>
      <c r="D66" t="s">
        <v>3001</v>
      </c>
      <c r="E66" s="214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65</v>
      </c>
      <c r="B67" t="s">
        <v>2796</v>
      </c>
      <c r="D67" t="s">
        <v>3001</v>
      </c>
      <c r="E67" s="214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66</v>
      </c>
      <c r="B68" t="s">
        <v>2556</v>
      </c>
      <c r="D68" t="s">
        <v>3001</v>
      </c>
      <c r="E68" s="214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67</v>
      </c>
      <c r="B69" t="s">
        <v>3025</v>
      </c>
      <c r="D69" t="s">
        <v>3001</v>
      </c>
      <c r="E69" s="214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68</v>
      </c>
      <c r="B70" t="s">
        <v>3026</v>
      </c>
      <c r="D70" t="s">
        <v>3001</v>
      </c>
      <c r="E70" s="214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69</v>
      </c>
      <c r="B71" t="s">
        <v>2457</v>
      </c>
      <c r="D71" t="s">
        <v>3001</v>
      </c>
      <c r="E71" s="214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70</v>
      </c>
      <c r="B72" t="s">
        <v>3027</v>
      </c>
      <c r="D72" t="s">
        <v>3001</v>
      </c>
      <c r="E72" s="214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71</v>
      </c>
      <c r="B73" t="s">
        <v>2670</v>
      </c>
      <c r="D73" t="s">
        <v>3001</v>
      </c>
      <c r="E73" s="214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72</v>
      </c>
      <c r="B74" t="s">
        <v>2322</v>
      </c>
      <c r="D74" t="s">
        <v>3001</v>
      </c>
      <c r="E74" s="214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73</v>
      </c>
      <c r="B75" t="s">
        <v>2301</v>
      </c>
      <c r="D75" t="s">
        <v>3001</v>
      </c>
      <c r="E75" s="214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74</v>
      </c>
      <c r="B76" t="s">
        <v>3028</v>
      </c>
      <c r="D76" t="s">
        <v>3001</v>
      </c>
      <c r="E76" s="214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75</v>
      </c>
      <c r="B77" t="s">
        <v>115</v>
      </c>
      <c r="D77" t="s">
        <v>3001</v>
      </c>
      <c r="E77" s="214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76</v>
      </c>
      <c r="B78" t="s">
        <v>942</v>
      </c>
      <c r="D78" t="s">
        <v>3001</v>
      </c>
      <c r="E78" s="214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77</v>
      </c>
      <c r="B79" t="s">
        <v>803</v>
      </c>
      <c r="D79" t="s">
        <v>3001</v>
      </c>
      <c r="E79" s="214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78</v>
      </c>
      <c r="B80" t="s">
        <v>425</v>
      </c>
      <c r="D80" t="s">
        <v>3001</v>
      </c>
      <c r="E80" s="214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79</v>
      </c>
      <c r="B81" t="s">
        <v>3029</v>
      </c>
      <c r="D81" t="s">
        <v>3001</v>
      </c>
      <c r="E81" s="214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80</v>
      </c>
      <c r="B82" t="s">
        <v>3030</v>
      </c>
      <c r="D82" t="s">
        <v>3001</v>
      </c>
      <c r="E82" s="214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81</v>
      </c>
      <c r="B83" t="s">
        <v>3031</v>
      </c>
      <c r="D83" t="s">
        <v>3001</v>
      </c>
      <c r="E83" s="214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82</v>
      </c>
      <c r="B84" t="s">
        <v>3032</v>
      </c>
      <c r="D84" t="s">
        <v>3001</v>
      </c>
      <c r="E84" s="214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83</v>
      </c>
      <c r="B85" t="s">
        <v>2482</v>
      </c>
      <c r="D85" t="s">
        <v>3001</v>
      </c>
      <c r="E85" s="214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84</v>
      </c>
      <c r="B86" t="s">
        <v>3033</v>
      </c>
      <c r="D86" t="s">
        <v>3001</v>
      </c>
      <c r="E86" s="214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85</v>
      </c>
      <c r="B87" t="s">
        <v>2578</v>
      </c>
      <c r="D87" t="s">
        <v>3001</v>
      </c>
      <c r="E87" s="214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86</v>
      </c>
      <c r="B88" t="s">
        <v>3034</v>
      </c>
      <c r="D88" t="s">
        <v>3001</v>
      </c>
      <c r="E88" s="214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87</v>
      </c>
      <c r="B89" t="s">
        <v>3035</v>
      </c>
      <c r="D89" t="s">
        <v>3001</v>
      </c>
      <c r="E89" s="214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88</v>
      </c>
      <c r="B90" t="s">
        <v>3036</v>
      </c>
      <c r="D90" t="s">
        <v>3001</v>
      </c>
      <c r="E90" s="214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89</v>
      </c>
      <c r="B91" t="s">
        <v>3037</v>
      </c>
      <c r="D91" t="s">
        <v>3001</v>
      </c>
      <c r="E91" s="214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90</v>
      </c>
      <c r="B92" t="s">
        <v>3038</v>
      </c>
      <c r="D92" t="s">
        <v>3001</v>
      </c>
      <c r="E92" s="214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91</v>
      </c>
      <c r="B93" t="s">
        <v>3039</v>
      </c>
      <c r="D93" t="s">
        <v>3001</v>
      </c>
      <c r="E93" s="214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92</v>
      </c>
      <c r="B94" t="s">
        <v>3040</v>
      </c>
      <c r="D94" t="s">
        <v>3001</v>
      </c>
      <c r="E94" s="214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93</v>
      </c>
      <c r="B95" t="s">
        <v>3041</v>
      </c>
      <c r="D95" t="s">
        <v>3001</v>
      </c>
      <c r="E95" s="214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94</v>
      </c>
      <c r="B96" t="s">
        <v>3042</v>
      </c>
      <c r="D96" t="s">
        <v>3001</v>
      </c>
      <c r="E96" s="214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95</v>
      </c>
      <c r="B97" t="s">
        <v>2921</v>
      </c>
      <c r="D97" t="s">
        <v>3001</v>
      </c>
      <c r="E97" s="214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96</v>
      </c>
      <c r="B98" t="s">
        <v>3043</v>
      </c>
      <c r="D98" t="s">
        <v>3001</v>
      </c>
      <c r="E98" s="214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97</v>
      </c>
      <c r="B99" t="s">
        <v>2913</v>
      </c>
      <c r="D99" t="s">
        <v>3001</v>
      </c>
      <c r="E99" s="214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98</v>
      </c>
      <c r="B100" t="s">
        <v>3044</v>
      </c>
      <c r="D100" t="s">
        <v>3001</v>
      </c>
      <c r="E100" s="214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99</v>
      </c>
      <c r="B101" t="s">
        <v>3045</v>
      </c>
      <c r="D101" t="s">
        <v>3001</v>
      </c>
      <c r="E101" s="214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100</v>
      </c>
      <c r="B102" t="s">
        <v>3046</v>
      </c>
      <c r="D102" t="s">
        <v>3001</v>
      </c>
      <c r="E102" s="214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101</v>
      </c>
      <c r="B103" t="s">
        <v>3047</v>
      </c>
      <c r="D103" t="s">
        <v>3001</v>
      </c>
      <c r="E103" s="214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102</v>
      </c>
      <c r="B104" t="s">
        <v>2715</v>
      </c>
      <c r="D104" t="s">
        <v>3001</v>
      </c>
      <c r="E104" s="214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103</v>
      </c>
      <c r="B105" t="s">
        <v>3048</v>
      </c>
      <c r="D105" t="s">
        <v>3001</v>
      </c>
      <c r="E105" s="214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104</v>
      </c>
      <c r="B106" t="s">
        <v>3049</v>
      </c>
      <c r="D106" t="s">
        <v>3001</v>
      </c>
      <c r="E106" s="214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105</v>
      </c>
      <c r="B107" t="s">
        <v>3050</v>
      </c>
      <c r="D107" t="s">
        <v>3001</v>
      </c>
      <c r="E107" s="214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106</v>
      </c>
      <c r="B108" t="s">
        <v>2867</v>
      </c>
      <c r="D108" t="s">
        <v>3001</v>
      </c>
      <c r="E108" s="214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107</v>
      </c>
      <c r="B109" t="s">
        <v>2872</v>
      </c>
      <c r="D109" t="s">
        <v>3001</v>
      </c>
      <c r="E109" s="214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4:B109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301:B5011" xr:uid="{925DC1AF-F4AC-41EC-B8FF-405E79928C52}">
      <formula1>COUNTIF($B$4:$B$5011,B301)&lt;=1</formula1>
    </dataValidation>
    <dataValidation type="list" allowBlank="1" showInputMessage="1" showErrorMessage="1" sqref="C4:C5011" xr:uid="{1125A772-CC71-4937-85ED-FDD9389F9526}">
      <formula1>"Interno,Externo,Empresa/Fornecedor"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300" xr:uid="{B5101473-17B5-44AC-A6D8-A704A18D3D58}">
      <formula1>COUNTIF($B$4:$B$300,B4)&lt;=1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97" activePane="bottomLeft" state="frozen"/>
      <selection pane="bottomLeft" activeCell="D112" sqref="D112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3051</v>
      </c>
      <c r="C1" s="19" t="s">
        <v>3052</v>
      </c>
      <c r="D1" s="19" t="s">
        <v>4</v>
      </c>
      <c r="E1" s="19" t="s">
        <v>3053</v>
      </c>
      <c r="F1" s="19" t="s">
        <v>19</v>
      </c>
      <c r="G1" s="19" t="s">
        <v>3054</v>
      </c>
      <c r="H1" s="19" t="s">
        <v>3055</v>
      </c>
      <c r="I1" s="19" t="s">
        <v>3056</v>
      </c>
      <c r="J1" s="19" t="s">
        <v>3057</v>
      </c>
      <c r="L1" s="112" t="s">
        <v>3058</v>
      </c>
      <c r="M1" s="23">
        <v>2026</v>
      </c>
      <c r="U1" s="80" t="s">
        <v>3059</v>
      </c>
      <c r="V1" s="79"/>
      <c r="X1" s="78" t="s">
        <v>3060</v>
      </c>
      <c r="Y1" s="27"/>
      <c r="Z1" s="27"/>
      <c r="AA1" s="27"/>
      <c r="AC1" s="100" t="s">
        <v>3061</v>
      </c>
    </row>
    <row r="2" spans="1:31" x14ac:dyDescent="0.25">
      <c r="A2" s="21" cm="1">
        <f t="array" aca="1" ref="A2:J121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f ca="1"/>
        <v>2026-044</v>
      </c>
      <c r="C2" s="21" t="str">
        <f ca="1"/>
        <v>Realizado</v>
      </c>
      <c r="D2" s="18" t="str">
        <f ca="1"/>
        <v>31º SEMAT</v>
      </c>
      <c r="E2" s="20">
        <f ca="1"/>
        <v>8</v>
      </c>
      <c r="F2" s="18" t="str">
        <f ca="1"/>
        <v>José Roberto Alcuri Júnior</v>
      </c>
      <c r="G2" s="20">
        <f ca="1"/>
        <v>10</v>
      </c>
      <c r="H2" s="22">
        <f ca="1"/>
        <v>1</v>
      </c>
      <c r="I2" s="22">
        <f ca="1"/>
        <v>0.3</v>
      </c>
      <c r="J2" s="22">
        <f ca="1"/>
        <v>1.3</v>
      </c>
      <c r="L2" s="113" t="s">
        <v>3062</v>
      </c>
      <c r="M2" s="107" t="s">
        <v>2929</v>
      </c>
      <c r="X2" s="114" t="s">
        <v>3051</v>
      </c>
      <c r="Y2" s="114" t="s">
        <v>19</v>
      </c>
      <c r="Z2" s="114" t="s">
        <v>3063</v>
      </c>
      <c r="AA2" s="114" t="s">
        <v>3064</v>
      </c>
      <c r="AC2" s="115" t="s">
        <v>1</v>
      </c>
      <c r="AD2" s="115" t="s">
        <v>3065</v>
      </c>
      <c r="AE2" s="115" t="s">
        <v>3066</v>
      </c>
    </row>
    <row r="3" spans="1:31" x14ac:dyDescent="0.25">
      <c r="A3" s="21">
        <f ca="1"/>
        <v>2026</v>
      </c>
      <c r="B3" s="21" t="str">
        <f ca="1"/>
        <v>2026-044</v>
      </c>
      <c r="C3" s="21" t="str">
        <f ca="1"/>
        <v>Realizado</v>
      </c>
      <c r="D3" s="18" t="str">
        <f ca="1"/>
        <v>31º SEMAT</v>
      </c>
      <c r="E3" s="20">
        <f ca="1"/>
        <v>8</v>
      </c>
      <c r="F3" s="18" t="str">
        <f ca="1"/>
        <v>Felipe Ramos Barbosa</v>
      </c>
      <c r="G3" s="20">
        <f ca="1"/>
        <v>10</v>
      </c>
      <c r="H3" s="22">
        <f ca="1"/>
        <v>1</v>
      </c>
      <c r="I3" s="22">
        <f ca="1"/>
        <v>0.3</v>
      </c>
      <c r="J3" s="22">
        <f ca="1"/>
        <v>1.3</v>
      </c>
      <c r="L3" s="113" t="s">
        <v>3067</v>
      </c>
      <c r="M3" s="113" t="s">
        <v>3068</v>
      </c>
      <c r="N3" s="113" t="s">
        <v>3069</v>
      </c>
      <c r="O3" s="113" t="s">
        <v>3070</v>
      </c>
      <c r="P3" s="113" t="s">
        <v>3071</v>
      </c>
      <c r="Q3" s="113" t="s">
        <v>3072</v>
      </c>
      <c r="R3" s="113" t="s">
        <v>3073</v>
      </c>
      <c r="S3" s="113" t="s">
        <v>3074</v>
      </c>
      <c r="T3" s="113" t="s">
        <v>3075</v>
      </c>
      <c r="X3" t="s">
        <v>2837</v>
      </c>
      <c r="Y3" t="s">
        <v>3014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>
        <f ca="1"/>
        <v>2026</v>
      </c>
      <c r="B4" s="21" t="str">
        <f ca="1"/>
        <v>2026-044</v>
      </c>
      <c r="C4" s="21" t="str">
        <f ca="1"/>
        <v>Realizado</v>
      </c>
      <c r="D4" s="18" t="str">
        <f ca="1"/>
        <v>31º SEMAT</v>
      </c>
      <c r="E4" s="20">
        <f ca="1"/>
        <v>8</v>
      </c>
      <c r="F4" s="18" t="str">
        <f ca="1"/>
        <v>Carolina Pereira de Oliveira</v>
      </c>
      <c r="G4" s="20">
        <f ca="1"/>
        <v>10</v>
      </c>
      <c r="H4" s="22">
        <f ca="1"/>
        <v>1</v>
      </c>
      <c r="I4" s="22">
        <f ca="1"/>
        <v>0.3</v>
      </c>
      <c r="J4" s="22">
        <f ca="1"/>
        <v>1.3</v>
      </c>
      <c r="L4" cm="1">
        <f t="array" aca="1" ref="L4:Q62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3" ca="1">_xlfn.VSTACK(0,_xlfn._xlws.FILTER(S4:S200,S4:S200&lt;&gt;""))</f>
        <v>0</v>
      </c>
      <c r="X4" t="s">
        <v>2837</v>
      </c>
      <c r="Y4" t="s">
        <v>2833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>
        <f ca="1"/>
        <v>2026</v>
      </c>
      <c r="B5" s="21" t="str">
        <f ca="1"/>
        <v>2026-044</v>
      </c>
      <c r="C5" s="21" t="str">
        <f ca="1"/>
        <v>Realizado</v>
      </c>
      <c r="D5" s="18" t="str">
        <f ca="1"/>
        <v>31º SEMAT</v>
      </c>
      <c r="E5" s="20">
        <f ca="1"/>
        <v>8</v>
      </c>
      <c r="F5" s="18" t="str">
        <f ca="1"/>
        <v>Eustáquio Rabelo de Souza</v>
      </c>
      <c r="G5" s="20">
        <f ca="1"/>
        <v>10</v>
      </c>
      <c r="H5" s="22">
        <f ca="1"/>
        <v>0</v>
      </c>
      <c r="I5" s="22">
        <f ca="1"/>
        <v>0</v>
      </c>
      <c r="J5" s="22">
        <f ca="1"/>
        <v>0</v>
      </c>
      <c r="L5">
        <f ca="1"/>
        <v>2026</v>
      </c>
      <c r="M5" t="str">
        <f ca="1"/>
        <v>2026-054</v>
      </c>
      <c r="N5" t="str">
        <f ca="1"/>
        <v>A realizar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2859</v>
      </c>
      <c r="Y5" t="s">
        <v>2833</v>
      </c>
      <c r="Z5">
        <v>1</v>
      </c>
      <c r="AA5">
        <v>0.6</v>
      </c>
      <c r="AC5" s="97">
        <v>2026</v>
      </c>
      <c r="AD5" s="18" t="s">
        <v>3076</v>
      </c>
      <c r="AE5" s="98">
        <v>16</v>
      </c>
    </row>
    <row r="6" spans="1:31" x14ac:dyDescent="0.25">
      <c r="A6" s="21">
        <f ca="1"/>
        <v>2026</v>
      </c>
      <c r="B6" s="21" t="str">
        <f ca="1"/>
        <v>2026-044</v>
      </c>
      <c r="C6" s="21" t="str">
        <f ca="1"/>
        <v>Realizado</v>
      </c>
      <c r="D6" s="18" t="str">
        <f ca="1"/>
        <v>31º SEMAT</v>
      </c>
      <c r="E6" s="20">
        <f ca="1"/>
        <v>8</v>
      </c>
      <c r="F6" s="18" t="str">
        <f ca="1"/>
        <v>Alinne Patrícia de Andrade Carvalho</v>
      </c>
      <c r="G6" s="20">
        <f ca="1"/>
        <v>10</v>
      </c>
      <c r="H6" s="22">
        <f ca="1"/>
        <v>0</v>
      </c>
      <c r="I6" s="22">
        <f ca="1"/>
        <v>0</v>
      </c>
      <c r="J6" s="22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2859</v>
      </c>
      <c r="Y6" t="s">
        <v>3014</v>
      </c>
      <c r="Z6">
        <v>1</v>
      </c>
      <c r="AA6">
        <v>0</v>
      </c>
      <c r="AC6" s="97">
        <v>2026</v>
      </c>
      <c r="AD6" s="18" t="s">
        <v>3077</v>
      </c>
      <c r="AE6" s="98">
        <v>16</v>
      </c>
    </row>
    <row r="7" spans="1:31" x14ac:dyDescent="0.25">
      <c r="A7" s="21">
        <f ca="1"/>
        <v>2026</v>
      </c>
      <c r="B7" s="21" t="str">
        <f ca="1"/>
        <v>2026-044</v>
      </c>
      <c r="C7" s="21" t="str">
        <f ca="1"/>
        <v>Realizado</v>
      </c>
      <c r="D7" s="18" t="str">
        <f ca="1"/>
        <v>31º SEMAT</v>
      </c>
      <c r="E7" s="20">
        <f ca="1"/>
        <v>8</v>
      </c>
      <c r="F7" s="18" t="str">
        <f ca="1"/>
        <v>Silvia Lima Damasceno Carvalho</v>
      </c>
      <c r="G7" s="20">
        <f ca="1"/>
        <v>10</v>
      </c>
      <c r="H7" s="22">
        <f ca="1"/>
        <v>1</v>
      </c>
      <c r="I7" s="22">
        <f ca="1"/>
        <v>0.3</v>
      </c>
      <c r="J7" s="22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1" t="s">
        <v>2812</v>
      </c>
      <c r="Y7" t="s">
        <v>2796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>
        <f ca="1"/>
        <v>2026</v>
      </c>
      <c r="B8" s="21" t="str">
        <f ca="1"/>
        <v>2026-044</v>
      </c>
      <c r="C8" s="21" t="str">
        <f ca="1"/>
        <v>Realizado</v>
      </c>
      <c r="D8" s="18" t="str">
        <f ca="1"/>
        <v>31º SEMAT</v>
      </c>
      <c r="E8" s="20">
        <f ca="1"/>
        <v>8</v>
      </c>
      <c r="F8" s="18" t="str">
        <f ca="1"/>
        <v>Marcelo Silva Santana</v>
      </c>
      <c r="G8" s="20">
        <f ca="1"/>
        <v>10</v>
      </c>
      <c r="H8" s="22">
        <f ca="1"/>
        <v>8</v>
      </c>
      <c r="I8" s="22">
        <f ca="1"/>
        <v>0.24</v>
      </c>
      <c r="J8" s="22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2943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>
        <f ca="1"/>
        <v>2026</v>
      </c>
      <c r="B9" s="21" t="str">
        <f ca="1"/>
        <v>2026-044</v>
      </c>
      <c r="C9" s="21" t="str">
        <f ca="1"/>
        <v>Realizado</v>
      </c>
      <c r="D9" s="18" t="str">
        <f ca="1"/>
        <v>31º SEMAT</v>
      </c>
      <c r="E9" s="20">
        <f ca="1"/>
        <v>8</v>
      </c>
      <c r="F9" s="18" t="str">
        <f ca="1"/>
        <v>Cinthia Thais de Carvalho Luz Thomazi</v>
      </c>
      <c r="G9" s="20">
        <f ca="1"/>
        <v>10</v>
      </c>
      <c r="H9" s="22">
        <f ca="1"/>
        <v>1</v>
      </c>
      <c r="I9" s="22">
        <f ca="1"/>
        <v>0.3</v>
      </c>
      <c r="J9" s="22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2943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>
        <f ca="1"/>
        <v>2026</v>
      </c>
      <c r="B10" s="21" t="str">
        <f ca="1"/>
        <v>2026-044</v>
      </c>
      <c r="C10" s="21" t="str">
        <f ca="1"/>
        <v>Realizado</v>
      </c>
      <c r="D10" s="18" t="str">
        <f ca="1"/>
        <v>31º SEMAT</v>
      </c>
      <c r="E10" s="20">
        <f ca="1"/>
        <v>8</v>
      </c>
      <c r="F10" s="18" t="str">
        <f ca="1"/>
        <v>Igor Queiroz</v>
      </c>
      <c r="G10" s="20">
        <f ca="1"/>
        <v>10</v>
      </c>
      <c r="H10" s="22">
        <f ca="1"/>
        <v>1</v>
      </c>
      <c r="I10" s="22">
        <f ca="1"/>
        <v>0.3</v>
      </c>
      <c r="J10" s="22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2943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>
        <f ca="1"/>
        <v>2026</v>
      </c>
      <c r="B11" s="21" t="str">
        <f ca="1"/>
        <v>2026-044</v>
      </c>
      <c r="C11" s="21" t="str">
        <f ca="1"/>
        <v>Realizado</v>
      </c>
      <c r="D11" s="18" t="str">
        <f ca="1"/>
        <v>31º SEMAT</v>
      </c>
      <c r="E11" s="20">
        <f ca="1"/>
        <v>8</v>
      </c>
      <c r="F11" s="18" t="str">
        <f ca="1"/>
        <v>Guilherme Bride Fernandes</v>
      </c>
      <c r="G11" s="20">
        <f ca="1"/>
        <v>10</v>
      </c>
      <c r="H11" s="22">
        <f ca="1"/>
        <v>0</v>
      </c>
      <c r="I11" s="22">
        <f ca="1"/>
        <v>0</v>
      </c>
      <c r="J11" s="22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2943</v>
      </c>
      <c r="Y11" s="18" t="s">
        <v>3008</v>
      </c>
      <c r="AA11">
        <v>1.2</v>
      </c>
      <c r="AC11" s="97">
        <v>2026</v>
      </c>
      <c r="AD11" s="18"/>
      <c r="AE11" s="98"/>
    </row>
    <row r="12" spans="1:31" x14ac:dyDescent="0.25">
      <c r="A12" s="21">
        <f ca="1"/>
        <v>2026</v>
      </c>
      <c r="B12" s="21" t="str">
        <f ca="1"/>
        <v>2026-054</v>
      </c>
      <c r="C12" s="21" t="str">
        <f ca="1"/>
        <v>A realizar</v>
      </c>
      <c r="D12" s="18" t="str">
        <f ca="1"/>
        <v>Café e Tertúlia: Encerramento da Semana da Saúde</v>
      </c>
      <c r="E12" s="20">
        <f ca="1"/>
        <v>2</v>
      </c>
      <c r="F12" s="18" t="str">
        <f ca="1"/>
        <v>Cinthia Thais de Carvalho Luz Thomazi</v>
      </c>
      <c r="G12" s="20">
        <f ca="1"/>
        <v>4</v>
      </c>
      <c r="H12" s="22">
        <f ca="1"/>
        <v>0</v>
      </c>
      <c r="I12" s="22">
        <f ca="1"/>
        <v>0</v>
      </c>
      <c r="J12" s="22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2943</v>
      </c>
      <c r="Y12" s="18" t="s">
        <v>3026</v>
      </c>
      <c r="AA12">
        <v>1.2</v>
      </c>
      <c r="AC12" s="97">
        <v>2026</v>
      </c>
      <c r="AD12" s="18"/>
      <c r="AE12" s="98"/>
    </row>
    <row r="13" spans="1:31" x14ac:dyDescent="0.25">
      <c r="A13" s="21">
        <f ca="1"/>
        <v>2026</v>
      </c>
      <c r="B13" s="21" t="str">
        <f ca="1"/>
        <v>2026-054</v>
      </c>
      <c r="C13" s="21" t="str">
        <f ca="1"/>
        <v>A realizar</v>
      </c>
      <c r="D13" s="18" t="str">
        <f ca="1"/>
        <v>Café e Tertúlia: Encerramento da Semana da Saúde</v>
      </c>
      <c r="E13" s="20">
        <f ca="1"/>
        <v>2</v>
      </c>
      <c r="F13" s="18" t="str">
        <f ca="1"/>
        <v>Gabriel Heller</v>
      </c>
      <c r="G13" s="20">
        <f ca="1"/>
        <v>4</v>
      </c>
      <c r="H13" s="22">
        <f ca="1"/>
        <v>0</v>
      </c>
      <c r="I13" s="22">
        <f ca="1"/>
        <v>0</v>
      </c>
      <c r="J13" s="22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2952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>
        <f ca="1"/>
        <v>2026</v>
      </c>
      <c r="B14" s="21" t="str">
        <f ca="1"/>
        <v>2026-054</v>
      </c>
      <c r="C14" s="21" t="str">
        <f ca="1"/>
        <v>A realizar</v>
      </c>
      <c r="D14" s="18" t="str">
        <f ca="1"/>
        <v>Café e Tertúlia: Encerramento da Semana da Saúde</v>
      </c>
      <c r="E14" s="20">
        <f ca="1"/>
        <v>2</v>
      </c>
      <c r="F14" s="18" t="str">
        <f ca="1"/>
        <v>Isac Mendes Caixeta de Pamplona Araújo</v>
      </c>
      <c r="G14" s="20">
        <f ca="1"/>
        <v>4</v>
      </c>
      <c r="H14" s="22">
        <f ca="1"/>
        <v>0</v>
      </c>
      <c r="I14" s="22">
        <f ca="1"/>
        <v>0</v>
      </c>
      <c r="J14" s="22">
        <f ca="1"/>
        <v>0</v>
      </c>
      <c r="L14">
        <f ca="1"/>
        <v>2026</v>
      </c>
      <c r="M14" t="str">
        <f ca="1"/>
        <v>2026-057</v>
      </c>
      <c r="N14" t="str">
        <f ca="1"/>
        <v>A realizar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2952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>
        <f ca="1"/>
        <v>2026</v>
      </c>
      <c r="B15" s="21" t="str">
        <f ca="1"/>
        <v>2026-054</v>
      </c>
      <c r="C15" s="21" t="str">
        <f ca="1"/>
        <v>A realizar</v>
      </c>
      <c r="D15" s="18" t="str">
        <f ca="1"/>
        <v>Café e Tertúlia: Encerramento da Semana da Saúde</v>
      </c>
      <c r="E15" s="20">
        <f ca="1"/>
        <v>2</v>
      </c>
      <c r="F15" s="18" t="str">
        <f ca="1"/>
        <v>Valéria Feitoza</v>
      </c>
      <c r="G15" s="20">
        <f ca="1"/>
        <v>4</v>
      </c>
      <c r="H15" s="22">
        <f ca="1"/>
        <v>0</v>
      </c>
      <c r="I15" s="22">
        <f ca="1"/>
        <v>0</v>
      </c>
      <c r="J15" s="22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2952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>
        <f ca="1"/>
        <v>2026</v>
      </c>
      <c r="B16" s="21" t="str">
        <f ca="1"/>
        <v>2026-001</v>
      </c>
      <c r="C16" s="21" t="str">
        <f ca="1"/>
        <v>Realizado</v>
      </c>
      <c r="D16" s="18" t="str">
        <f ca="1"/>
        <v>Contratação de TIC</v>
      </c>
      <c r="E16" s="20">
        <f ca="1"/>
        <v>8</v>
      </c>
      <c r="F16" s="18" t="str">
        <f ca="1"/>
        <v>Flávio José Fonseca de Souza</v>
      </c>
      <c r="G16" s="20">
        <f ca="1"/>
        <v>1</v>
      </c>
      <c r="H16" s="22">
        <f ca="1"/>
        <v>8</v>
      </c>
      <c r="I16" s="22">
        <f ca="1"/>
        <v>2.4</v>
      </c>
      <c r="J16" s="22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2952</v>
      </c>
      <c r="Y16" s="18" t="s">
        <v>3008</v>
      </c>
      <c r="AA16">
        <v>1.2</v>
      </c>
      <c r="AC16" s="97">
        <v>2026</v>
      </c>
      <c r="AD16" s="18"/>
      <c r="AE16" s="98"/>
    </row>
    <row r="17" spans="1:31" x14ac:dyDescent="0.25">
      <c r="A17" s="21">
        <f ca="1"/>
        <v>2026</v>
      </c>
      <c r="B17" s="21" t="str">
        <f ca="1"/>
        <v>2026-066</v>
      </c>
      <c r="C17" s="21" t="str">
        <f ca="1"/>
        <v>A realizar</v>
      </c>
      <c r="D17" s="18" t="str">
        <f ca="1"/>
        <v>Contratações de TIC com base na jurisprudência do TCDF - EAD</v>
      </c>
      <c r="E17" s="20">
        <f ca="1"/>
        <v>9.66</v>
      </c>
      <c r="F17" s="18" t="str">
        <f ca="1"/>
        <v>Felipe da Costa Malaquias</v>
      </c>
      <c r="G17" s="20">
        <f ca="1"/>
        <v>1</v>
      </c>
      <c r="H17" s="22">
        <f ca="1"/>
        <v>0</v>
      </c>
      <c r="I17" s="22">
        <f ca="1"/>
        <v>19.3</v>
      </c>
      <c r="J17" s="22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2952</v>
      </c>
      <c r="Y17" s="18" t="s">
        <v>3026</v>
      </c>
      <c r="AA17">
        <v>1.2</v>
      </c>
      <c r="AC17" s="97">
        <v>2026</v>
      </c>
      <c r="AD17" s="18"/>
      <c r="AE17" s="98"/>
    </row>
    <row r="18" spans="1:31" x14ac:dyDescent="0.25">
      <c r="A18" s="21">
        <f ca="1"/>
        <v>2026</v>
      </c>
      <c r="B18" s="21" t="str">
        <f ca="1"/>
        <v>2026-034</v>
      </c>
      <c r="C18" s="21" t="str">
        <f ca="1"/>
        <v>Realizado</v>
      </c>
      <c r="D18" s="18" t="str">
        <f ca="1"/>
        <v>Curso “Sisaudit na Prática”</v>
      </c>
      <c r="E18" s="20">
        <f ca="1"/>
        <v>12</v>
      </c>
      <c r="F18" s="18" t="str">
        <f ca="1"/>
        <v>Davi Assunção Salvador Nery de Castro</v>
      </c>
      <c r="G18" s="20">
        <f ca="1"/>
        <v>3</v>
      </c>
      <c r="H18" s="22">
        <f ca="1"/>
        <v>12</v>
      </c>
      <c r="I18" s="22">
        <f ca="1"/>
        <v>1.2</v>
      </c>
      <c r="J18" s="22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2948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>
        <f ca="1"/>
        <v>2026</v>
      </c>
      <c r="B19" s="21" t="str">
        <f ca="1"/>
        <v>2026-034</v>
      </c>
      <c r="C19" s="21" t="str">
        <f ca="1"/>
        <v>Realizado</v>
      </c>
      <c r="D19" s="18" t="str">
        <f ca="1"/>
        <v>Curso “Sisaudit na Prática”</v>
      </c>
      <c r="E19" s="20">
        <f ca="1"/>
        <v>12</v>
      </c>
      <c r="F19" s="18" t="str">
        <f ca="1"/>
        <v>David da Silva de Araújo</v>
      </c>
      <c r="G19" s="20">
        <f ca="1"/>
        <v>3</v>
      </c>
      <c r="H19" s="22">
        <f ca="1"/>
        <v>12</v>
      </c>
      <c r="I19" s="22">
        <f ca="1"/>
        <v>1.2</v>
      </c>
      <c r="J19" s="22">
        <f ca="1"/>
        <v>13.2</v>
      </c>
      <c r="L19">
        <f ca="1"/>
        <v>2026</v>
      </c>
      <c r="M19" t="str">
        <f ca="1"/>
        <v>2026-025</v>
      </c>
      <c r="N19" t="str">
        <f ca="1"/>
        <v>A realizar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2948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>
        <f ca="1"/>
        <v>2026</v>
      </c>
      <c r="B20" s="21" t="str">
        <f ca="1"/>
        <v>2026-034</v>
      </c>
      <c r="C20" s="21" t="str">
        <f ca="1"/>
        <v>Realizado</v>
      </c>
      <c r="D20" s="18" t="str">
        <f ca="1"/>
        <v>Curso “Sisaudit na Prática”</v>
      </c>
      <c r="E20" s="20">
        <f ca="1"/>
        <v>12</v>
      </c>
      <c r="F20" s="18" t="str">
        <f ca="1"/>
        <v>Hamilton de Jesus Lopes Neto</v>
      </c>
      <c r="G20" s="20">
        <f ca="1"/>
        <v>3</v>
      </c>
      <c r="H20" s="22">
        <f ca="1"/>
        <v>12</v>
      </c>
      <c r="I20" s="22">
        <f ca="1"/>
        <v>1.2</v>
      </c>
      <c r="J20" s="22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2948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>
        <f ca="1"/>
        <v>2026</v>
      </c>
      <c r="B21" s="21" t="str">
        <f ca="1"/>
        <v>2026-027</v>
      </c>
      <c r="C21" s="21" t="str">
        <f ca="1"/>
        <v>Realizado</v>
      </c>
      <c r="D21" s="18" t="str">
        <f ca="1"/>
        <v>Curso básico de e-TCDF</v>
      </c>
      <c r="E21" s="20">
        <f ca="1"/>
        <v>16</v>
      </c>
      <c r="F21" s="18" t="str">
        <f ca="1"/>
        <v>Cássio Murilo Alves Costa Filho</v>
      </c>
      <c r="G21" s="20">
        <f ca="1"/>
        <v>1</v>
      </c>
      <c r="H21" s="22">
        <f ca="1"/>
        <v>16</v>
      </c>
      <c r="I21" s="22">
        <f ca="1"/>
        <v>4.8</v>
      </c>
      <c r="J21" s="22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2948</v>
      </c>
      <c r="Y21" s="18" t="s">
        <v>3008</v>
      </c>
      <c r="AA21">
        <v>1.2</v>
      </c>
      <c r="AC21" s="97">
        <v>2026</v>
      </c>
      <c r="AD21" s="18"/>
      <c r="AE21" s="98"/>
    </row>
    <row r="22" spans="1:31" x14ac:dyDescent="0.25">
      <c r="A22" s="21">
        <f ca="1"/>
        <v>2026</v>
      </c>
      <c r="B22" s="21" t="str">
        <f ca="1"/>
        <v>2026-019</v>
      </c>
      <c r="C22" s="21" t="str">
        <f ca="1"/>
        <v>Realizado</v>
      </c>
      <c r="D22" s="18" t="str">
        <f ca="1"/>
        <v>Curso de Ambientação para os novos Auditores de Controle Externo - Área Auditoria</v>
      </c>
      <c r="E22" s="20">
        <f ca="1"/>
        <v>20</v>
      </c>
      <c r="F22" s="18" t="str">
        <f ca="1"/>
        <v>Diversos</v>
      </c>
      <c r="G22" s="20">
        <f ca="1"/>
        <v>1</v>
      </c>
      <c r="H22" s="22">
        <f ca="1"/>
        <v>0</v>
      </c>
      <c r="I22" s="22">
        <f ca="1"/>
        <v>0</v>
      </c>
      <c r="J22" s="22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2948</v>
      </c>
      <c r="Y22" s="18" t="s">
        <v>3026</v>
      </c>
      <c r="AA22">
        <v>1.2</v>
      </c>
      <c r="AC22" s="97">
        <v>2026</v>
      </c>
      <c r="AD22" s="18"/>
      <c r="AE22" s="98"/>
    </row>
    <row r="23" spans="1:31" x14ac:dyDescent="0.25">
      <c r="A23" s="21">
        <f ca="1"/>
        <v>2026</v>
      </c>
      <c r="B23" s="21" t="str">
        <f ca="1"/>
        <v>2026-042</v>
      </c>
      <c r="C23" s="21" t="str">
        <f ca="1"/>
        <v>Realizado</v>
      </c>
      <c r="D23" s="18" t="str">
        <f ca="1"/>
        <v>Curso de Formação para Conselheiros de Saúde do DF</v>
      </c>
      <c r="E23" s="20">
        <f ca="1"/>
        <v>20</v>
      </c>
      <c r="F23" s="18" t="str">
        <f ca="1"/>
        <v>Tarsila Firmino Ely</v>
      </c>
      <c r="G23" s="20">
        <f ca="1"/>
        <v>1</v>
      </c>
      <c r="H23" s="22">
        <f ca="1"/>
        <v>20</v>
      </c>
      <c r="I23" s="22">
        <f ca="1"/>
        <v>6</v>
      </c>
      <c r="J23" s="22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1" t="s">
        <v>2834</v>
      </c>
      <c r="Y23" s="18" t="s">
        <v>2833</v>
      </c>
      <c r="AA23">
        <v>2.4</v>
      </c>
      <c r="AC23" s="97">
        <v>2026</v>
      </c>
      <c r="AD23" s="18"/>
      <c r="AE23" s="98"/>
    </row>
    <row r="24" spans="1:31" x14ac:dyDescent="0.25">
      <c r="A24" s="21">
        <f ca="1"/>
        <v>2026</v>
      </c>
      <c r="B24" s="21" t="str">
        <f ca="1"/>
        <v>2026-032</v>
      </c>
      <c r="C24" s="21" t="str">
        <f ca="1"/>
        <v>Realizado</v>
      </c>
      <c r="D24" s="18" t="str">
        <f ca="1"/>
        <v>Curso de formação para gestores e fiscais de Contrato em equipamentos nas unidades hospitalares - T2</v>
      </c>
      <c r="E24" s="20">
        <f ca="1"/>
        <v>12</v>
      </c>
      <c r="F24" s="18" t="str">
        <f ca="1"/>
        <v>Tarsila Firmino Ely</v>
      </c>
      <c r="G24" s="20">
        <f ca="1"/>
        <v>2</v>
      </c>
      <c r="H24" s="22">
        <f ca="1"/>
        <v>12</v>
      </c>
      <c r="I24" s="22">
        <f ca="1"/>
        <v>1.7999999999999998</v>
      </c>
      <c r="J24" s="22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1" t="s">
        <v>2834</v>
      </c>
      <c r="Y24" s="18" t="s">
        <v>3014</v>
      </c>
      <c r="AA24">
        <v>0</v>
      </c>
      <c r="AC24" s="97">
        <v>2026</v>
      </c>
      <c r="AD24" s="18"/>
      <c r="AE24" s="98"/>
    </row>
    <row r="25" spans="1:31" x14ac:dyDescent="0.25">
      <c r="A25" s="21">
        <f ca="1"/>
        <v>2026</v>
      </c>
      <c r="B25" s="21" t="str">
        <f ca="1"/>
        <v>2026-032</v>
      </c>
      <c r="C25" s="21" t="str">
        <f ca="1"/>
        <v>Realizado</v>
      </c>
      <c r="D25" s="18" t="str">
        <f ca="1"/>
        <v>Curso de formação para gestores e fiscais de Contrato em equipamentos nas unidades hospitalares - T2</v>
      </c>
      <c r="E25" s="20">
        <f ca="1"/>
        <v>12</v>
      </c>
      <c r="F25" s="18" t="str">
        <f ca="1"/>
        <v>Luciana Alvim</v>
      </c>
      <c r="G25" s="20">
        <f ca="1"/>
        <v>2</v>
      </c>
      <c r="H25" s="22">
        <f ca="1"/>
        <v>12</v>
      </c>
      <c r="I25" s="22">
        <f ca="1"/>
        <v>1.7999999999999998</v>
      </c>
      <c r="J25" s="22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2841</v>
      </c>
      <c r="Y25" s="18" t="s">
        <v>2833</v>
      </c>
      <c r="AA25">
        <v>2.4</v>
      </c>
      <c r="AC25" s="97">
        <v>2026</v>
      </c>
      <c r="AD25" s="18"/>
      <c r="AE25" s="98"/>
    </row>
    <row r="26" spans="1:31" x14ac:dyDescent="0.25">
      <c r="A26" s="21">
        <f ca="1"/>
        <v>2026</v>
      </c>
      <c r="B26" s="21" t="str">
        <f ca="1"/>
        <v>2026-033</v>
      </c>
      <c r="C26" s="21" t="str">
        <f ca="1"/>
        <v>Realizado</v>
      </c>
      <c r="D26" s="18" t="str">
        <f ca="1"/>
        <v>Curso de formação para gestores e fiscais de Contrato em equipamentos nas unidades hospitalares - T3</v>
      </c>
      <c r="E26" s="20">
        <f ca="1"/>
        <v>12</v>
      </c>
      <c r="F26" s="18" t="str">
        <f ca="1"/>
        <v>Tarsila Firmino Ely</v>
      </c>
      <c r="G26" s="20">
        <f ca="1"/>
        <v>2</v>
      </c>
      <c r="H26" s="22">
        <f ca="1"/>
        <v>12</v>
      </c>
      <c r="I26" s="22">
        <f ca="1"/>
        <v>1.7999999999999998</v>
      </c>
      <c r="J26" s="22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2841</v>
      </c>
      <c r="Y26" s="18" t="s">
        <v>3014</v>
      </c>
      <c r="AA26">
        <v>0</v>
      </c>
      <c r="AC26" s="97">
        <v>2026</v>
      </c>
      <c r="AD26" s="18"/>
      <c r="AE26" s="98"/>
    </row>
    <row r="27" spans="1:31" x14ac:dyDescent="0.25">
      <c r="A27" s="21">
        <f ca="1"/>
        <v>2026</v>
      </c>
      <c r="B27" s="21" t="str">
        <f ca="1"/>
        <v>2026-033</v>
      </c>
      <c r="C27" s="21" t="str">
        <f ca="1"/>
        <v>Realizado</v>
      </c>
      <c r="D27" s="18" t="str">
        <f ca="1"/>
        <v>Curso de formação para gestores e fiscais de Contrato em equipamentos nas unidades hospitalares - T3</v>
      </c>
      <c r="E27" s="20">
        <f ca="1"/>
        <v>12</v>
      </c>
      <c r="F27" s="18" t="str">
        <f ca="1"/>
        <v>Luciana Alvim</v>
      </c>
      <c r="G27" s="20">
        <f ca="1"/>
        <v>2</v>
      </c>
      <c r="H27" s="22">
        <f ca="1"/>
        <v>12</v>
      </c>
      <c r="I27" s="22">
        <f ca="1"/>
        <v>1.7999999999999998</v>
      </c>
      <c r="J27" s="22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2" t="s">
        <v>2797</v>
      </c>
      <c r="Y27" s="18" t="s">
        <v>2796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>
        <f ca="1"/>
        <v>2026</v>
      </c>
      <c r="B28" s="21" t="str">
        <f ca="1"/>
        <v>2026-057</v>
      </c>
      <c r="C28" s="21" t="str">
        <f ca="1"/>
        <v>A realizar</v>
      </c>
      <c r="D28" s="18" t="str">
        <f ca="1"/>
        <v>Curso de formação sobre "Programa de Descentralização Progressiva das Ações de Saúde - PDPAS</v>
      </c>
      <c r="E28" s="20">
        <f ca="1"/>
        <v>20</v>
      </c>
      <c r="F28" s="18" t="str">
        <f ca="1"/>
        <v>Tarsila Firmino Ely</v>
      </c>
      <c r="G28" s="20">
        <f ca="1"/>
        <v>4</v>
      </c>
      <c r="H28" s="22">
        <f ca="1"/>
        <v>20</v>
      </c>
      <c r="I28" s="22">
        <f ca="1"/>
        <v>3.6</v>
      </c>
      <c r="J28" s="22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2" t="s">
        <v>2722</v>
      </c>
      <c r="Y28" s="18" t="s">
        <v>3049</v>
      </c>
      <c r="AA28">
        <v>1.2</v>
      </c>
      <c r="AC28" s="97">
        <v>2026</v>
      </c>
      <c r="AD28" s="18"/>
      <c r="AE28" s="98"/>
    </row>
    <row r="29" spans="1:31" x14ac:dyDescent="0.25">
      <c r="A29" s="21">
        <f ca="1"/>
        <v>2026</v>
      </c>
      <c r="B29" s="21" t="str">
        <f ca="1"/>
        <v>2026-057</v>
      </c>
      <c r="C29" s="21" t="str">
        <f ca="1"/>
        <v>A realizar</v>
      </c>
      <c r="D29" s="18" t="str">
        <f ca="1"/>
        <v>Curso de formação sobre "Programa de Descentralização Progressiva das Ações de Saúde - PDPAS</v>
      </c>
      <c r="E29" s="20">
        <f ca="1"/>
        <v>20</v>
      </c>
      <c r="F29" s="18" t="str">
        <f ca="1"/>
        <v>Sara Cristina Lins Ramos</v>
      </c>
      <c r="G29" s="20">
        <f ca="1"/>
        <v>4</v>
      </c>
      <c r="H29" s="22">
        <f ca="1"/>
        <v>8</v>
      </c>
      <c r="I29" s="22">
        <f ca="1"/>
        <v>2.4</v>
      </c>
      <c r="J29" s="22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2" t="s">
        <v>2722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>
        <f ca="1"/>
        <v>2026</v>
      </c>
      <c r="B30" s="21" t="str">
        <f ca="1"/>
        <v>2026-057</v>
      </c>
      <c r="C30" s="21" t="str">
        <f ca="1"/>
        <v>A realizar</v>
      </c>
      <c r="D30" s="18" t="str">
        <f ca="1"/>
        <v>Curso de formação sobre "Programa de Descentralização Progressiva das Ações de Saúde - PDPAS</v>
      </c>
      <c r="E30" s="20">
        <f ca="1"/>
        <v>20</v>
      </c>
      <c r="F30" s="18" t="str">
        <f ca="1"/>
        <v>Carina de Souza Mariuba Herthel</v>
      </c>
      <c r="G30" s="20">
        <f ca="1"/>
        <v>4</v>
      </c>
      <c r="H30" s="22">
        <f ca="1"/>
        <v>8</v>
      </c>
      <c r="I30" s="22">
        <f ca="1"/>
        <v>2.4</v>
      </c>
      <c r="J30" s="22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2" t="s">
        <v>2722</v>
      </c>
      <c r="Y30" s="18" t="s">
        <v>3045</v>
      </c>
      <c r="AA30">
        <v>1.2</v>
      </c>
      <c r="AC30" s="97">
        <v>2026</v>
      </c>
      <c r="AD30" s="18"/>
      <c r="AE30" s="98"/>
    </row>
    <row r="31" spans="1:31" x14ac:dyDescent="0.25">
      <c r="A31" s="21">
        <f ca="1"/>
        <v>2026</v>
      </c>
      <c r="B31" s="21" t="str">
        <f ca="1"/>
        <v>2026-057</v>
      </c>
      <c r="C31" s="21" t="str">
        <f ca="1"/>
        <v>A realizar</v>
      </c>
      <c r="D31" s="18" t="str">
        <f ca="1"/>
        <v>Curso de formação sobre "Programa de Descentralização Progressiva das Ações de Saúde - PDPAS</v>
      </c>
      <c r="E31" s="20">
        <f ca="1"/>
        <v>20</v>
      </c>
      <c r="F31" s="18" t="str">
        <f ca="1"/>
        <v>Elvis Aaron Teixeira dos Santos Lima</v>
      </c>
      <c r="G31" s="20">
        <f ca="1"/>
        <v>4</v>
      </c>
      <c r="H31" s="22">
        <f ca="1"/>
        <v>0</v>
      </c>
      <c r="I31" s="22">
        <f ca="1"/>
        <v>0</v>
      </c>
      <c r="J31" s="22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2" t="s">
        <v>2841</v>
      </c>
      <c r="Y31" s="18" t="s">
        <v>2833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f ca="1"/>
        <v>2026</v>
      </c>
      <c r="B32" s="21" t="str">
        <f ca="1"/>
        <v>2026-021</v>
      </c>
      <c r="C32" s="21" t="str">
        <f ca="1"/>
        <v>Realizado</v>
      </c>
      <c r="D32" s="18" t="str">
        <f ca="1"/>
        <v>Curso de Fundamentos básicos de controle externo no TCDF</v>
      </c>
      <c r="E32" s="20">
        <f ca="1"/>
        <v>12</v>
      </c>
      <c r="F32" s="18" t="str">
        <f ca="1"/>
        <v>Cinthia Thais de Carvalho Luz Thomazi</v>
      </c>
      <c r="G32" s="20">
        <f ca="1"/>
        <v>5</v>
      </c>
      <c r="H32" s="22">
        <f ca="1"/>
        <v>4</v>
      </c>
      <c r="I32" s="22">
        <f ca="1"/>
        <v>0.6</v>
      </c>
      <c r="J32" s="22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2" t="s">
        <v>2755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f ca="1"/>
        <v>2026</v>
      </c>
      <c r="B33" s="21" t="str">
        <f ca="1"/>
        <v>2026-021</v>
      </c>
      <c r="C33" s="21" t="str">
        <f ca="1"/>
        <v>Realizado</v>
      </c>
      <c r="D33" s="18" t="str">
        <f ca="1"/>
        <v>Curso de Fundamentos básicos de controle externo no TCDF</v>
      </c>
      <c r="E33" s="20">
        <f ca="1"/>
        <v>12</v>
      </c>
      <c r="F33" s="18" t="str">
        <f ca="1"/>
        <v>Reinaldo Alencar</v>
      </c>
      <c r="G33" s="20">
        <f ca="1"/>
        <v>5</v>
      </c>
      <c r="H33" s="22">
        <f ca="1"/>
        <v>4</v>
      </c>
      <c r="I33" s="22">
        <f ca="1"/>
        <v>0.6</v>
      </c>
      <c r="J33" s="22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2" t="s">
        <v>2755</v>
      </c>
      <c r="Y33" t="s">
        <v>3027</v>
      </c>
      <c r="Z33">
        <v>4</v>
      </c>
      <c r="AA33">
        <v>0.6</v>
      </c>
      <c r="AC33" s="99"/>
      <c r="AD33" s="116" t="s">
        <v>3078</v>
      </c>
      <c r="AE33" s="117">
        <f>SUM(AE3:AE32)</f>
        <v>80</v>
      </c>
    </row>
    <row r="34" spans="1:31" x14ac:dyDescent="0.25">
      <c r="A34" s="21">
        <f ca="1"/>
        <v>2026</v>
      </c>
      <c r="B34" s="21" t="str">
        <f ca="1"/>
        <v>2026-021</v>
      </c>
      <c r="C34" s="21" t="str">
        <f ca="1"/>
        <v>Realizado</v>
      </c>
      <c r="D34" s="18" t="str">
        <f ca="1"/>
        <v>Curso de Fundamentos básicos de controle externo no TCDF</v>
      </c>
      <c r="E34" s="20">
        <f ca="1"/>
        <v>12</v>
      </c>
      <c r="F34" s="18" t="str">
        <f ca="1"/>
        <v>Rogério Ribeiro</v>
      </c>
      <c r="G34" s="20">
        <f ca="1"/>
        <v>5</v>
      </c>
      <c r="H34" s="22">
        <f ca="1"/>
        <v>4</v>
      </c>
      <c r="I34" s="22">
        <f ca="1"/>
        <v>0.6</v>
      </c>
      <c r="J34" s="22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2" t="s">
        <v>2755</v>
      </c>
      <c r="Y34" t="s">
        <v>3028</v>
      </c>
      <c r="Z34">
        <v>4</v>
      </c>
      <c r="AA34">
        <v>0.6</v>
      </c>
    </row>
    <row r="35" spans="1:31" x14ac:dyDescent="0.25">
      <c r="A35" s="21">
        <f ca="1"/>
        <v>2026</v>
      </c>
      <c r="B35" s="21" t="str">
        <f ca="1"/>
        <v>2026-021</v>
      </c>
      <c r="C35" s="21" t="str">
        <f ca="1"/>
        <v>Realizado</v>
      </c>
      <c r="D35" s="18" t="str">
        <f ca="1"/>
        <v>Curso de Fundamentos básicos de controle externo no TCDF</v>
      </c>
      <c r="E35" s="20">
        <f ca="1"/>
        <v>12</v>
      </c>
      <c r="F35" s="18" t="str">
        <f ca="1"/>
        <v>Rômulo Miranda Alvim</v>
      </c>
      <c r="G35" s="20">
        <f ca="1"/>
        <v>5</v>
      </c>
      <c r="H35" s="22">
        <f ca="1"/>
        <v>4</v>
      </c>
      <c r="I35" s="22">
        <f ca="1"/>
        <v>0.6</v>
      </c>
      <c r="J35" s="22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2" t="s">
        <v>2755</v>
      </c>
      <c r="Y35" t="s">
        <v>115</v>
      </c>
      <c r="Z35">
        <v>4</v>
      </c>
      <c r="AA35">
        <v>0.6</v>
      </c>
    </row>
    <row r="36" spans="1:31" x14ac:dyDescent="0.25">
      <c r="A36" s="21">
        <f ca="1"/>
        <v>2026</v>
      </c>
      <c r="B36" s="21" t="str">
        <f ca="1"/>
        <v>2026-021</v>
      </c>
      <c r="C36" s="21" t="str">
        <f ca="1"/>
        <v>Realizado</v>
      </c>
      <c r="D36" s="18" t="str">
        <f ca="1"/>
        <v>Curso de Fundamentos básicos de controle externo no TCDF</v>
      </c>
      <c r="E36" s="20">
        <f ca="1"/>
        <v>12</v>
      </c>
      <c r="F36" s="18" t="str">
        <f ca="1"/>
        <v>Gabriel Heller</v>
      </c>
      <c r="G36" s="20">
        <f ca="1"/>
        <v>5</v>
      </c>
      <c r="H36" s="22">
        <f ca="1"/>
        <v>4</v>
      </c>
      <c r="I36" s="22">
        <f ca="1"/>
        <v>1.2</v>
      </c>
      <c r="J36" s="22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2" t="s">
        <v>2755</v>
      </c>
      <c r="Y36" t="s">
        <v>556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2026-008</v>
      </c>
      <c r="C37" s="81" t="str">
        <f ca="1"/>
        <v>Realizado</v>
      </c>
      <c r="D37" t="str">
        <f ca="1"/>
        <v>Curso de Promoção Funcional 2026/2027</v>
      </c>
      <c r="E37" s="81">
        <f ca="1"/>
        <v>20</v>
      </c>
      <c r="F37" t="str">
        <f ca="1"/>
        <v>Rômulo Miranda Alvim</v>
      </c>
      <c r="G37" s="81">
        <f ca="1"/>
        <v>2</v>
      </c>
      <c r="H37" s="81">
        <f ca="1"/>
        <v>20</v>
      </c>
      <c r="I37" s="81">
        <f ca="1"/>
        <v>3</v>
      </c>
      <c r="J37" s="81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2778</v>
      </c>
      <c r="Y37" t="s">
        <v>425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1" t="str">
        <f ca="1"/>
        <v>Realizado</v>
      </c>
      <c r="D38" t="str">
        <f ca="1"/>
        <v>Curso de Promoção Funcional 2026/2027</v>
      </c>
      <c r="E38" s="81">
        <f ca="1"/>
        <v>20</v>
      </c>
      <c r="F38" t="str">
        <f ca="1"/>
        <v>Cinthia Thais de Carvalho Luz Thomazi</v>
      </c>
      <c r="G38" s="81">
        <f ca="1"/>
        <v>2</v>
      </c>
      <c r="H38" s="81">
        <f ca="1"/>
        <v>20</v>
      </c>
      <c r="I38" s="81">
        <f ca="1"/>
        <v>3</v>
      </c>
      <c r="J38" s="81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2778</v>
      </c>
      <c r="Y38" s="104" t="s">
        <v>1103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2026-006</v>
      </c>
      <c r="C39" s="81" t="str">
        <f ca="1"/>
        <v>Realizado</v>
      </c>
      <c r="D39" t="str">
        <f ca="1"/>
        <v>Curso para gestores e fiscais de contratos de serviços assistenciais complementares – SES/DF</v>
      </c>
      <c r="E39" s="81">
        <f ca="1"/>
        <v>12</v>
      </c>
      <c r="F39" t="str">
        <f ca="1"/>
        <v>Adriana Magalhães</v>
      </c>
      <c r="G39" s="81">
        <f ca="1"/>
        <v>2</v>
      </c>
      <c r="H39" s="81">
        <f ca="1"/>
        <v>12</v>
      </c>
      <c r="I39" s="81">
        <f ca="1"/>
        <v>1.7999999999999998</v>
      </c>
      <c r="J39" s="81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2844</v>
      </c>
      <c r="Y39" t="s">
        <v>556</v>
      </c>
      <c r="Z39">
        <v>0</v>
      </c>
      <c r="AA39">
        <v>32</v>
      </c>
    </row>
    <row r="40" spans="1:31" x14ac:dyDescent="0.25">
      <c r="A40">
        <f ca="1"/>
        <v>2026</v>
      </c>
      <c r="B40" t="str">
        <f ca="1"/>
        <v>2026-006</v>
      </c>
      <c r="C40" s="81" t="str">
        <f ca="1"/>
        <v>Realizado</v>
      </c>
      <c r="D40" t="str">
        <f ca="1"/>
        <v>Curso para gestores e fiscais de contratos de serviços assistenciais complementares – SES/DF</v>
      </c>
      <c r="E40" s="81">
        <f ca="1"/>
        <v>12</v>
      </c>
      <c r="F40" t="str">
        <f ca="1"/>
        <v>Luciana Alvim</v>
      </c>
      <c r="G40" s="81">
        <f ca="1"/>
        <v>2</v>
      </c>
      <c r="H40" s="81">
        <f ca="1"/>
        <v>12</v>
      </c>
      <c r="I40" s="81">
        <f ca="1"/>
        <v>1.7999999999999998</v>
      </c>
      <c r="J40" s="81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MROSC para servidores do GDF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2730</v>
      </c>
      <c r="Y40" t="s">
        <v>479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2026-013</v>
      </c>
      <c r="C41" s="81" t="str">
        <f ca="1"/>
        <v>Realizado</v>
      </c>
      <c r="D41" t="str">
        <f ca="1"/>
        <v>Curso para gestores e fiscais de contratos de serviços assistenciais complementares – SES/DF - T2</v>
      </c>
      <c r="E41" s="81">
        <f ca="1"/>
        <v>12</v>
      </c>
      <c r="F41" t="str">
        <f ca="1"/>
        <v>Adriana Magalhães</v>
      </c>
      <c r="G41" s="81">
        <f ca="1"/>
        <v>2</v>
      </c>
      <c r="H41" s="81">
        <f ca="1"/>
        <v>12</v>
      </c>
      <c r="I41" s="81">
        <f ca="1"/>
        <v>1.7999999999999998</v>
      </c>
      <c r="J41" s="81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2897</v>
      </c>
      <c r="Y41" t="s">
        <v>862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1" t="str">
        <f ca="1"/>
        <v>Realizado</v>
      </c>
      <c r="D42" t="str">
        <f ca="1"/>
        <v>Curso para gestores e fiscais de contratos de serviços assistenciais complementares – SES/DF - T2</v>
      </c>
      <c r="E42" s="81">
        <f ca="1"/>
        <v>12</v>
      </c>
      <c r="F42" t="str">
        <f ca="1"/>
        <v>Luciana Alvim</v>
      </c>
      <c r="G42" s="81">
        <f ca="1"/>
        <v>2</v>
      </c>
      <c r="H42" s="81">
        <f ca="1"/>
        <v>12</v>
      </c>
      <c r="I42" s="81">
        <f ca="1"/>
        <v>1.7999999999999998</v>
      </c>
      <c r="J42" s="81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2897</v>
      </c>
      <c r="Y42" t="s">
        <v>3019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2026-025</v>
      </c>
      <c r="C43" t="str">
        <f ca="1"/>
        <v>A realizar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2905</v>
      </c>
      <c r="Y43" s="18" t="s">
        <v>3036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A realizar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2905</v>
      </c>
      <c r="Y44" s="18" t="s">
        <v>942</v>
      </c>
      <c r="AA44">
        <v>1.2</v>
      </c>
    </row>
    <row r="45" spans="1:31" x14ac:dyDescent="0.25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3035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A realizar</v>
      </c>
      <c r="O46" t="str">
        <f ca="1"/>
        <v>TCendo o Futuro</v>
      </c>
      <c r="P46">
        <f ca="1"/>
        <v>4</v>
      </c>
      <c r="Q46">
        <f ca="1"/>
        <v>0</v>
      </c>
      <c r="R46">
        <f ca="1"/>
        <v>1</v>
      </c>
      <c r="S46">
        <f ca="1"/>
        <v>86</v>
      </c>
      <c r="T46">
        <f ca="1"/>
        <v>85</v>
      </c>
      <c r="X46" t="s">
        <v>2686</v>
      </c>
      <c r="Y46" t="s">
        <v>3047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A realizar</v>
      </c>
      <c r="O47" t="str">
        <f ca="1"/>
        <v>TCendo o Futuro</v>
      </c>
      <c r="P47">
        <f ca="1"/>
        <v>4</v>
      </c>
      <c r="Q47">
        <f ca="1"/>
        <v>0</v>
      </c>
      <c r="R47">
        <f ca="1"/>
        <v>1</v>
      </c>
      <c r="S47">
        <f ca="1"/>
        <v>87</v>
      </c>
      <c r="T47">
        <f ca="1"/>
        <v>86</v>
      </c>
      <c r="X47" t="s">
        <v>2686</v>
      </c>
      <c r="Y47" t="s">
        <v>3044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</v>
      </c>
      <c r="P48">
        <f ca="1"/>
        <v>4</v>
      </c>
      <c r="Q48">
        <f ca="1"/>
        <v>0</v>
      </c>
      <c r="R48">
        <f ca="1"/>
        <v>1</v>
      </c>
      <c r="S48">
        <f ca="1"/>
        <v>88</v>
      </c>
      <c r="T48">
        <f ca="1"/>
        <v>87</v>
      </c>
      <c r="X48" t="s">
        <v>2686</v>
      </c>
      <c r="Y48" t="s">
        <v>3046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</v>
      </c>
      <c r="P49">
        <f ca="1"/>
        <v>4</v>
      </c>
      <c r="Q49">
        <f ca="1"/>
        <v>0</v>
      </c>
      <c r="R49">
        <f ca="1"/>
        <v>1</v>
      </c>
      <c r="S49">
        <f ca="1"/>
        <v>89</v>
      </c>
      <c r="T49">
        <f ca="1"/>
        <v>88</v>
      </c>
      <c r="X49" t="s">
        <v>2686</v>
      </c>
      <c r="Y49" t="s">
        <v>3043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</v>
      </c>
      <c r="P50">
        <f ca="1"/>
        <v>4</v>
      </c>
      <c r="Q50">
        <f ca="1"/>
        <v>0</v>
      </c>
      <c r="R50">
        <f ca="1"/>
        <v>1</v>
      </c>
      <c r="S50">
        <f ca="1"/>
        <v>90</v>
      </c>
      <c r="T50">
        <f ca="1"/>
        <v>89</v>
      </c>
      <c r="X50" t="s">
        <v>2686</v>
      </c>
      <c r="Y50" t="s">
        <v>942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</v>
      </c>
      <c r="P51">
        <f ca="1"/>
        <v>4</v>
      </c>
      <c r="Q51">
        <f ca="1"/>
        <v>0</v>
      </c>
      <c r="R51">
        <f ca="1"/>
        <v>1</v>
      </c>
      <c r="S51">
        <f ca="1"/>
        <v>91</v>
      </c>
      <c r="T51">
        <f ca="1"/>
        <v>90</v>
      </c>
      <c r="X51" t="s">
        <v>2686</v>
      </c>
      <c r="Y51" t="s">
        <v>3079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Adriana Cuoco Portugal; Fernanda Viana de Souza; Denise Duarte Guirra Kuhlmann; Priscila Nolasco de Oliveira</v>
      </c>
      <c r="R52">
        <f ca="1"/>
        <v>5</v>
      </c>
      <c r="S52">
        <f ca="1"/>
        <v>96</v>
      </c>
      <c r="T52">
        <f ca="1"/>
        <v>91</v>
      </c>
      <c r="X52" t="s">
        <v>2686</v>
      </c>
      <c r="Y52" t="s">
        <v>1350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 Priscila Nolasco de Oliveira</v>
      </c>
      <c r="R53">
        <f ca="1"/>
        <v>5</v>
      </c>
      <c r="S53">
        <f ca="1"/>
        <v>101</v>
      </c>
      <c r="T53">
        <f ca="1"/>
        <v>96</v>
      </c>
      <c r="X53" t="s">
        <v>2686</v>
      </c>
      <c r="Y53" t="s">
        <v>3050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Cinthia Thais de Carvalho Luz Thomazi; Adriana Cuoco Portugal; Fernanda Viana de Souza; Denise Duarte Guirra Kuhlmann;  Priscila Nolasco de Oliveira</v>
      </c>
      <c r="R54">
        <f ca="1"/>
        <v>5</v>
      </c>
      <c r="S54">
        <f ca="1"/>
        <v>106</v>
      </c>
      <c r="T54">
        <f ca="1"/>
        <v>101</v>
      </c>
      <c r="X54" t="s">
        <v>2686</v>
      </c>
      <c r="Y54" t="s">
        <v>3048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108</v>
      </c>
      <c r="T55">
        <f ca="1"/>
        <v>106</v>
      </c>
      <c r="X55" t="s">
        <v>2785</v>
      </c>
      <c r="Y55" t="s">
        <v>3035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109</v>
      </c>
      <c r="T56">
        <f ca="1"/>
        <v>108</v>
      </c>
      <c r="X56" t="s">
        <v>2935</v>
      </c>
      <c r="Y56" t="s">
        <v>1030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111</v>
      </c>
      <c r="T57">
        <f ca="1"/>
        <v>109</v>
      </c>
      <c r="X57" t="s">
        <v>2750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A realizar</v>
      </c>
      <c r="O58" t="str">
        <f ca="1"/>
        <v>UniTCDF: Gestão Pública (Fernanda e Túlio)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113</v>
      </c>
      <c r="T58">
        <f ca="1"/>
        <v>111</v>
      </c>
      <c r="X58" t="s">
        <v>2750</v>
      </c>
      <c r="Y58" s="110" t="s">
        <v>3042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2026-079</v>
      </c>
      <c r="N59" t="str">
        <f ca="1"/>
        <v>Realizado</v>
      </c>
      <c r="O59" t="str">
        <f ca="1"/>
        <v>Café e Tertúlia: Gincana dos Neurotransmissores</v>
      </c>
      <c r="P59">
        <f ca="1"/>
        <v>2</v>
      </c>
      <c r="Q59" t="str">
        <f ca="1"/>
        <v>Isac Mendes Caixeta de Pamplona Araújo; Valéria Feitoza; Cinthia Thais de Carvalho Luz Thomazi</v>
      </c>
      <c r="R59">
        <f ca="1"/>
        <v>3</v>
      </c>
      <c r="S59">
        <f ca="1"/>
        <v>116</v>
      </c>
      <c r="T59">
        <f ca="1"/>
        <v>113</v>
      </c>
      <c r="X59" t="s">
        <v>2750</v>
      </c>
      <c r="Y59" t="s">
        <v>3041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2026-081</v>
      </c>
      <c r="N60" t="str">
        <f ca="1"/>
        <v>A realizar</v>
      </c>
      <c r="O60" t="str">
        <f ca="1"/>
        <v>Contratações de TIC com base na jurisprudência do TCDF - SGDI</v>
      </c>
      <c r="P60">
        <f ca="1"/>
        <v>8</v>
      </c>
      <c r="Q60" t="str">
        <f ca="1"/>
        <v>Felipe da Costa Malaquias</v>
      </c>
      <c r="R60">
        <f ca="1"/>
        <v>1</v>
      </c>
      <c r="S60">
        <f ca="1"/>
        <v>117</v>
      </c>
      <c r="T60">
        <f ca="1"/>
        <v>116</v>
      </c>
      <c r="X60" t="s">
        <v>2750</v>
      </c>
      <c r="Y60" t="s">
        <v>3040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2026-082</v>
      </c>
      <c r="N61" t="str">
        <f ca="1"/>
        <v>A realizar</v>
      </c>
      <c r="O61" t="str">
        <f ca="1"/>
        <v>Curso de formação para gestores e fiscais de contrato nas unidades hospitalares – Turma 4</v>
      </c>
      <c r="P61">
        <f ca="1"/>
        <v>12</v>
      </c>
      <c r="Q61" t="str">
        <f ca="1"/>
        <v>Luciana Alvim; Tarsila Firmino Ely</v>
      </c>
      <c r="R61">
        <f ca="1"/>
        <v>2</v>
      </c>
      <c r="S61">
        <f ca="1"/>
        <v>119</v>
      </c>
      <c r="T61">
        <f ca="1"/>
        <v>117</v>
      </c>
      <c r="X61" t="s">
        <v>2702</v>
      </c>
      <c r="Y61" s="18" t="s">
        <v>1350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2026-083</v>
      </c>
      <c r="N62" t="str">
        <f ca="1"/>
        <v>A realizar</v>
      </c>
      <c r="O62" t="str">
        <f ca="1"/>
        <v>Oficina básica de Power Automate</v>
      </c>
      <c r="P62">
        <f ca="1"/>
        <v>9</v>
      </c>
      <c r="Q62" t="str">
        <f ca="1"/>
        <v>Josdeyvi Magalhães Russi</v>
      </c>
      <c r="R62">
        <f ca="1"/>
        <v>1</v>
      </c>
      <c r="S62">
        <f ca="1"/>
        <v>120</v>
      </c>
      <c r="T62">
        <f ca="1"/>
        <v>119</v>
      </c>
      <c r="X62" t="s">
        <v>2702</v>
      </c>
      <c r="Y62" t="s">
        <v>556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R63" t="str">
        <f ca="1"/>
        <v/>
      </c>
      <c r="S63" t="str">
        <f ca="1"/>
        <v/>
      </c>
      <c r="T63">
        <f ca="1"/>
        <v>120</v>
      </c>
      <c r="X63" t="s">
        <v>2702</v>
      </c>
      <c r="Y63" s="111" t="s">
        <v>717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R64" t="str">
        <f ca="1"/>
        <v/>
      </c>
      <c r="S64" t="str">
        <f ca="1"/>
        <v/>
      </c>
      <c r="X64" t="s">
        <v>2702</v>
      </c>
      <c r="Y64" t="s">
        <v>3032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R65" t="str">
        <f ca="1"/>
        <v/>
      </c>
      <c r="S65" t="str">
        <f ca="1"/>
        <v/>
      </c>
      <c r="X65" t="s">
        <v>2710</v>
      </c>
      <c r="Y65" t="s">
        <v>2715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R66" t="str">
        <f ca="1"/>
        <v/>
      </c>
      <c r="S66" t="str">
        <f ca="1"/>
        <v/>
      </c>
      <c r="X66" t="s">
        <v>2710</v>
      </c>
      <c r="Y66" t="s">
        <v>1479</v>
      </c>
    </row>
    <row r="67" spans="1:27" x14ac:dyDescent="0.25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R67" t="str">
        <f ca="1"/>
        <v/>
      </c>
      <c r="S67" t="str">
        <f ca="1"/>
        <v/>
      </c>
      <c r="X67" t="s">
        <v>2955</v>
      </c>
      <c r="Y67" t="s">
        <v>1374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R68" t="str">
        <f ca="1"/>
        <v/>
      </c>
      <c r="S68" t="str">
        <f ca="1"/>
        <v/>
      </c>
      <c r="X68" t="s">
        <v>2955</v>
      </c>
      <c r="Y68" t="s">
        <v>3030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R69" t="str">
        <f ca="1"/>
        <v/>
      </c>
      <c r="S69" t="str">
        <f ca="1"/>
        <v/>
      </c>
      <c r="X69" t="s">
        <v>2790</v>
      </c>
      <c r="Y69" t="s">
        <v>2796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2824</v>
      </c>
      <c r="Y70" s="18" t="s">
        <v>2833</v>
      </c>
      <c r="AA70">
        <v>2.4</v>
      </c>
    </row>
    <row r="71" spans="1:27" x14ac:dyDescent="0.25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2824</v>
      </c>
      <c r="Y71" s="18" t="s">
        <v>3014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2873</v>
      </c>
      <c r="Y72" t="s">
        <v>862</v>
      </c>
      <c r="AA72">
        <v>3.6</v>
      </c>
    </row>
    <row r="73" spans="1:27" x14ac:dyDescent="0.25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2873</v>
      </c>
      <c r="Y73" t="s">
        <v>3019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2914</v>
      </c>
      <c r="Y74" t="s">
        <v>479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2800</v>
      </c>
      <c r="Y75" t="s">
        <v>2796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2901</v>
      </c>
      <c r="Y76" t="s">
        <v>942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2901</v>
      </c>
      <c r="Y77" t="s">
        <v>3033</v>
      </c>
      <c r="AA77">
        <v>1.2</v>
      </c>
    </row>
    <row r="78" spans="1:27" x14ac:dyDescent="0.25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MROSC para servidores do GDF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2885</v>
      </c>
      <c r="Y78" t="s">
        <v>942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MROSC para servidores do GDF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2885</v>
      </c>
      <c r="Y79" t="s">
        <v>3037</v>
      </c>
      <c r="AA79">
        <v>1.2</v>
      </c>
    </row>
    <row r="80" spans="1:27" x14ac:dyDescent="0.25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2785</v>
      </c>
      <c r="Y80" t="s">
        <v>3034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2881</v>
      </c>
      <c r="Y81" t="s">
        <v>942</v>
      </c>
      <c r="AA81">
        <v>1.2</v>
      </c>
    </row>
    <row r="82" spans="1:27" x14ac:dyDescent="0.25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2881</v>
      </c>
      <c r="Y82" t="s">
        <v>3038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</row>
    <row r="84" spans="1:27" x14ac:dyDescent="0.25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</row>
    <row r="85" spans="1:27" x14ac:dyDescent="0.25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</row>
    <row r="86" spans="1:27" x14ac:dyDescent="0.25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</row>
    <row r="87" spans="1:27" x14ac:dyDescent="0.25">
      <c r="A87">
        <f ca="1"/>
        <v>2026</v>
      </c>
      <c r="B87" t="str">
        <f ca="1"/>
        <v>2026-055</v>
      </c>
      <c r="C87" t="str">
        <f ca="1"/>
        <v>A realizar</v>
      </c>
      <c r="D87" t="str">
        <f ca="1"/>
        <v>TCendo o Futuro</v>
      </c>
      <c r="E87">
        <f ca="1"/>
        <v>4</v>
      </c>
      <c r="F87" t="str">
        <f ca="1"/>
        <v>0</v>
      </c>
      <c r="G87">
        <f ca="1"/>
        <v>1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</row>
    <row r="88" spans="1:27" x14ac:dyDescent="0.25">
      <c r="A88">
        <f ca="1"/>
        <v>2026</v>
      </c>
      <c r="B88" t="str">
        <f ca="1"/>
        <v>2026-056</v>
      </c>
      <c r="C88" t="str">
        <f ca="1"/>
        <v>A realizar</v>
      </c>
      <c r="D88" t="str">
        <f ca="1"/>
        <v>TCendo o Futuro</v>
      </c>
      <c r="E88">
        <f ca="1"/>
        <v>4</v>
      </c>
      <c r="F88" t="str">
        <f ca="1"/>
        <v>0</v>
      </c>
      <c r="G88">
        <f ca="1"/>
        <v>1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</row>
    <row r="89" spans="1:27" x14ac:dyDescent="0.25">
      <c r="A89">
        <f ca="1"/>
        <v>2026</v>
      </c>
      <c r="B89" t="str">
        <f ca="1"/>
        <v>2026-059</v>
      </c>
      <c r="C89" t="str">
        <f ca="1"/>
        <v>A realizar</v>
      </c>
      <c r="D89" t="str">
        <f ca="1"/>
        <v>TCendo o Futuro</v>
      </c>
      <c r="E89">
        <f ca="1"/>
        <v>4</v>
      </c>
      <c r="F89" t="str">
        <f ca="1"/>
        <v>0</v>
      </c>
      <c r="G89">
        <f ca="1"/>
        <v>1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 x14ac:dyDescent="0.25">
      <c r="A90">
        <f ca="1"/>
        <v>2026</v>
      </c>
      <c r="B90" t="str">
        <f ca="1"/>
        <v>2026-060</v>
      </c>
      <c r="C90" t="str">
        <f ca="1"/>
        <v>A realizar</v>
      </c>
      <c r="D90" t="str">
        <f ca="1"/>
        <v>TCendo o Futuro</v>
      </c>
      <c r="E90">
        <f ca="1"/>
        <v>4</v>
      </c>
      <c r="F90" t="str">
        <f ca="1"/>
        <v>0</v>
      </c>
      <c r="G90">
        <f ca="1"/>
        <v>1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 x14ac:dyDescent="0.25">
      <c r="A91">
        <f ca="1"/>
        <v>2026</v>
      </c>
      <c r="B91" t="str">
        <f ca="1"/>
        <v>2026-061</v>
      </c>
      <c r="C91" t="str">
        <f ca="1"/>
        <v>A realizar</v>
      </c>
      <c r="D91" t="str">
        <f ca="1"/>
        <v>TCendo o Futuro</v>
      </c>
      <c r="E91">
        <f ca="1"/>
        <v>4</v>
      </c>
      <c r="F91" t="str">
        <f ca="1"/>
        <v>0</v>
      </c>
      <c r="G91">
        <f ca="1"/>
        <v>1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2026-062</v>
      </c>
      <c r="C92" t="str">
        <f ca="1"/>
        <v>A realizar</v>
      </c>
      <c r="D92" t="str">
        <f ca="1"/>
        <v>TCendo o Futuro</v>
      </c>
      <c r="E92">
        <f ca="1"/>
        <v>4</v>
      </c>
      <c r="F92" t="str">
        <f ca="1"/>
        <v>0</v>
      </c>
      <c r="G92">
        <f ca="1"/>
        <v>1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2026-002</v>
      </c>
      <c r="C93" t="str">
        <f ca="1"/>
        <v>Realizado</v>
      </c>
      <c r="D93" t="str">
        <f ca="1"/>
        <v>Tcendo o Futuro - Edição Especial Filhos</v>
      </c>
      <c r="E93">
        <f ca="1"/>
        <v>4</v>
      </c>
      <c r="F93" t="str">
        <f ca="1"/>
        <v>Cinthia Thais de Carvalho Luz Thomazi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2026-002</v>
      </c>
      <c r="C94" t="str">
        <f ca="1"/>
        <v>Realizado</v>
      </c>
      <c r="D94" t="str">
        <f ca="1"/>
        <v>Tcendo o Futuro - Edição Especial Filhos</v>
      </c>
      <c r="E94">
        <f ca="1"/>
        <v>4</v>
      </c>
      <c r="F94" t="str">
        <f ca="1"/>
        <v>Adriana Cuoco Portugal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2026-002</v>
      </c>
      <c r="C95" t="str">
        <f ca="1"/>
        <v>Realizado</v>
      </c>
      <c r="D95" t="str">
        <f ca="1"/>
        <v>Tcendo o Futuro - Edição Especial Filhos</v>
      </c>
      <c r="E95">
        <f ca="1"/>
        <v>4</v>
      </c>
      <c r="F95" t="str">
        <f ca="1"/>
        <v>Fernanda Viana de Souza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2026-002</v>
      </c>
      <c r="C96" t="str">
        <f ca="1"/>
        <v>Realizado</v>
      </c>
      <c r="D96" t="str">
        <f ca="1"/>
        <v>Tcendo o Futuro - Edição Especial Filhos</v>
      </c>
      <c r="E96">
        <f ca="1"/>
        <v>4</v>
      </c>
      <c r="F96" t="str">
        <f ca="1"/>
        <v>Denise Duarte Guirra Kuhlmann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2026-002</v>
      </c>
      <c r="C97" t="str">
        <f ca="1"/>
        <v>Realizado</v>
      </c>
      <c r="D97" t="str">
        <f ca="1"/>
        <v>Tcendo o Futuro - Edição Especial Filhos</v>
      </c>
      <c r="E97">
        <f ca="1"/>
        <v>4</v>
      </c>
      <c r="F97" t="str">
        <f ca="1"/>
        <v>Priscila Nolasco de Oliveira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2026-018</v>
      </c>
      <c r="C98" t="str">
        <f ca="1"/>
        <v>Realizado</v>
      </c>
      <c r="D98" t="str">
        <f ca="1"/>
        <v>Tcendo o Futuro 1</v>
      </c>
      <c r="E98">
        <f ca="1"/>
        <v>4</v>
      </c>
      <c r="F98" t="str">
        <f ca="1"/>
        <v>Cinthia Thais de Carvalho Luz Thomazi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2026-018</v>
      </c>
      <c r="C99" t="str">
        <f ca="1"/>
        <v>Realizado</v>
      </c>
      <c r="D99" t="str">
        <f ca="1"/>
        <v>Tcendo o Futuro 1</v>
      </c>
      <c r="E99">
        <f ca="1"/>
        <v>4</v>
      </c>
      <c r="F99" t="str">
        <f ca="1"/>
        <v>Adriana Cuoco Portugal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2026-018</v>
      </c>
      <c r="C100" t="str">
        <f ca="1"/>
        <v>Realizado</v>
      </c>
      <c r="D100" t="str">
        <f ca="1"/>
        <v>Tcendo o Futuro 1</v>
      </c>
      <c r="E100">
        <f ca="1"/>
        <v>4</v>
      </c>
      <c r="F100" t="str">
        <f ca="1"/>
        <v>Fernanda Viana de Souza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2026-018</v>
      </c>
      <c r="C101" t="str">
        <f ca="1"/>
        <v>Realizado</v>
      </c>
      <c r="D101" t="str">
        <f ca="1"/>
        <v>Tcendo o Futuro 1</v>
      </c>
      <c r="E101">
        <f ca="1"/>
        <v>4</v>
      </c>
      <c r="F101" t="str">
        <f ca="1"/>
        <v>Denise Duarte Guirra Kuhlmann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2026-018</v>
      </c>
      <c r="C102" t="str">
        <f ca="1"/>
        <v>Realizado</v>
      </c>
      <c r="D102" t="str">
        <f ca="1"/>
        <v>Tcendo o Futuro 1</v>
      </c>
      <c r="E102">
        <f ca="1"/>
        <v>4</v>
      </c>
      <c r="F102" t="str">
        <f ca="1"/>
        <v>Priscila Nolasco de Oliveira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2026-023</v>
      </c>
      <c r="C103" t="str">
        <f ca="1"/>
        <v>Realizado</v>
      </c>
      <c r="D103" t="str">
        <f ca="1"/>
        <v>Tcendo o Futuro 2</v>
      </c>
      <c r="E103">
        <f ca="1"/>
        <v>4</v>
      </c>
      <c r="F103" t="str">
        <f ca="1"/>
        <v>Cinthia Thais de Carvalho Luz Thomazi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2026-023</v>
      </c>
      <c r="C104" t="str">
        <f ca="1"/>
        <v>Realizado</v>
      </c>
      <c r="D104" t="str">
        <f ca="1"/>
        <v>Tcendo o Futuro 2</v>
      </c>
      <c r="E104">
        <f ca="1"/>
        <v>4</v>
      </c>
      <c r="F104" t="str">
        <f ca="1"/>
        <v>Adriana Cuoco Portugal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2026-023</v>
      </c>
      <c r="C105" t="str">
        <f ca="1"/>
        <v>Realizado</v>
      </c>
      <c r="D105" t="str">
        <f ca="1"/>
        <v>Tcendo o Futuro 2</v>
      </c>
      <c r="E105">
        <f ca="1"/>
        <v>4</v>
      </c>
      <c r="F105" t="str">
        <f ca="1"/>
        <v>Fernanda Viana de Souza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2026-023</v>
      </c>
      <c r="C106" t="str">
        <f ca="1"/>
        <v>Realizado</v>
      </c>
      <c r="D106" t="str">
        <f ca="1"/>
        <v>Tcendo o Futuro 2</v>
      </c>
      <c r="E106">
        <f ca="1"/>
        <v>4</v>
      </c>
      <c r="F106" t="str">
        <f ca="1"/>
        <v>Denise Duarte Guirra Kuhlmann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2026-023</v>
      </c>
      <c r="C107" t="str">
        <f ca="1"/>
        <v>Realizado</v>
      </c>
      <c r="D107" t="str">
        <f ca="1"/>
        <v>Tcendo o Futuro 2</v>
      </c>
      <c r="E107">
        <f ca="1"/>
        <v>4</v>
      </c>
      <c r="F107" t="str">
        <f ca="1"/>
        <v>Priscila Nolasco de Oliveira</v>
      </c>
      <c r="G107">
        <f ca="1"/>
        <v>5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2026-022</v>
      </c>
      <c r="C108" t="str">
        <f ca="1"/>
        <v>Realizado</v>
      </c>
      <c r="D108" t="str">
        <f ca="1"/>
        <v>UniTCDF: Ciências Contábeis</v>
      </c>
      <c r="E108">
        <f ca="1"/>
        <v>3</v>
      </c>
      <c r="F108" t="str">
        <f ca="1"/>
        <v>Fernanda Viana de Souza</v>
      </c>
      <c r="G108">
        <f ca="1"/>
        <v>2</v>
      </c>
      <c r="H108">
        <f ca="1"/>
        <v>3</v>
      </c>
      <c r="I108">
        <f ca="1"/>
        <v>0.9</v>
      </c>
      <c r="J108">
        <f ca="1"/>
        <v>3.9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2026-022</v>
      </c>
      <c r="C109" t="str">
        <f ca="1"/>
        <v>Realizado</v>
      </c>
      <c r="D109" t="str">
        <f ca="1"/>
        <v>UniTCDF: Ciências Contábeis</v>
      </c>
      <c r="E109">
        <f ca="1"/>
        <v>3</v>
      </c>
      <c r="F109" t="str">
        <f ca="1"/>
        <v>Túllio Herbeth Teixeira Moraes</v>
      </c>
      <c r="G109">
        <f ca="1"/>
        <v>2</v>
      </c>
      <c r="H109">
        <f ca="1"/>
        <v>3</v>
      </c>
      <c r="I109">
        <f ca="1"/>
        <v>0.9</v>
      </c>
      <c r="J109">
        <f ca="1"/>
        <v>3.9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2026-029</v>
      </c>
      <c r="C110" t="str">
        <f ca="1"/>
        <v>Realizado</v>
      </c>
      <c r="D110" t="str">
        <f ca="1"/>
        <v>UniTCDF: TCDF e a Fiscalização de Obras</v>
      </c>
      <c r="E110">
        <f ca="1"/>
        <v>4</v>
      </c>
      <c r="F110" t="str">
        <f ca="1"/>
        <v>Adriana Cuoco Portugal</v>
      </c>
      <c r="G110">
        <f ca="1"/>
        <v>1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2026-069</v>
      </c>
      <c r="C111" t="str">
        <f ca="1"/>
        <v>Realizado</v>
      </c>
      <c r="D111" t="str">
        <f ca="1"/>
        <v xml:space="preserve">UniTCDF: Gestão Pública </v>
      </c>
      <c r="E111">
        <f ca="1"/>
        <v>3</v>
      </c>
      <c r="F111" t="str">
        <f ca="1"/>
        <v>Fernanda Viana de Souza</v>
      </c>
      <c r="G111">
        <f ca="1"/>
        <v>2</v>
      </c>
      <c r="H111">
        <f ca="1"/>
        <v>3</v>
      </c>
      <c r="I111">
        <f ca="1"/>
        <v>0.89999999999999991</v>
      </c>
      <c r="J111">
        <f ca="1"/>
        <v>3.9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2026-069</v>
      </c>
      <c r="C112" t="str">
        <f ca="1"/>
        <v>Realizado</v>
      </c>
      <c r="D112" t="str">
        <f ca="1"/>
        <v xml:space="preserve">UniTCDF: Gestão Pública </v>
      </c>
      <c r="E112">
        <f ca="1"/>
        <v>3</v>
      </c>
      <c r="F112" t="str">
        <f ca="1"/>
        <v>Túllio Herbeth Teixeira Moraes</v>
      </c>
      <c r="G112">
        <f ca="1"/>
        <v>2</v>
      </c>
      <c r="H112">
        <f ca="1"/>
        <v>3</v>
      </c>
      <c r="I112">
        <f ca="1"/>
        <v>0.89999999999999991</v>
      </c>
      <c r="J112">
        <f ca="1"/>
        <v>3.9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2026-072</v>
      </c>
      <c r="C113" t="str">
        <f ca="1"/>
        <v>A realizar</v>
      </c>
      <c r="D113" t="str">
        <f ca="1"/>
        <v>UniTCDF: Gestão Pública (Fernanda e Túlio)</v>
      </c>
      <c r="E113">
        <f ca="1"/>
        <v>3</v>
      </c>
      <c r="F113" t="str">
        <f ca="1"/>
        <v>Fernanda Viana de Souza</v>
      </c>
      <c r="G113">
        <f ca="1"/>
        <v>2</v>
      </c>
      <c r="H113">
        <f ca="1"/>
        <v>3</v>
      </c>
      <c r="I113">
        <f ca="1"/>
        <v>0.89999999999999991</v>
      </c>
      <c r="J113">
        <f ca="1"/>
        <v>3.9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2026-072</v>
      </c>
      <c r="C114" t="str">
        <f ca="1"/>
        <v>A realizar</v>
      </c>
      <c r="D114" t="str">
        <f ca="1"/>
        <v>UniTCDF: Gestão Pública (Fernanda e Túlio)</v>
      </c>
      <c r="E114">
        <f ca="1"/>
        <v>3</v>
      </c>
      <c r="F114" t="str">
        <f ca="1"/>
        <v>Túllio Herbeth Teixeira Moraes</v>
      </c>
      <c r="G114">
        <f ca="1"/>
        <v>2</v>
      </c>
      <c r="H114">
        <f ca="1"/>
        <v>3</v>
      </c>
      <c r="I114">
        <f ca="1"/>
        <v>0.89999999999999991</v>
      </c>
      <c r="J114">
        <f ca="1"/>
        <v>3.9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2026-079</v>
      </c>
      <c r="C115" t="str">
        <f ca="1"/>
        <v>Realizado</v>
      </c>
      <c r="D115" t="str">
        <f ca="1"/>
        <v>Café e Tertúlia: Gincana dos Neurotransmissores</v>
      </c>
      <c r="E115">
        <f ca="1"/>
        <v>2</v>
      </c>
      <c r="F115" t="str">
        <f ca="1"/>
        <v>Isac Mendes Caixeta de Pamplona Araújo</v>
      </c>
      <c r="G115">
        <f ca="1"/>
        <v>3</v>
      </c>
      <c r="H115">
        <f ca="1"/>
        <v>2</v>
      </c>
      <c r="I115">
        <f ca="1"/>
        <v>0.6</v>
      </c>
      <c r="J115">
        <f ca="1"/>
        <v>2.6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2026-079</v>
      </c>
      <c r="C116" t="str">
        <f ca="1"/>
        <v>Realizado</v>
      </c>
      <c r="D116" t="str">
        <f ca="1"/>
        <v>Café e Tertúlia: Gincana dos Neurotransmissores</v>
      </c>
      <c r="E116">
        <f ca="1"/>
        <v>2</v>
      </c>
      <c r="F116" t="str">
        <f ca="1"/>
        <v>Valéria Feitoza</v>
      </c>
      <c r="G116">
        <f ca="1"/>
        <v>3</v>
      </c>
      <c r="H116">
        <f ca="1"/>
        <v>2</v>
      </c>
      <c r="I116">
        <f ca="1"/>
        <v>0.6</v>
      </c>
      <c r="J116">
        <f ca="1"/>
        <v>2.6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2026-079</v>
      </c>
      <c r="C117" t="str">
        <f ca="1"/>
        <v>Realizado</v>
      </c>
      <c r="D117" t="str">
        <f ca="1"/>
        <v>Café e Tertúlia: Gincana dos Neurotransmissores</v>
      </c>
      <c r="E117">
        <f ca="1"/>
        <v>2</v>
      </c>
      <c r="F117" t="str">
        <f ca="1"/>
        <v>Cinthia Thais de Carvalho Luz Thomazi</v>
      </c>
      <c r="G117">
        <f ca="1"/>
        <v>3</v>
      </c>
      <c r="H117">
        <f ca="1"/>
        <v>2</v>
      </c>
      <c r="I117">
        <f ca="1"/>
        <v>0.6</v>
      </c>
      <c r="J117">
        <f ca="1"/>
        <v>2.6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2026-081</v>
      </c>
      <c r="C118" t="str">
        <f ca="1"/>
        <v>A realizar</v>
      </c>
      <c r="D118" t="str">
        <f ca="1"/>
        <v>Contratações de TIC com base na jurisprudência do TCDF - SGDI</v>
      </c>
      <c r="E118">
        <f ca="1"/>
        <v>8</v>
      </c>
      <c r="F118" t="str">
        <f ca="1"/>
        <v>Felipe da Costa Malaquias</v>
      </c>
      <c r="G118">
        <f ca="1"/>
        <v>1</v>
      </c>
      <c r="H118">
        <f ca="1"/>
        <v>8</v>
      </c>
      <c r="I118">
        <f ca="1"/>
        <v>2.4</v>
      </c>
      <c r="J118">
        <f ca="1"/>
        <v>10.4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2026-082</v>
      </c>
      <c r="C119" t="str">
        <f ca="1"/>
        <v>A realizar</v>
      </c>
      <c r="D119" t="str">
        <f ca="1"/>
        <v>Curso de formação para gestores e fiscais de contrato nas unidades hospitalares – Turma 4</v>
      </c>
      <c r="E119">
        <f ca="1"/>
        <v>12</v>
      </c>
      <c r="F119" t="str">
        <f ca="1"/>
        <v>Luciana Alvim</v>
      </c>
      <c r="G119">
        <f ca="1"/>
        <v>2</v>
      </c>
      <c r="H119">
        <f ca="1"/>
        <v>12</v>
      </c>
      <c r="I119">
        <f ca="1"/>
        <v>3.5999999999999996</v>
      </c>
      <c r="J119">
        <f ca="1"/>
        <v>15.6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2026-082</v>
      </c>
      <c r="C120" t="str">
        <f ca="1"/>
        <v>A realizar</v>
      </c>
      <c r="D120" t="str">
        <f ca="1"/>
        <v>Curso de formação para gestores e fiscais de contrato nas unidades hospitalares – Turma 4</v>
      </c>
      <c r="E120">
        <f ca="1"/>
        <v>12</v>
      </c>
      <c r="F120" t="str">
        <f ca="1"/>
        <v>Tarsila Firmino Ely</v>
      </c>
      <c r="G120">
        <f ca="1"/>
        <v>2</v>
      </c>
      <c r="H120">
        <f ca="1"/>
        <v>12</v>
      </c>
      <c r="I120">
        <f ca="1"/>
        <v>3.5999999999999996</v>
      </c>
      <c r="J120">
        <f ca="1"/>
        <v>15.6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2026-083</v>
      </c>
      <c r="C121" t="str">
        <f ca="1"/>
        <v>A realizar</v>
      </c>
      <c r="D121" t="str">
        <f ca="1"/>
        <v>Oficina básica de Power Automate</v>
      </c>
      <c r="E121">
        <f ca="1"/>
        <v>9</v>
      </c>
      <c r="F121" t="str">
        <f ca="1"/>
        <v>Josdeyvi Magalhães Russi</v>
      </c>
      <c r="G121">
        <f ca="1"/>
        <v>1</v>
      </c>
      <c r="H121">
        <f ca="1"/>
        <v>9</v>
      </c>
      <c r="I121">
        <f ca="1"/>
        <v>2.6999999999999997</v>
      </c>
      <c r="J121">
        <f ca="1"/>
        <v>11.7</v>
      </c>
      <c r="R121" t="str">
        <f ca="1"/>
        <v/>
      </c>
      <c r="S121" t="str">
        <f ca="1"/>
        <v/>
      </c>
    </row>
    <row r="122" spans="1:19" x14ac:dyDescent="0.25">
      <c r="R122" t="str">
        <f ca="1"/>
        <v/>
      </c>
      <c r="S122" t="str">
        <f ca="1"/>
        <v/>
      </c>
    </row>
    <row r="123" spans="1:19" x14ac:dyDescent="0.25">
      <c r="R123" t="str">
        <f ca="1"/>
        <v/>
      </c>
      <c r="S123" t="str">
        <f ca="1"/>
        <v/>
      </c>
    </row>
    <row r="124" spans="1:19" x14ac:dyDescent="0.25">
      <c r="R124" t="str">
        <f ca="1"/>
        <v/>
      </c>
      <c r="S124" t="str">
        <f ca="1"/>
        <v/>
      </c>
    </row>
    <row r="125" spans="1:19" x14ac:dyDescent="0.25">
      <c r="R125" t="str">
        <f ca="1"/>
        <v/>
      </c>
      <c r="S125" t="str">
        <f ca="1"/>
        <v/>
      </c>
    </row>
    <row r="126" spans="1:19" x14ac:dyDescent="0.25">
      <c r="R126" t="str">
        <f ca="1"/>
        <v/>
      </c>
      <c r="S126" t="str">
        <f ca="1"/>
        <v/>
      </c>
    </row>
    <row r="127" spans="1:19" x14ac:dyDescent="0.25">
      <c r="R127" t="str">
        <f ca="1"/>
        <v/>
      </c>
      <c r="S127" t="str">
        <f ca="1"/>
        <v/>
      </c>
    </row>
    <row r="128" spans="1:19" x14ac:dyDescent="0.25">
      <c r="R128" t="str">
        <f ca="1"/>
        <v/>
      </c>
      <c r="S128" t="str">
        <f ca="1"/>
        <v/>
      </c>
    </row>
    <row r="129" spans="18:19" x14ac:dyDescent="0.25">
      <c r="R129" t="str">
        <f ca="1"/>
        <v/>
      </c>
      <c r="S129" t="str">
        <f ca="1"/>
        <v/>
      </c>
    </row>
    <row r="130" spans="18:19" x14ac:dyDescent="0.25">
      <c r="R130" t="str">
        <f ca="1"/>
        <v/>
      </c>
      <c r="S130" t="str">
        <f ca="1"/>
        <v/>
      </c>
    </row>
    <row r="131" spans="18:19" x14ac:dyDescent="0.25">
      <c r="R131" t="str">
        <f ca="1"/>
        <v/>
      </c>
      <c r="S131" t="str">
        <f ca="1"/>
        <v/>
      </c>
    </row>
    <row r="132" spans="18:19" x14ac:dyDescent="0.25">
      <c r="R132" t="str">
        <f ca="1"/>
        <v/>
      </c>
      <c r="S132" t="str">
        <f ca="1"/>
        <v/>
      </c>
    </row>
    <row r="133" spans="18:19" x14ac:dyDescent="0.25">
      <c r="R133" t="str">
        <f ca="1"/>
        <v/>
      </c>
      <c r="S133" t="str">
        <f ca="1"/>
        <v/>
      </c>
    </row>
    <row r="134" spans="18:19" x14ac:dyDescent="0.25">
      <c r="R134" t="str">
        <f ca="1"/>
        <v/>
      </c>
      <c r="S134" t="str">
        <f ca="1"/>
        <v/>
      </c>
    </row>
    <row r="135" spans="18:19" x14ac:dyDescent="0.25">
      <c r="R135" t="str">
        <f ca="1"/>
        <v/>
      </c>
      <c r="S135" t="str">
        <f ca="1"/>
        <v/>
      </c>
    </row>
    <row r="136" spans="18:19" x14ac:dyDescent="0.25">
      <c r="R136" t="str">
        <f ca="1"/>
        <v/>
      </c>
      <c r="S136" t="str">
        <f ca="1"/>
        <v/>
      </c>
    </row>
    <row r="137" spans="18:19" x14ac:dyDescent="0.25">
      <c r="R137" t="str">
        <f ca="1"/>
        <v/>
      </c>
      <c r="S137" t="str">
        <f ca="1"/>
        <v/>
      </c>
    </row>
    <row r="138" spans="18:19" x14ac:dyDescent="0.25">
      <c r="R138" t="str">
        <f ca="1"/>
        <v/>
      </c>
      <c r="S138" t="str">
        <f ca="1"/>
        <v/>
      </c>
    </row>
    <row r="139" spans="18:19" x14ac:dyDescent="0.25">
      <c r="R139" t="str">
        <f ca="1"/>
        <v/>
      </c>
      <c r="S139" t="str">
        <f ca="1"/>
        <v/>
      </c>
    </row>
    <row r="140" spans="18:19" x14ac:dyDescent="0.25">
      <c r="R140" t="str">
        <f ca="1"/>
        <v/>
      </c>
      <c r="S140" t="str">
        <f ca="1"/>
        <v/>
      </c>
    </row>
    <row r="141" spans="18:19" x14ac:dyDescent="0.25">
      <c r="R141" t="str">
        <f ca="1"/>
        <v/>
      </c>
      <c r="S141" t="str">
        <f ca="1"/>
        <v/>
      </c>
    </row>
    <row r="142" spans="18:19" x14ac:dyDescent="0.25">
      <c r="R142" t="str">
        <f ca="1"/>
        <v/>
      </c>
      <c r="S142" t="str">
        <f ca="1"/>
        <v/>
      </c>
    </row>
    <row r="143" spans="18:19" x14ac:dyDescent="0.25">
      <c r="R143" t="str">
        <f ca="1"/>
        <v/>
      </c>
      <c r="S143" t="str">
        <f ca="1"/>
        <v/>
      </c>
    </row>
    <row r="144" spans="18:19" x14ac:dyDescent="0.25">
      <c r="R144" t="str">
        <f ca="1"/>
        <v/>
      </c>
      <c r="S144" t="str">
        <f ca="1"/>
        <v/>
      </c>
    </row>
    <row r="145" spans="18:19" x14ac:dyDescent="0.25">
      <c r="R145" t="str">
        <f ca="1"/>
        <v/>
      </c>
      <c r="S145" t="str">
        <f ca="1"/>
        <v/>
      </c>
    </row>
    <row r="146" spans="18:19" x14ac:dyDescent="0.25">
      <c r="R146" t="str">
        <f ca="1"/>
        <v/>
      </c>
      <c r="S146" t="str">
        <f ca="1"/>
        <v/>
      </c>
    </row>
    <row r="147" spans="18:19" x14ac:dyDescent="0.25">
      <c r="R147" t="str">
        <f ca="1"/>
        <v/>
      </c>
      <c r="S147" t="str">
        <f ca="1"/>
        <v/>
      </c>
    </row>
    <row r="148" spans="18:19" x14ac:dyDescent="0.25">
      <c r="R148" t="str">
        <f ca="1"/>
        <v/>
      </c>
      <c r="S148" t="str">
        <f ca="1"/>
        <v/>
      </c>
    </row>
    <row r="149" spans="18:19" x14ac:dyDescent="0.25">
      <c r="R149" t="str">
        <f ca="1"/>
        <v/>
      </c>
      <c r="S149" t="str">
        <f ca="1"/>
        <v/>
      </c>
    </row>
    <row r="150" spans="18:19" x14ac:dyDescent="0.25">
      <c r="R150" t="str">
        <f ca="1"/>
        <v/>
      </c>
      <c r="S150" t="str">
        <f ca="1"/>
        <v/>
      </c>
    </row>
    <row r="151" spans="18:19" x14ac:dyDescent="0.25">
      <c r="R151" t="str">
        <f ca="1"/>
        <v/>
      </c>
      <c r="S151" t="str">
        <f ca="1"/>
        <v/>
      </c>
    </row>
    <row r="152" spans="18:19" x14ac:dyDescent="0.25">
      <c r="R152" t="str">
        <f ca="1"/>
        <v/>
      </c>
      <c r="S152" t="str">
        <f ca="1"/>
        <v/>
      </c>
    </row>
    <row r="153" spans="18:19" x14ac:dyDescent="0.25">
      <c r="R153" t="str">
        <f ca="1"/>
        <v/>
      </c>
      <c r="S153" t="str">
        <f ca="1"/>
        <v/>
      </c>
    </row>
    <row r="154" spans="18:19" x14ac:dyDescent="0.25">
      <c r="R154" t="str">
        <f ca="1"/>
        <v/>
      </c>
      <c r="S154" t="str">
        <f ca="1"/>
        <v/>
      </c>
    </row>
    <row r="155" spans="18:19" x14ac:dyDescent="0.25">
      <c r="R155" t="str">
        <f ca="1"/>
        <v/>
      </c>
      <c r="S155" t="str">
        <f ca="1"/>
        <v/>
      </c>
    </row>
    <row r="156" spans="18:19" x14ac:dyDescent="0.25">
      <c r="R156" t="str">
        <f ca="1"/>
        <v/>
      </c>
      <c r="S156" t="str">
        <f ca="1"/>
        <v/>
      </c>
    </row>
    <row r="157" spans="18:19" x14ac:dyDescent="0.25">
      <c r="R157" t="str">
        <f ca="1"/>
        <v/>
      </c>
      <c r="S157" t="str">
        <f ca="1"/>
        <v/>
      </c>
    </row>
    <row r="158" spans="18:19" x14ac:dyDescent="0.25">
      <c r="R158" t="str">
        <f ca="1"/>
        <v/>
      </c>
      <c r="S158" t="str">
        <f ca="1"/>
        <v/>
      </c>
    </row>
    <row r="159" spans="18:19" x14ac:dyDescent="0.25">
      <c r="R159" t="str">
        <f ca="1"/>
        <v/>
      </c>
      <c r="S159" t="str">
        <f ca="1"/>
        <v/>
      </c>
    </row>
    <row r="160" spans="18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30" t="s">
        <v>3080</v>
      </c>
      <c r="B1" s="230"/>
      <c r="C1" s="230"/>
      <c r="D1" s="230"/>
      <c r="E1" s="230"/>
      <c r="F1" s="230"/>
      <c r="G1" s="230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31" t="s">
        <v>3081</v>
      </c>
      <c r="B4" s="232"/>
      <c r="D4" s="233" t="s">
        <v>3082</v>
      </c>
      <c r="E4" s="234"/>
      <c r="G4" s="45" t="s">
        <v>3083</v>
      </c>
    </row>
    <row r="5" spans="1:7" ht="54.95" customHeight="1" thickBot="1" x14ac:dyDescent="0.75">
      <c r="A5" s="35">
        <f>COUNTIF('Ações InCompany'!B:B,2026)</f>
        <v>83</v>
      </c>
      <c r="B5" s="36" t="s">
        <v>3084</v>
      </c>
      <c r="D5" s="43">
        <f>COUNTIFS('Ações InCompany'!B:B,2026,'Ações InCompany'!C:C,"Realizado")</f>
        <v>50</v>
      </c>
      <c r="E5" s="44" t="s">
        <v>3084</v>
      </c>
      <c r="G5" s="46">
        <f>COUNTIFS('Ações InCompany'!B:B,2026,'Ações InCompany'!C:C,"A realizar")</f>
        <v>30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28" t="s">
        <v>3085</v>
      </c>
      <c r="B8" s="228"/>
      <c r="D8" s="228" t="s">
        <v>3086</v>
      </c>
      <c r="E8" s="228"/>
    </row>
    <row r="9" spans="1:7" ht="5.0999999999999996" customHeight="1" x14ac:dyDescent="0.25">
      <c r="A9" s="229"/>
      <c r="B9" s="229"/>
      <c r="D9" s="229"/>
      <c r="E9" s="229"/>
    </row>
    <row r="10" spans="1:7" ht="24.95" customHeight="1" x14ac:dyDescent="0.25">
      <c r="A10" s="28" t="s">
        <v>5</v>
      </c>
      <c r="B10" s="28" t="s">
        <v>3087</v>
      </c>
      <c r="D10" s="28" t="s">
        <v>3088</v>
      </c>
      <c r="E10" s="28" t="s">
        <v>3089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18</v>
      </c>
      <c r="D11" s="29" t="s">
        <v>3090</v>
      </c>
      <c r="E11" s="30">
        <f>SUMIFS('Ações InCompany'!O:O,'Ações InCompany'!B:B,2026,'Ações InCompany'!C:C,"Realizado")</f>
        <v>772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23</v>
      </c>
      <c r="D12" s="31" t="s">
        <v>3091</v>
      </c>
      <c r="E12" s="32">
        <f>SUMIFS('Ações InCompany'!P:P,'Ações InCompany'!B:B,2026,'Ações InCompany'!C:C,"Realizado")</f>
        <v>1486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7</v>
      </c>
      <c r="D13" s="29" t="s">
        <v>3092</v>
      </c>
      <c r="E13" s="30">
        <f>SUMIFS('Ações InCompany'!Q:Q,'Ações InCompany'!B:B,2026,'Ações InCompany'!C:C,"Realizado")</f>
        <v>510</v>
      </c>
    </row>
    <row r="14" spans="1:7" ht="27.95" customHeight="1" x14ac:dyDescent="0.3">
      <c r="A14" s="33" t="s">
        <v>3093</v>
      </c>
      <c r="B14" s="34">
        <f>SUM(B11:B13)</f>
        <v>48</v>
      </c>
      <c r="D14" s="33" t="s">
        <v>3094</v>
      </c>
      <c r="E14" s="34">
        <f>SUM(E11:E13)</f>
        <v>2768</v>
      </c>
    </row>
    <row r="30" spans="1:5" ht="17.25" x14ac:dyDescent="0.3">
      <c r="A30" s="228" t="s">
        <v>3095</v>
      </c>
      <c r="B30" s="228"/>
      <c r="C30" s="228"/>
      <c r="D30" s="228"/>
      <c r="E30" s="228"/>
    </row>
    <row r="31" spans="1:5" ht="5.0999999999999996" customHeight="1" x14ac:dyDescent="0.25">
      <c r="A31" s="229"/>
      <c r="B31" s="229"/>
      <c r="C31" s="229"/>
      <c r="D31" s="229"/>
      <c r="E31" s="229"/>
    </row>
    <row r="32" spans="1:5" ht="24.95" customHeight="1" x14ac:dyDescent="0.25">
      <c r="A32" s="28" t="s">
        <v>6</v>
      </c>
      <c r="B32" s="28" t="s">
        <v>3096</v>
      </c>
      <c r="C32" s="28" t="s">
        <v>3097</v>
      </c>
      <c r="D32" s="28" t="s">
        <v>3098</v>
      </c>
      <c r="E32" s="28" t="s">
        <v>3099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17</v>
      </c>
      <c r="C33" s="47">
        <f>COUNTIFS('Ações InCompany'!B:B,2026,'Ações InCompany'!C:C,"A realizar",'Ações InCompany'!G:G,A33)</f>
        <v>5</v>
      </c>
      <c r="D33" s="37">
        <f t="shared" ref="D33:D44" si="0">B33+C33</f>
        <v>22</v>
      </c>
      <c r="E33" s="38">
        <f t="shared" ref="E33:E44" si="1">D33/$D$45</f>
        <v>0.27500000000000002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2</v>
      </c>
      <c r="D34" s="39">
        <f t="shared" si="0"/>
        <v>5</v>
      </c>
      <c r="E34" s="40">
        <f t="shared" si="1"/>
        <v>6.25E-2</v>
      </c>
    </row>
    <row r="35" spans="1:5" ht="24" customHeight="1" x14ac:dyDescent="0.25">
      <c r="A35" s="29" t="s">
        <v>2700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2</v>
      </c>
      <c r="D35" s="37">
        <f t="shared" si="0"/>
        <v>7</v>
      </c>
      <c r="E35" s="38">
        <f t="shared" si="1"/>
        <v>8.7499999999999994E-2</v>
      </c>
    </row>
    <row r="36" spans="1:5" ht="24" customHeight="1" x14ac:dyDescent="0.25">
      <c r="A36" s="31" t="s">
        <v>2794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2.5000000000000001E-2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3</v>
      </c>
      <c r="C37" s="47">
        <f>COUNTIFS('Ações InCompany'!B:B,2026,'Ações InCompany'!C:C,"A realizar",'Ações InCompany'!G:G,A37)</f>
        <v>3</v>
      </c>
      <c r="D37" s="37">
        <f t="shared" si="0"/>
        <v>6</v>
      </c>
      <c r="E37" s="38">
        <f t="shared" si="1"/>
        <v>7.4999999999999997E-2</v>
      </c>
    </row>
    <row r="38" spans="1:5" ht="24" customHeight="1" x14ac:dyDescent="0.25">
      <c r="A38" s="31" t="s">
        <v>2719</v>
      </c>
      <c r="B38" s="39">
        <f>COUNTIFS('Ações InCompany'!B:B,2026,'Ações InCompany'!C:C,"Realizado",'Ações InCompany'!G:G,A38)</f>
        <v>8</v>
      </c>
      <c r="C38" s="48">
        <f>COUNTIFS('Ações InCompany'!B:B,2026,'Ações InCompany'!C:C,"A realizar",'Ações InCompany'!G:G,A38)</f>
        <v>14</v>
      </c>
      <c r="D38" s="39">
        <f t="shared" si="0"/>
        <v>22</v>
      </c>
      <c r="E38" s="40">
        <f t="shared" si="1"/>
        <v>0.27500000000000002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0.05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2.5000000000000001E-2</v>
      </c>
    </row>
    <row r="41" spans="1:5" ht="24" customHeight="1" x14ac:dyDescent="0.25">
      <c r="A41" s="74" t="s">
        <v>2694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2</v>
      </c>
      <c r="D41" s="70">
        <f>B41+C41</f>
        <v>8</v>
      </c>
      <c r="E41" s="76">
        <f>D41/$D$45</f>
        <v>0.1</v>
      </c>
    </row>
    <row r="42" spans="1:5" ht="24" customHeight="1" x14ac:dyDescent="0.25">
      <c r="A42" s="75" t="s">
        <v>3100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2.5000000000000001E-2</v>
      </c>
    </row>
    <row r="44" spans="1:5" ht="24" customHeight="1" x14ac:dyDescent="0.25">
      <c r="A44" s="67" t="s">
        <v>3101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3093</v>
      </c>
      <c r="B45" s="41">
        <f>SUM(B33:B44)</f>
        <v>50</v>
      </c>
      <c r="C45" s="41">
        <f>SUM(C33:C44)</f>
        <v>30</v>
      </c>
      <c r="D45" s="41">
        <f>SUM(D33:D44)</f>
        <v>80</v>
      </c>
      <c r="E45" s="4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3102</v>
      </c>
      <c r="B1" s="12" t="s">
        <v>3103</v>
      </c>
      <c r="C1" s="13" t="s">
        <v>3104</v>
      </c>
      <c r="D1" s="13" t="s">
        <v>3105</v>
      </c>
      <c r="E1" s="13" t="s">
        <v>3106</v>
      </c>
    </row>
    <row r="2" spans="1:5" ht="18" customHeight="1" x14ac:dyDescent="0.25">
      <c r="A2" s="12" t="s">
        <v>3107</v>
      </c>
      <c r="B2" s="12" t="s">
        <v>3108</v>
      </c>
      <c r="C2" s="12" t="s">
        <v>1736</v>
      </c>
      <c r="D2" s="12" t="s">
        <v>3109</v>
      </c>
      <c r="E2" s="12" t="s">
        <v>3110</v>
      </c>
    </row>
    <row r="3" spans="1:5" ht="18" customHeight="1" x14ac:dyDescent="0.25">
      <c r="A3" s="12" t="s">
        <v>3107</v>
      </c>
      <c r="B3" s="12" t="s">
        <v>3108</v>
      </c>
      <c r="C3" s="14" t="s">
        <v>25</v>
      </c>
      <c r="D3" s="12" t="s">
        <v>3111</v>
      </c>
      <c r="E3" s="12" t="s">
        <v>3112</v>
      </c>
    </row>
    <row r="4" spans="1:5" ht="18" customHeight="1" x14ac:dyDescent="0.25">
      <c r="A4" s="12" t="s">
        <v>3107</v>
      </c>
      <c r="B4" s="12" t="s">
        <v>3108</v>
      </c>
      <c r="C4" s="12" t="s">
        <v>75</v>
      </c>
      <c r="D4" s="12" t="s">
        <v>3109</v>
      </c>
      <c r="E4" s="12" t="s">
        <v>3113</v>
      </c>
    </row>
    <row r="5" spans="1:5" ht="18" customHeight="1" x14ac:dyDescent="0.25">
      <c r="A5" s="12" t="s">
        <v>3107</v>
      </c>
      <c r="B5" s="12" t="s">
        <v>3108</v>
      </c>
      <c r="C5" s="12" t="s">
        <v>79</v>
      </c>
      <c r="D5" s="12" t="s">
        <v>3114</v>
      </c>
      <c r="E5" s="12" t="s">
        <v>3115</v>
      </c>
    </row>
    <row r="6" spans="1:5" ht="18" customHeight="1" x14ac:dyDescent="0.25">
      <c r="A6" s="12" t="s">
        <v>3107</v>
      </c>
      <c r="B6" s="12" t="s">
        <v>3108</v>
      </c>
      <c r="C6" s="12" t="s">
        <v>2719</v>
      </c>
      <c r="D6" s="12" t="s">
        <v>3116</v>
      </c>
      <c r="E6" s="12" t="s">
        <v>3117</v>
      </c>
    </row>
    <row r="7" spans="1:5" ht="18" customHeight="1" x14ac:dyDescent="0.25">
      <c r="A7" s="12" t="s">
        <v>3107</v>
      </c>
      <c r="B7" s="12" t="s">
        <v>3118</v>
      </c>
      <c r="C7" s="12" t="s">
        <v>36</v>
      </c>
      <c r="D7" s="12" t="s">
        <v>3119</v>
      </c>
      <c r="E7" s="12" t="s">
        <v>3120</v>
      </c>
    </row>
    <row r="8" spans="1:5" ht="18" customHeight="1" x14ac:dyDescent="0.25">
      <c r="A8" s="12" t="s">
        <v>3107</v>
      </c>
      <c r="B8" s="12" t="s">
        <v>3118</v>
      </c>
      <c r="C8" s="12" t="s">
        <v>42</v>
      </c>
      <c r="D8" s="12" t="s">
        <v>3121</v>
      </c>
      <c r="E8" s="12" t="s">
        <v>3122</v>
      </c>
    </row>
    <row r="9" spans="1:5" ht="18" customHeight="1" x14ac:dyDescent="0.25">
      <c r="A9" s="12" t="s">
        <v>3107</v>
      </c>
      <c r="B9" s="12" t="s">
        <v>3123</v>
      </c>
      <c r="C9" s="12" t="s">
        <v>464</v>
      </c>
      <c r="D9" s="12" t="s">
        <v>3124</v>
      </c>
      <c r="E9" s="12" t="s">
        <v>3125</v>
      </c>
    </row>
    <row r="10" spans="1:5" ht="18" customHeight="1" x14ac:dyDescent="0.25">
      <c r="A10" s="12" t="s">
        <v>3107</v>
      </c>
      <c r="B10" s="12" t="s">
        <v>3123</v>
      </c>
      <c r="C10" s="12" t="s">
        <v>206</v>
      </c>
      <c r="D10" s="12" t="s">
        <v>24</v>
      </c>
      <c r="E10" s="12" t="s">
        <v>3126</v>
      </c>
    </row>
    <row r="11" spans="1:5" ht="18" customHeight="1" x14ac:dyDescent="0.25">
      <c r="A11" s="12" t="s">
        <v>3107</v>
      </c>
      <c r="B11" s="12" t="s">
        <v>3123</v>
      </c>
      <c r="C11" s="12" t="s">
        <v>371</v>
      </c>
      <c r="D11" s="12" t="s">
        <v>24</v>
      </c>
      <c r="E11" s="12" t="s">
        <v>3127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3128</v>
      </c>
      <c r="B1" s="5" t="s">
        <v>10</v>
      </c>
      <c r="C1" s="15" t="s">
        <v>3129</v>
      </c>
      <c r="D1" s="15" t="s">
        <v>3052</v>
      </c>
    </row>
    <row r="2" spans="1:4" ht="21" customHeight="1" x14ac:dyDescent="0.25">
      <c r="A2" s="103" t="s">
        <v>24</v>
      </c>
      <c r="B2" s="103" t="s">
        <v>38</v>
      </c>
      <c r="C2" s="12" t="s">
        <v>3130</v>
      </c>
      <c r="D2" s="12" t="s">
        <v>2697</v>
      </c>
    </row>
    <row r="3" spans="1:4" ht="21" customHeight="1" x14ac:dyDescent="0.25">
      <c r="A3" s="12" t="s">
        <v>69</v>
      </c>
      <c r="B3" s="103" t="s">
        <v>27</v>
      </c>
      <c r="C3" s="12" t="s">
        <v>3131</v>
      </c>
      <c r="D3" s="12" t="s">
        <v>2566</v>
      </c>
    </row>
    <row r="4" spans="1:4" ht="21" customHeight="1" x14ac:dyDescent="0.25">
      <c r="A4" s="14" t="s">
        <v>88</v>
      </c>
      <c r="B4" s="103" t="s">
        <v>227</v>
      </c>
      <c r="D4" s="12" t="s">
        <v>2791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3132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3102</v>
      </c>
      <c r="B1" s="12" t="s">
        <v>3103</v>
      </c>
      <c r="C1" s="13" t="s">
        <v>3104</v>
      </c>
      <c r="D1" s="13" t="s">
        <v>3105</v>
      </c>
      <c r="E1" s="13" t="s">
        <v>3106</v>
      </c>
    </row>
    <row r="2" spans="1:5" ht="18" customHeight="1" x14ac:dyDescent="0.25">
      <c r="A2" s="12" t="s">
        <v>3133</v>
      </c>
      <c r="B2" s="12" t="s">
        <v>3108</v>
      </c>
      <c r="C2" s="14" t="s">
        <v>25</v>
      </c>
      <c r="D2" s="12" t="s">
        <v>3109</v>
      </c>
      <c r="E2" s="17" t="s">
        <v>3134</v>
      </c>
    </row>
    <row r="3" spans="1:5" ht="18" customHeight="1" x14ac:dyDescent="0.25">
      <c r="A3" s="12" t="s">
        <v>3133</v>
      </c>
      <c r="B3" s="12" t="s">
        <v>3108</v>
      </c>
      <c r="C3" s="12" t="s">
        <v>75</v>
      </c>
      <c r="D3" s="12" t="s">
        <v>3111</v>
      </c>
      <c r="E3" s="12" t="s">
        <v>3135</v>
      </c>
    </row>
    <row r="4" spans="1:5" ht="18" customHeight="1" x14ac:dyDescent="0.25">
      <c r="A4" s="12" t="s">
        <v>3133</v>
      </c>
      <c r="B4" s="12" t="s">
        <v>3108</v>
      </c>
      <c r="C4" s="12" t="s">
        <v>79</v>
      </c>
      <c r="D4" s="12" t="s">
        <v>3114</v>
      </c>
      <c r="E4" s="12" t="s">
        <v>3136</v>
      </c>
    </row>
    <row r="5" spans="1:5" ht="27.75" customHeight="1" x14ac:dyDescent="0.25">
      <c r="A5" s="12" t="s">
        <v>3133</v>
      </c>
      <c r="B5" s="12" t="s">
        <v>3108</v>
      </c>
      <c r="C5" s="12" t="s">
        <v>2694</v>
      </c>
      <c r="D5" s="17" t="s">
        <v>3137</v>
      </c>
      <c r="E5" s="12" t="s">
        <v>3138</v>
      </c>
    </row>
    <row r="6" spans="1:5" ht="18" customHeight="1" x14ac:dyDescent="0.25">
      <c r="A6" s="12" t="s">
        <v>3133</v>
      </c>
      <c r="B6" s="12" t="s">
        <v>3108</v>
      </c>
      <c r="C6" s="12" t="s">
        <v>2719</v>
      </c>
      <c r="D6" s="12" t="s">
        <v>3116</v>
      </c>
      <c r="E6" s="12" t="s">
        <v>3117</v>
      </c>
    </row>
    <row r="7" spans="1:5" ht="18" customHeight="1" x14ac:dyDescent="0.25">
      <c r="A7" s="12" t="s">
        <v>3133</v>
      </c>
      <c r="B7" s="12" t="s">
        <v>3118</v>
      </c>
      <c r="C7" s="12" t="s">
        <v>2700</v>
      </c>
      <c r="D7" s="12" t="s">
        <v>3139</v>
      </c>
      <c r="E7" s="12" t="s">
        <v>3140</v>
      </c>
    </row>
    <row r="8" spans="1:5" ht="18" customHeight="1" x14ac:dyDescent="0.25">
      <c r="A8" s="12" t="s">
        <v>3133</v>
      </c>
      <c r="B8" s="12" t="s">
        <v>3118</v>
      </c>
      <c r="C8" s="12" t="s">
        <v>42</v>
      </c>
      <c r="D8" s="12" t="s">
        <v>3121</v>
      </c>
      <c r="E8" s="12" t="s">
        <v>3122</v>
      </c>
    </row>
    <row r="9" spans="1:5" ht="18" customHeight="1" x14ac:dyDescent="0.25">
      <c r="A9" s="12" t="s">
        <v>3133</v>
      </c>
      <c r="B9" s="12" t="s">
        <v>3118</v>
      </c>
      <c r="C9" s="12" t="s">
        <v>2794</v>
      </c>
      <c r="D9" s="12" t="s">
        <v>3141</v>
      </c>
      <c r="E9" s="17" t="s">
        <v>3142</v>
      </c>
    </row>
    <row r="10" spans="1:5" ht="18" customHeight="1" x14ac:dyDescent="0.25">
      <c r="A10" s="12" t="s">
        <v>3133</v>
      </c>
      <c r="B10" s="12" t="s">
        <v>3143</v>
      </c>
      <c r="C10" s="12" t="s">
        <v>3100</v>
      </c>
      <c r="D10" s="12" t="s">
        <v>3144</v>
      </c>
      <c r="E10" s="17" t="s">
        <v>3145</v>
      </c>
    </row>
    <row r="11" spans="1:5" ht="18" customHeight="1" x14ac:dyDescent="0.25">
      <c r="A11" s="12" t="s">
        <v>3133</v>
      </c>
      <c r="B11" s="12" t="s">
        <v>3143</v>
      </c>
      <c r="C11" s="12" t="s">
        <v>206</v>
      </c>
      <c r="D11" s="12" t="s">
        <v>24</v>
      </c>
      <c r="E11" s="12" t="s">
        <v>3126</v>
      </c>
    </row>
    <row r="12" spans="1:5" ht="18" customHeight="1" x14ac:dyDescent="0.25">
      <c r="A12" s="12" t="s">
        <v>3133</v>
      </c>
      <c r="B12" s="12" t="s">
        <v>3143</v>
      </c>
      <c r="C12" s="12" t="s">
        <v>371</v>
      </c>
      <c r="D12" s="12" t="s">
        <v>24</v>
      </c>
      <c r="E12" s="12" t="s">
        <v>3127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5" t="s">
        <v>3146</v>
      </c>
      <c r="B1" s="235"/>
      <c r="C1" s="235"/>
      <c r="D1" s="235"/>
      <c r="E1" s="235"/>
      <c r="F1" s="235"/>
      <c r="G1" s="235"/>
      <c r="H1" s="235"/>
    </row>
    <row r="2" spans="1:8" x14ac:dyDescent="0.25">
      <c r="A2" s="49" t="s">
        <v>3147</v>
      </c>
    </row>
    <row r="4" spans="1:8" ht="21.95" customHeight="1" x14ac:dyDescent="0.25">
      <c r="A4" s="236" t="s">
        <v>3148</v>
      </c>
      <c r="B4" s="237"/>
      <c r="D4" s="236" t="s">
        <v>3149</v>
      </c>
      <c r="E4" s="237"/>
      <c r="G4" s="236" t="s">
        <v>3150</v>
      </c>
      <c r="H4" s="237"/>
    </row>
    <row r="5" spans="1:8" ht="35.1" customHeight="1" x14ac:dyDescent="0.25">
      <c r="A5" s="240">
        <f>COUNTIF('Ações InCompany'!E:E,"*maratona*")</f>
        <v>13</v>
      </c>
      <c r="B5" s="239"/>
      <c r="D5" s="238">
        <f>SUM(H8:H100)</f>
        <v>1762</v>
      </c>
      <c r="E5" s="239"/>
      <c r="G5" s="238">
        <f>IFERROR(ROUND(D5/A5,0),"-")</f>
        <v>136</v>
      </c>
      <c r="H5" s="239"/>
    </row>
    <row r="6" spans="1:8" ht="9.9499999999999993" customHeight="1" x14ac:dyDescent="0.25"/>
    <row r="7" spans="1:8" ht="24.95" customHeight="1" thickBot="1" x14ac:dyDescent="0.3">
      <c r="A7" s="62" t="s">
        <v>3151</v>
      </c>
      <c r="B7" s="62" t="s">
        <v>3152</v>
      </c>
      <c r="C7" s="62" t="s">
        <v>1</v>
      </c>
      <c r="D7" s="62" t="s">
        <v>3153</v>
      </c>
      <c r="E7" s="62" t="s">
        <v>3154</v>
      </c>
      <c r="F7" s="62" t="s">
        <v>3052</v>
      </c>
      <c r="G7" s="62" t="s">
        <v>5</v>
      </c>
      <c r="H7" s="62" t="s">
        <v>3155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0" activePane="bottomLeft" state="frozen"/>
      <selection pane="bottomLeft" activeCell="A43" sqref="A43:XFD43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41" t="s">
        <v>3156</v>
      </c>
      <c r="B1" s="241"/>
      <c r="C1" s="241"/>
      <c r="D1" s="241"/>
      <c r="E1" s="241"/>
      <c r="F1" s="241"/>
    </row>
    <row r="2" spans="1:7" x14ac:dyDescent="0.25">
      <c r="A2" s="242" t="s">
        <v>3157</v>
      </c>
      <c r="B2" s="242"/>
      <c r="C2" s="242"/>
      <c r="D2" s="242"/>
      <c r="E2" s="242"/>
      <c r="F2" s="242"/>
    </row>
    <row r="4" spans="1:7" x14ac:dyDescent="0.25">
      <c r="A4" s="25" t="s">
        <v>19</v>
      </c>
      <c r="B4" s="25" t="s">
        <v>3055</v>
      </c>
      <c r="C4" s="25" t="s">
        <v>3056</v>
      </c>
      <c r="D4" s="25" t="s">
        <v>3158</v>
      </c>
      <c r="E4" s="25" t="s">
        <v>3057</v>
      </c>
      <c r="F4" s="25" t="s">
        <v>3159</v>
      </c>
    </row>
    <row r="5" spans="1:7" x14ac:dyDescent="0.25">
      <c r="A5" t="str" cm="1">
        <f t="array" aca="1" ref="A5:A56" ca="1">IFERROR(_xlfn._xlws.SORT(_xlfn.UNIQUE(_xlfn._xlws.FILTER(_xlfn.VSTACK('GECC 2026'!F2:F200,'GECC 2026'!AD3:AD32),_xlfn.VSTACK('GECC 2026'!F2:F200,'GECC 2026'!AD3:AD32)&lt;&gt;""))),"")</f>
        <v>0</v>
      </c>
      <c r="B5" s="26">
        <f ca="1">IF($A5="","",SUMIFS('GECC 2026'!H$2:H$200,'GECC 2026'!F$2:F$200,$A5))</f>
        <v>24</v>
      </c>
      <c r="C5" s="26">
        <f ca="1">IF($A5="","",SUMIFS('GECC 2026'!I$2:I$200,'GECC 2026'!F$2:F$200,$A5))</f>
        <v>7.2</v>
      </c>
      <c r="D5" s="101">
        <f ca="1">IF($A5="","",SUMIFS('GECC 2026'!$AE$3:$AE$32,'GECC 2026'!$AD$3:$AD$32,$A5))</f>
        <v>0</v>
      </c>
      <c r="E5" s="93">
        <f ca="1">IF($A5="","",SUMIFS('GECC 2026'!J$2:J$200,'GECC 2026'!F$2:F$200,$A5)+SUMIFS('GECC 2026'!$AE$3:$AE$32,'GECC 2026'!$AD$3:$AD$32,$A5))</f>
        <v>31.2</v>
      </c>
      <c r="F5" s="24">
        <f ca="1">IF($A5="","",COUNTIFS('GECC 2026'!F$2:F$200,$A5))</f>
        <v>6</v>
      </c>
      <c r="G5" s="24">
        <f ca="1">IF($A5="","",COUNTIFS('GECC 2026'!G$2:G$200,$A5))</f>
        <v>0</v>
      </c>
    </row>
    <row r="6" spans="1:7" x14ac:dyDescent="0.25">
      <c r="A6" t="str">
        <f ca="1"/>
        <v>Adriana Cuoco Portugal</v>
      </c>
      <c r="B6" s="26">
        <f ca="1">IF($A6="","",SUMIFS('GECC 2026'!H$2:H$200,'GECC 2026'!F$2:F$200,$A6))</f>
        <v>16</v>
      </c>
      <c r="C6" s="26">
        <f ca="1">IF($A6="","",SUMIFS('GECC 2026'!I$2:I$200,'GECC 2026'!F$2:F$200,$A6))</f>
        <v>4.8</v>
      </c>
      <c r="D6" s="101">
        <f ca="1">IF($A6="","",SUMIFS('GECC 2026'!$AE$3:$AE$32,'GECC 2026'!$AD$3:$AD$32,$A6))</f>
        <v>0</v>
      </c>
      <c r="E6" s="93">
        <f ca="1">IF($A6="","",SUMIFS('GECC 2026'!J$2:J$200,'GECC 2026'!F$2:F$200,$A6)+SUMIFS('GECC 2026'!$AE$3:$AE$32,'GECC 2026'!$AD$3:$AD$32,$A6))</f>
        <v>20.8</v>
      </c>
      <c r="F6" s="24">
        <f ca="1">IF($A6="","",COUNTIFS('GECC 2026'!F$2:F$200,$A6))</f>
        <v>4</v>
      </c>
    </row>
    <row r="7" spans="1:7" x14ac:dyDescent="0.25">
      <c r="A7" t="str">
        <f ca="1"/>
        <v>Adriana Magalhães</v>
      </c>
      <c r="B7" s="26">
        <f ca="1">IF($A7="","",SUMIFS('GECC 2026'!H$2:H$200,'GECC 2026'!F$2:F$200,$A7))</f>
        <v>24</v>
      </c>
      <c r="C7" s="26">
        <f ca="1">IF($A7="","",SUMIFS('GECC 2026'!I$2:I$200,'GECC 2026'!F$2:F$200,$A7))</f>
        <v>3.5999999999999996</v>
      </c>
      <c r="D7" s="101">
        <f ca="1">IF($A7="","",SUMIFS('GECC 2026'!$AE$3:$AE$32,'GECC 2026'!$AD$3:$AD$32,$A7))</f>
        <v>0</v>
      </c>
      <c r="E7" s="93">
        <f ca="1">IF($A7="","",SUMIFS('GECC 2026'!J$2:J$200,'GECC 2026'!F$2:F$200,$A7)+SUMIFS('GECC 2026'!$AE$3:$AE$32,'GECC 2026'!$AD$3:$AD$32,$A7))</f>
        <v>27.6</v>
      </c>
      <c r="F7" s="24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6">
        <f ca="1">IF($A8="","",SUMIFS('GECC 2026'!H$2:H$200,'GECC 2026'!F$2:F$200,$A8))</f>
        <v>0</v>
      </c>
      <c r="C8" s="26">
        <f ca="1">IF($A8="","",SUMIFS('GECC 2026'!I$2:I$200,'GECC 2026'!F$2:F$200,$A8))</f>
        <v>0</v>
      </c>
      <c r="D8" s="101">
        <f ca="1">IF($A8="","",SUMIFS('GECC 2026'!$AE$3:$AE$32,'GECC 2026'!$AD$3:$AD$32,$A8))</f>
        <v>0</v>
      </c>
      <c r="E8" s="93">
        <f ca="1">IF($A8="","",SUMIFS('GECC 2026'!J$2:J$200,'GECC 2026'!F$2:F$200,$A8)+SUMIFS('GECC 2026'!$AE$3:$AE$32,'GECC 2026'!$AD$3:$AD$32,$A8))</f>
        <v>0</v>
      </c>
      <c r="F8" s="24">
        <f ca="1">IF($A8="","",COUNTIFS('GECC 2026'!F$2:F$200,$A8))</f>
        <v>1</v>
      </c>
    </row>
    <row r="9" spans="1:7" x14ac:dyDescent="0.25">
      <c r="A9" t="str">
        <f ca="1"/>
        <v>Arthur Wú</v>
      </c>
      <c r="B9" s="26">
        <f ca="1">IF($A9="","",SUMIFS('GECC 2026'!H$2:H$200,'GECC 2026'!F$2:F$200,$A9))</f>
        <v>41</v>
      </c>
      <c r="C9" s="26">
        <f ca="1">IF($A9="","",SUMIFS('GECC 2026'!I$2:I$200,'GECC 2026'!F$2:F$200,$A9))</f>
        <v>12.6</v>
      </c>
      <c r="D9" s="101">
        <f ca="1">IF($A9="","",SUMIFS('GECC 2026'!$AE$3:$AE$32,'GECC 2026'!$AD$3:$AD$32,$A9))</f>
        <v>0</v>
      </c>
      <c r="E9" s="93">
        <f ca="1">IF($A9="","",SUMIFS('GECC 2026'!J$2:J$200,'GECC 2026'!F$2:F$200,$A9)+SUMIFS('GECC 2026'!$AE$3:$AE$32,'GECC 2026'!$AD$3:$AD$32,$A9))</f>
        <v>53.6</v>
      </c>
      <c r="F9" s="24">
        <f ca="1">IF($A9="","",COUNTIFS('GECC 2026'!F$2:F$200,$A9))</f>
        <v>6</v>
      </c>
    </row>
    <row r="10" spans="1:7" x14ac:dyDescent="0.25">
      <c r="A10" t="str">
        <f ca="1"/>
        <v>Carina de Souza Mariuba Herthel</v>
      </c>
      <c r="B10" s="26">
        <f ca="1">IF($A10="","",SUMIFS('GECC 2026'!H$2:H$200,'GECC 2026'!F$2:F$200,$A10))</f>
        <v>8</v>
      </c>
      <c r="C10" s="26">
        <f ca="1">IF($A10="","",SUMIFS('GECC 2026'!I$2:I$200,'GECC 2026'!F$2:F$200,$A10))</f>
        <v>2.4</v>
      </c>
      <c r="D10" s="101">
        <f ca="1">IF($A10="","",SUMIFS('GECC 2026'!$AE$3:$AE$32,'GECC 2026'!$AD$3:$AD$32,$A10))</f>
        <v>0</v>
      </c>
      <c r="E10" s="93">
        <f ca="1">IF($A10="","",SUMIFS('GECC 2026'!J$2:J$200,'GECC 2026'!F$2:F$200,$A10)+SUMIFS('GECC 2026'!$AE$3:$AE$32,'GECC 2026'!$AD$3:$AD$32,$A10))</f>
        <v>10.4</v>
      </c>
      <c r="F10" s="24">
        <f ca="1">IF($A10="","",COUNTIFS('GECC 2026'!F$2:F$200,$A10))</f>
        <v>1</v>
      </c>
    </row>
    <row r="11" spans="1:7" x14ac:dyDescent="0.25">
      <c r="A11" t="str">
        <f ca="1"/>
        <v>Carlos Antônio</v>
      </c>
      <c r="B11" s="26">
        <f ca="1">IF($A11="","",SUMIFS('GECC 2026'!H$2:H$200,'GECC 2026'!F$2:F$200,$A11))</f>
        <v>4</v>
      </c>
      <c r="C11" s="26">
        <f ca="1">IF($A11="","",SUMIFS('GECC 2026'!I$2:I$200,'GECC 2026'!F$2:F$200,$A11))</f>
        <v>1.2</v>
      </c>
      <c r="D11" s="101">
        <f ca="1">IF($A11="","",SUMIFS('GECC 2026'!$AE$3:$AE$32,'GECC 2026'!$AD$3:$AD$32,$A11))</f>
        <v>0</v>
      </c>
      <c r="E11" s="93">
        <f ca="1">IF($A11="","",SUMIFS('GECC 2026'!J$2:J$200,'GECC 2026'!F$2:F$200,$A11)+SUMIFS('GECC 2026'!$AE$3:$AE$32,'GECC 2026'!$AD$3:$AD$32,$A11))</f>
        <v>5.2</v>
      </c>
      <c r="F11" s="24">
        <f ca="1">IF($A11="","",COUNTIFS('GECC 2026'!F$2:F$200,$A11))</f>
        <v>1</v>
      </c>
    </row>
    <row r="12" spans="1:7" x14ac:dyDescent="0.25">
      <c r="A12" t="str">
        <f ca="1"/>
        <v>Carolina Pereira de Oliveira</v>
      </c>
      <c r="B12" s="26">
        <f ca="1">IF($A12="","",SUMIFS('GECC 2026'!H$2:H$200,'GECC 2026'!F$2:F$200,$A12))</f>
        <v>1</v>
      </c>
      <c r="C12" s="26">
        <f ca="1">IF($A12="","",SUMIFS('GECC 2026'!I$2:I$200,'GECC 2026'!F$2:F$200,$A12))</f>
        <v>0.3</v>
      </c>
      <c r="D12" s="101">
        <f ca="1">IF($A12="","",SUMIFS('GECC 2026'!$AE$3:$AE$32,'GECC 2026'!$AD$3:$AD$32,$A12))</f>
        <v>0</v>
      </c>
      <c r="E12" s="93">
        <f ca="1">IF($A12="","",SUMIFS('GECC 2026'!J$2:J$200,'GECC 2026'!F$2:F$200,$A12)+SUMIFS('GECC 2026'!$AE$3:$AE$32,'GECC 2026'!$AD$3:$AD$32,$A12))</f>
        <v>1.3</v>
      </c>
      <c r="F12" s="24">
        <f ca="1">IF($A12="","",COUNTIFS('GECC 2026'!F$2:F$200,$A12))</f>
        <v>1</v>
      </c>
    </row>
    <row r="13" spans="1:7" x14ac:dyDescent="0.25">
      <c r="A13" t="str">
        <f ca="1"/>
        <v>Cássio Murilo Alves Costa Filho</v>
      </c>
      <c r="B13" s="26">
        <f ca="1">IF($A13="","",SUMIFS('GECC 2026'!H$2:H$200,'GECC 2026'!F$2:F$200,$A13))</f>
        <v>16</v>
      </c>
      <c r="C13" s="26">
        <f ca="1">IF($A13="","",SUMIFS('GECC 2026'!I$2:I$200,'GECC 2026'!F$2:F$200,$A13))</f>
        <v>4.8</v>
      </c>
      <c r="D13" s="101">
        <f ca="1">IF($A13="","",SUMIFS('GECC 2026'!$AE$3:$AE$32,'GECC 2026'!$AD$3:$AD$32,$A13))</f>
        <v>16</v>
      </c>
      <c r="E13" s="93">
        <f ca="1">IF($A13="","",SUMIFS('GECC 2026'!J$2:J$200,'GECC 2026'!F$2:F$200,$A13)+SUMIFS('GECC 2026'!$AE$3:$AE$32,'GECC 2026'!$AD$3:$AD$32,$A13))</f>
        <v>36.799999999999997</v>
      </c>
      <c r="F13" s="24">
        <f ca="1">IF($A13="","",COUNTIFS('GECC 2026'!F$2:F$200,$A13))</f>
        <v>1</v>
      </c>
    </row>
    <row r="14" spans="1:7" x14ac:dyDescent="0.25">
      <c r="A14" t="str">
        <f ca="1"/>
        <v>Cinthia Thais de Carvalho Luz Thomazi</v>
      </c>
      <c r="B14" s="26">
        <f ca="1">IF($A14="","",SUMIFS('GECC 2026'!H$2:H$200,'GECC 2026'!F$2:F$200,$A14))</f>
        <v>39</v>
      </c>
      <c r="C14" s="26">
        <f ca="1">IF($A14="","",SUMIFS('GECC 2026'!I$2:I$200,'GECC 2026'!F$2:F$200,$A14))</f>
        <v>8.1</v>
      </c>
      <c r="D14" s="101">
        <f ca="1">IF($A14="","",SUMIFS('GECC 2026'!$AE$3:$AE$32,'GECC 2026'!$AD$3:$AD$32,$A14))</f>
        <v>0</v>
      </c>
      <c r="E14" s="93">
        <f ca="1">IF($A14="","",SUMIFS('GECC 2026'!J$2:J$200,'GECC 2026'!F$2:F$200,$A14)+SUMIFS('GECC 2026'!$AE$3:$AE$32,'GECC 2026'!$AD$3:$AD$32,$A14))</f>
        <v>47.100000000000009</v>
      </c>
      <c r="F14" s="24">
        <f ca="1">IF($A14="","",COUNTIFS('GECC 2026'!F$2:F$200,$A14))</f>
        <v>8</v>
      </c>
    </row>
    <row r="15" spans="1:7" x14ac:dyDescent="0.25">
      <c r="A15" t="str">
        <f ca="1"/>
        <v>Davi Assunção Salvador Nery de Castro</v>
      </c>
      <c r="B15" s="26">
        <f ca="1">IF($A15="","",SUMIFS('GECC 2026'!H$2:H$200,'GECC 2026'!F$2:F$200,$A15))</f>
        <v>12</v>
      </c>
      <c r="C15" s="26">
        <f ca="1">IF($A15="","",SUMIFS('GECC 2026'!I$2:I$200,'GECC 2026'!F$2:F$200,$A15))</f>
        <v>1.2</v>
      </c>
      <c r="D15" s="101">
        <f ca="1">IF($A15="","",SUMIFS('GECC 2026'!$AE$3:$AE$32,'GECC 2026'!$AD$3:$AD$32,$A15))</f>
        <v>0</v>
      </c>
      <c r="E15" s="93">
        <f ca="1">IF($A15="","",SUMIFS('GECC 2026'!J$2:J$200,'GECC 2026'!F$2:F$200,$A15)+SUMIFS('GECC 2026'!$AE$3:$AE$32,'GECC 2026'!$AD$3:$AD$32,$A15))</f>
        <v>13.2</v>
      </c>
      <c r="F15" s="24">
        <f ca="1">IF($A15="","",COUNTIFS('GECC 2026'!F$2:F$200,$A15))</f>
        <v>1</v>
      </c>
    </row>
    <row r="16" spans="1:7" x14ac:dyDescent="0.25">
      <c r="A16" t="str">
        <f ca="1"/>
        <v>David da Silva de Araújo</v>
      </c>
      <c r="B16" s="26">
        <f ca="1">IF($A16="","",SUMIFS('GECC 2026'!H$2:H$200,'GECC 2026'!F$2:F$200,$A16))</f>
        <v>12</v>
      </c>
      <c r="C16" s="26">
        <f ca="1">IF($A16="","",SUMIFS('GECC 2026'!I$2:I$200,'GECC 2026'!F$2:F$200,$A16))</f>
        <v>1.2</v>
      </c>
      <c r="D16" s="101">
        <f ca="1">IF($A16="","",SUMIFS('GECC 2026'!$AE$3:$AE$32,'GECC 2026'!$AD$3:$AD$32,$A16))</f>
        <v>0</v>
      </c>
      <c r="E16" s="93">
        <f ca="1">IF($A16="","",SUMIFS('GECC 2026'!J$2:J$200,'GECC 2026'!F$2:F$200,$A16)+SUMIFS('GECC 2026'!$AE$3:$AE$32,'GECC 2026'!$AD$3:$AD$32,$A16))</f>
        <v>13.2</v>
      </c>
      <c r="F16" s="24">
        <f ca="1">IF($A16="","",COUNTIFS('GECC 2026'!F$2:F$200,$A16))</f>
        <v>1</v>
      </c>
    </row>
    <row r="17" spans="1:6" x14ac:dyDescent="0.25">
      <c r="A17" t="str">
        <f ca="1"/>
        <v>Denise Duarte Guirra Kuhlmann</v>
      </c>
      <c r="B17" s="26">
        <f ca="1">IF($A17="","",SUMIFS('GECC 2026'!H$2:H$200,'GECC 2026'!F$2:F$200,$A17))</f>
        <v>12</v>
      </c>
      <c r="C17" s="26">
        <f ca="1">IF($A17="","",SUMIFS('GECC 2026'!I$2:I$200,'GECC 2026'!F$2:F$200,$A17))</f>
        <v>3.5999999999999996</v>
      </c>
      <c r="D17" s="101">
        <f ca="1">IF($A17="","",SUMIFS('GECC 2026'!$AE$3:$AE$32,'GECC 2026'!$AD$3:$AD$32,$A17))</f>
        <v>0</v>
      </c>
      <c r="E17" s="93">
        <f ca="1">IF($A17="","",SUMIFS('GECC 2026'!J$2:J$200,'GECC 2026'!F$2:F$200,$A17)+SUMIFS('GECC 2026'!$AE$3:$AE$32,'GECC 2026'!$AD$3:$AD$32,$A17))</f>
        <v>15.600000000000001</v>
      </c>
      <c r="F17" s="24">
        <f ca="1">IF($A17="","",COUNTIFS('GECC 2026'!F$2:F$200,$A17))</f>
        <v>3</v>
      </c>
    </row>
    <row r="18" spans="1:6" x14ac:dyDescent="0.25">
      <c r="A18" t="str">
        <f ca="1"/>
        <v>Diversos</v>
      </c>
      <c r="B18" s="26">
        <f ca="1">IF($A18="","",SUMIFS('GECC 2026'!H$2:H$200,'GECC 2026'!F$2:F$200,$A18))</f>
        <v>0</v>
      </c>
      <c r="C18" s="26">
        <f ca="1">IF($A18="","",SUMIFS('GECC 2026'!I$2:I$200,'GECC 2026'!F$2:F$200,$A18))</f>
        <v>0</v>
      </c>
      <c r="D18" s="101">
        <f ca="1">IF($A18="","",SUMIFS('GECC 2026'!$AE$3:$AE$32,'GECC 2026'!$AD$3:$AD$32,$A18))</f>
        <v>0</v>
      </c>
      <c r="E18" s="93">
        <f ca="1">IF($A18="","",SUMIFS('GECC 2026'!J$2:J$200,'GECC 2026'!F$2:F$200,$A18)+SUMIFS('GECC 2026'!$AE$3:$AE$32,'GECC 2026'!$AD$3:$AD$32,$A18))</f>
        <v>0</v>
      </c>
      <c r="F18" s="24">
        <f ca="1">IF($A18="","",COUNTIFS('GECC 2026'!F$2:F$200,$A18))</f>
        <v>2</v>
      </c>
    </row>
    <row r="19" spans="1:6" x14ac:dyDescent="0.25">
      <c r="A19" t="str">
        <f ca="1"/>
        <v>Douglas Vieira Silva Filho</v>
      </c>
      <c r="B19" s="26">
        <f ca="1">IF($A19="","",SUMIFS('GECC 2026'!H$2:H$200,'GECC 2026'!F$2:F$200,$A19))</f>
        <v>4</v>
      </c>
      <c r="C19" s="26">
        <f ca="1">IF($A19="","",SUMIFS('GECC 2026'!I$2:I$200,'GECC 2026'!F$2:F$200,$A19))</f>
        <v>1.2</v>
      </c>
      <c r="D19" s="101">
        <f ca="1">IF($A19="","",SUMIFS('GECC 2026'!$AE$3:$AE$32,'GECC 2026'!$AD$3:$AD$32,$A19))</f>
        <v>0</v>
      </c>
      <c r="E19" s="93">
        <f ca="1">IF($A19="","",SUMIFS('GECC 2026'!J$2:J$200,'GECC 2026'!F$2:F$200,$A19)+SUMIFS('GECC 2026'!$AE$3:$AE$32,'GECC 2026'!$AD$3:$AD$32,$A19))</f>
        <v>5.2</v>
      </c>
      <c r="F19" s="24">
        <f ca="1">IF($A19="","",COUNTIFS('GECC 2026'!F$2:F$200,$A19))</f>
        <v>1</v>
      </c>
    </row>
    <row r="20" spans="1:6" x14ac:dyDescent="0.25">
      <c r="A20" t="str">
        <f ca="1"/>
        <v>Elvis Aaron Teixeira dos Santos Lima</v>
      </c>
      <c r="B20" s="26">
        <f ca="1">IF($A20="","",SUMIFS('GECC 2026'!H$2:H$200,'GECC 2026'!F$2:F$200,$A20))</f>
        <v>0</v>
      </c>
      <c r="C20" s="26">
        <f ca="1">IF($A20="","",SUMIFS('GECC 2026'!I$2:I$200,'GECC 2026'!F$2:F$200,$A20))</f>
        <v>0</v>
      </c>
      <c r="D20" s="101">
        <f ca="1">IF($A20="","",SUMIFS('GECC 2026'!$AE$3:$AE$32,'GECC 2026'!$AD$3:$AD$32,$A20))</f>
        <v>0</v>
      </c>
      <c r="E20" s="93">
        <f ca="1">IF($A20="","",SUMIFS('GECC 2026'!J$2:J$200,'GECC 2026'!F$2:F$200,$A20)+SUMIFS('GECC 2026'!$AE$3:$AE$32,'GECC 2026'!$AD$3:$AD$32,$A20))</f>
        <v>0</v>
      </c>
      <c r="F20" s="24">
        <f ca="1">IF($A20="","",COUNTIFS('GECC 2026'!F$2:F$200,$A20))</f>
        <v>1</v>
      </c>
    </row>
    <row r="21" spans="1:6" x14ac:dyDescent="0.25">
      <c r="A21" t="str">
        <f ca="1"/>
        <v>Eustáquio Rabelo de Souza</v>
      </c>
      <c r="B21" s="26">
        <f ca="1">IF($A21="","",SUMIFS('GECC 2026'!H$2:H$200,'GECC 2026'!F$2:F$200,$A21))</f>
        <v>0</v>
      </c>
      <c r="C21" s="26">
        <f ca="1">IF($A21="","",SUMIFS('GECC 2026'!I$2:I$200,'GECC 2026'!F$2:F$200,$A21))</f>
        <v>0</v>
      </c>
      <c r="D21" s="101">
        <f ca="1">IF($A21="","",SUMIFS('GECC 2026'!$AE$3:$AE$32,'GECC 2026'!$AD$3:$AD$32,$A21))</f>
        <v>0</v>
      </c>
      <c r="E21" s="93">
        <f ca="1">IF($A21="","",SUMIFS('GECC 2026'!J$2:J$200,'GECC 2026'!F$2:F$200,$A21)+SUMIFS('GECC 2026'!$AE$3:$AE$32,'GECC 2026'!$AD$3:$AD$32,$A21))</f>
        <v>0</v>
      </c>
      <c r="F21" s="24">
        <f ca="1">IF($A21="","",COUNTIFS('GECC 2026'!F$2:F$200,$A21))</f>
        <v>1</v>
      </c>
    </row>
    <row r="22" spans="1:6" x14ac:dyDescent="0.25">
      <c r="A22" t="str">
        <f ca="1"/>
        <v>Felipe da Costa Malaquias</v>
      </c>
      <c r="B22" s="26">
        <f ca="1">IF($A22="","",SUMIFS('GECC 2026'!H$2:H$200,'GECC 2026'!F$2:F$200,$A22))</f>
        <v>16</v>
      </c>
      <c r="C22" s="26">
        <f ca="1">IF($A22="","",SUMIFS('GECC 2026'!I$2:I$200,'GECC 2026'!F$2:F$200,$A22))</f>
        <v>24.099999999999998</v>
      </c>
      <c r="D22" s="101">
        <f ca="1">IF($A22="","",SUMIFS('GECC 2026'!$AE$3:$AE$32,'GECC 2026'!$AD$3:$AD$32,$A22))</f>
        <v>0</v>
      </c>
      <c r="E22" s="93">
        <f ca="1">IF($A22="","",SUMIFS('GECC 2026'!J$2:J$200,'GECC 2026'!F$2:F$200,$A22)+SUMIFS('GECC 2026'!$AE$3:$AE$32,'GECC 2026'!$AD$3:$AD$32,$A22))</f>
        <v>40.1</v>
      </c>
      <c r="F22" s="24">
        <f ca="1">IF($A22="","",COUNTIFS('GECC 2026'!F$2:F$200,$A22))</f>
        <v>3</v>
      </c>
    </row>
    <row r="23" spans="1:6" x14ac:dyDescent="0.25">
      <c r="A23" t="str">
        <f ca="1"/>
        <v>Felipe Ramos Barbosa</v>
      </c>
      <c r="B23" s="26">
        <f ca="1">IF($A23="","",SUMIFS('GECC 2026'!H$2:H$200,'GECC 2026'!F$2:F$200,$A23))</f>
        <v>1</v>
      </c>
      <c r="C23" s="26">
        <f ca="1">IF($A23="","",SUMIFS('GECC 2026'!I$2:I$200,'GECC 2026'!F$2:F$200,$A23))</f>
        <v>0.3</v>
      </c>
      <c r="D23" s="101">
        <f ca="1">IF($A23="","",SUMIFS('GECC 2026'!$AE$3:$AE$32,'GECC 2026'!$AD$3:$AD$32,$A23))</f>
        <v>0</v>
      </c>
      <c r="E23" s="93">
        <f ca="1">IF($A23="","",SUMIFS('GECC 2026'!J$2:J$200,'GECC 2026'!F$2:F$200,$A23)+SUMIFS('GECC 2026'!$AE$3:$AE$32,'GECC 2026'!$AD$3:$AD$32,$A23))</f>
        <v>1.3</v>
      </c>
      <c r="F23" s="24">
        <f ca="1">IF($A23="","",COUNTIFS('GECC 2026'!F$2:F$200,$A23))</f>
        <v>1</v>
      </c>
    </row>
    <row r="24" spans="1:6" x14ac:dyDescent="0.25">
      <c r="A24" t="str">
        <f ca="1"/>
        <v>Fernanda Viana de Souza</v>
      </c>
      <c r="B24" s="26">
        <f ca="1">IF($A24="","",SUMIFS('GECC 2026'!H$2:H$200,'GECC 2026'!F$2:F$200,$A24))</f>
        <v>21</v>
      </c>
      <c r="C24" s="26">
        <f ca="1">IF($A24="","",SUMIFS('GECC 2026'!I$2:I$200,'GECC 2026'!F$2:F$200,$A24))</f>
        <v>6.3000000000000007</v>
      </c>
      <c r="D24" s="101">
        <f ca="1">IF($A24="","",SUMIFS('GECC 2026'!$AE$3:$AE$32,'GECC 2026'!$AD$3:$AD$32,$A24))</f>
        <v>0</v>
      </c>
      <c r="E24" s="93">
        <f ca="1">IF($A24="","",SUMIFS('GECC 2026'!J$2:J$200,'GECC 2026'!F$2:F$200,$A24)+SUMIFS('GECC 2026'!$AE$3:$AE$32,'GECC 2026'!$AD$3:$AD$32,$A24))</f>
        <v>27.299999999999997</v>
      </c>
      <c r="F24" s="24">
        <f ca="1">IF($A24="","",COUNTIFS('GECC 2026'!F$2:F$200,$A24))</f>
        <v>6</v>
      </c>
    </row>
    <row r="25" spans="1:6" x14ac:dyDescent="0.25">
      <c r="A25" t="str">
        <f ca="1"/>
        <v>Flávio José Fonseca de Souza</v>
      </c>
      <c r="B25" s="26">
        <f ca="1">IF($A25="","",SUMIFS('GECC 2026'!H$2:H$200,'GECC 2026'!F$2:F$200,$A25))</f>
        <v>8</v>
      </c>
      <c r="C25" s="26">
        <f ca="1">IF($A25="","",SUMIFS('GECC 2026'!I$2:I$200,'GECC 2026'!F$2:F$200,$A25))</f>
        <v>2.4</v>
      </c>
      <c r="D25" s="101">
        <f ca="1">IF($A25="","",SUMIFS('GECC 2026'!$AE$3:$AE$32,'GECC 2026'!$AD$3:$AD$32,$A25))</f>
        <v>0</v>
      </c>
      <c r="E25" s="93">
        <f ca="1">IF($A25="","",SUMIFS('GECC 2026'!J$2:J$200,'GECC 2026'!F$2:F$200,$A25)+SUMIFS('GECC 2026'!$AE$3:$AE$32,'GECC 2026'!$AD$3:$AD$32,$A25))</f>
        <v>10.4</v>
      </c>
      <c r="F25" s="24">
        <f ca="1">IF($A25="","",COUNTIFS('GECC 2026'!F$2:F$200,$A25))</f>
        <v>1</v>
      </c>
    </row>
    <row r="26" spans="1:6" x14ac:dyDescent="0.25">
      <c r="A26" t="str">
        <f ca="1"/>
        <v>Gabriel Heller</v>
      </c>
      <c r="B26" s="26">
        <f ca="1">IF($A26="","",SUMIFS('GECC 2026'!H$2:H$200,'GECC 2026'!F$2:F$200,$A26))</f>
        <v>4</v>
      </c>
      <c r="C26" s="26">
        <f ca="1">IF($A26="","",SUMIFS('GECC 2026'!I$2:I$200,'GECC 2026'!F$2:F$200,$A26))</f>
        <v>33.200000000000003</v>
      </c>
      <c r="D26" s="101">
        <f ca="1">IF($A26="","",SUMIFS('GECC 2026'!$AE$3:$AE$32,'GECC 2026'!$AD$3:$AD$32,$A26))</f>
        <v>0</v>
      </c>
      <c r="E26" s="93">
        <f ca="1">IF($A26="","",SUMIFS('GECC 2026'!J$2:J$200,'GECC 2026'!F$2:F$200,$A26)+SUMIFS('GECC 2026'!$AE$3:$AE$32,'GECC 2026'!$AD$3:$AD$32,$A26))</f>
        <v>37.200000000000003</v>
      </c>
      <c r="F26" s="24">
        <f ca="1">IF($A26="","",COUNTIFS('GECC 2026'!F$2:F$200,$A26))</f>
        <v>3</v>
      </c>
    </row>
    <row r="27" spans="1:6" x14ac:dyDescent="0.25">
      <c r="A27" t="str">
        <f ca="1"/>
        <v>Guilherme Bride Fernandes</v>
      </c>
      <c r="B27" s="26">
        <f ca="1">IF($A27="","",SUMIFS('GECC 2026'!H$2:H$200,'GECC 2026'!F$2:F$200,$A27))</f>
        <v>0</v>
      </c>
      <c r="C27" s="26">
        <f ca="1">IF($A27="","",SUMIFS('GECC 2026'!I$2:I$200,'GECC 2026'!F$2:F$200,$A27))</f>
        <v>0</v>
      </c>
      <c r="D27" s="101">
        <f ca="1">IF($A27="","",SUMIFS('GECC 2026'!$AE$3:$AE$32,'GECC 2026'!$AD$3:$AD$32,$A27))</f>
        <v>0</v>
      </c>
      <c r="E27" s="93">
        <f ca="1">IF($A27="","",SUMIFS('GECC 2026'!J$2:J$200,'GECC 2026'!F$2:F$200,$A27)+SUMIFS('GECC 2026'!$AE$3:$AE$32,'GECC 2026'!$AD$3:$AD$32,$A27))</f>
        <v>0</v>
      </c>
      <c r="F27" s="24">
        <f ca="1">IF($A27="","",COUNTIFS('GECC 2026'!F$2:F$200,$A27))</f>
        <v>1</v>
      </c>
    </row>
    <row r="28" spans="1:6" x14ac:dyDescent="0.25">
      <c r="A28" t="str">
        <f ca="1"/>
        <v>Gustavo Takahashi</v>
      </c>
      <c r="B28" s="26">
        <f ca="1">IF($A28="","",SUMIFS('GECC 2026'!H$2:H$200,'GECC 2026'!F$2:F$200,$A28))</f>
        <v>33</v>
      </c>
      <c r="C28" s="26">
        <f ca="1">IF($A28="","",SUMIFS('GECC 2026'!I$2:I$200,'GECC 2026'!F$2:F$200,$A28))</f>
        <v>0</v>
      </c>
      <c r="D28" s="101">
        <f ca="1">IF($A28="","",SUMIFS('GECC 2026'!$AE$3:$AE$32,'GECC 2026'!$AD$3:$AD$32,$A28))</f>
        <v>0</v>
      </c>
      <c r="E28" s="93">
        <f ca="1">IF($A28="","",SUMIFS('GECC 2026'!J$2:J$200,'GECC 2026'!F$2:F$200,$A28)+SUMIFS('GECC 2026'!$AE$3:$AE$32,'GECC 2026'!$AD$3:$AD$32,$A28))</f>
        <v>33</v>
      </c>
      <c r="F28" s="24">
        <f ca="1">IF($A28="","",COUNTIFS('GECC 2026'!F$2:F$200,$A28))</f>
        <v>5</v>
      </c>
    </row>
    <row r="29" spans="1:6" x14ac:dyDescent="0.25">
      <c r="A29" t="str">
        <f ca="1"/>
        <v>Hamilton de Jesus Lopes Neto</v>
      </c>
      <c r="B29" s="26">
        <f ca="1">IF($A29="","",SUMIFS('GECC 2026'!H$2:H$200,'GECC 2026'!F$2:F$200,$A29))</f>
        <v>12</v>
      </c>
      <c r="C29" s="26">
        <f ca="1">IF($A29="","",SUMIFS('GECC 2026'!I$2:I$200,'GECC 2026'!F$2:F$200,$A29))</f>
        <v>1.2</v>
      </c>
      <c r="D29" s="101">
        <f ca="1">IF($A29="","",SUMIFS('GECC 2026'!$AE$3:$AE$32,'GECC 2026'!$AD$3:$AD$32,$A29))</f>
        <v>0</v>
      </c>
      <c r="E29" s="93">
        <f ca="1">IF($A29="","",SUMIFS('GECC 2026'!J$2:J$200,'GECC 2026'!F$2:F$200,$A29)+SUMIFS('GECC 2026'!$AE$3:$AE$32,'GECC 2026'!$AD$3:$AD$32,$A29))</f>
        <v>13.2</v>
      </c>
      <c r="F29" s="24">
        <f ca="1">IF($A29="","",COUNTIFS('GECC 2026'!F$2:F$200,$A29))</f>
        <v>1</v>
      </c>
    </row>
    <row r="30" spans="1:6" x14ac:dyDescent="0.25">
      <c r="A30" t="str">
        <f ca="1"/>
        <v>Igor Queiroz</v>
      </c>
      <c r="B30" s="26">
        <f ca="1">IF($A30="","",SUMIFS('GECC 2026'!H$2:H$200,'GECC 2026'!F$2:F$200,$A30))</f>
        <v>1</v>
      </c>
      <c r="C30" s="26">
        <f ca="1">IF($A30="","",SUMIFS('GECC 2026'!I$2:I$200,'GECC 2026'!F$2:F$200,$A30))</f>
        <v>0.3</v>
      </c>
      <c r="D30" s="101">
        <f ca="1">IF($A30="","",SUMIFS('GECC 2026'!$AE$3:$AE$32,'GECC 2026'!$AD$3:$AD$32,$A30))</f>
        <v>0</v>
      </c>
      <c r="E30" s="93">
        <f ca="1">IF($A30="","",SUMIFS('GECC 2026'!J$2:J$200,'GECC 2026'!F$2:F$200,$A30)+SUMIFS('GECC 2026'!$AE$3:$AE$32,'GECC 2026'!$AD$3:$AD$32,$A30))</f>
        <v>1.3</v>
      </c>
      <c r="F30" s="24">
        <f ca="1">IF($A30="","",COUNTIFS('GECC 2026'!F$2:F$200,$A30))</f>
        <v>1</v>
      </c>
    </row>
    <row r="31" spans="1:6" x14ac:dyDescent="0.25">
      <c r="A31" t="str">
        <f ca="1"/>
        <v>Indio Artiaga do Brasil Rabelo</v>
      </c>
      <c r="B31" s="26">
        <f ca="1">IF($A31="","",SUMIFS('GECC 2026'!H$2:H$200,'GECC 2026'!F$2:F$200,$A31))</f>
        <v>16</v>
      </c>
      <c r="C31" s="26">
        <f ca="1">IF($A31="","",SUMIFS('GECC 2026'!I$2:I$200,'GECC 2026'!F$2:F$200,$A31))</f>
        <v>4.8</v>
      </c>
      <c r="D31" s="101">
        <f ca="1">IF($A31="","",SUMIFS('GECC 2026'!$AE$3:$AE$32,'GECC 2026'!$AD$3:$AD$32,$A31))</f>
        <v>0</v>
      </c>
      <c r="E31" s="93">
        <f ca="1">IF($A31="","",SUMIFS('GECC 2026'!J$2:J$200,'GECC 2026'!F$2:F$200,$A31)+SUMIFS('GECC 2026'!$AE$3:$AE$32,'GECC 2026'!$AD$3:$AD$32,$A31))</f>
        <v>20.8</v>
      </c>
      <c r="F31" s="24">
        <f ca="1">IF($A31="","",COUNTIFS('GECC 2026'!F$2:F$200,$A31))</f>
        <v>2</v>
      </c>
    </row>
    <row r="32" spans="1:6" x14ac:dyDescent="0.25">
      <c r="A32" t="str">
        <f ca="1"/>
        <v>Isac Mendes Caixeta de Pamplona Araújo</v>
      </c>
      <c r="B32" s="26">
        <f ca="1">IF($A32="","",SUMIFS('GECC 2026'!H$2:H$200,'GECC 2026'!F$2:F$200,$A32))</f>
        <v>2</v>
      </c>
      <c r="C32" s="26">
        <f ca="1">IF($A32="","",SUMIFS('GECC 2026'!I$2:I$200,'GECC 2026'!F$2:F$200,$A32))</f>
        <v>0.6</v>
      </c>
      <c r="D32" s="101">
        <f ca="1">IF($A32="","",SUMIFS('GECC 2026'!$AE$3:$AE$32,'GECC 2026'!$AD$3:$AD$32,$A32))</f>
        <v>0</v>
      </c>
      <c r="E32" s="93">
        <f ca="1">IF($A32="","",SUMIFS('GECC 2026'!J$2:J$200,'GECC 2026'!F$2:F$200,$A32)+SUMIFS('GECC 2026'!$AE$3:$AE$32,'GECC 2026'!$AD$3:$AD$32,$A32))</f>
        <v>2.6</v>
      </c>
      <c r="F32" s="24">
        <f ca="1">IF($A32="","",COUNTIFS('GECC 2026'!F$2:F$200,$A32))</f>
        <v>2</v>
      </c>
    </row>
    <row r="33" spans="1:6" x14ac:dyDescent="0.25">
      <c r="A33" t="str">
        <f ca="1"/>
        <v>Jamile Medeiros Fon</v>
      </c>
      <c r="B33" s="26">
        <f ca="1">IF($A33="","",SUMIFS('GECC 2026'!H$2:H$200,'GECC 2026'!F$2:F$200,$A33))</f>
        <v>4</v>
      </c>
      <c r="C33" s="26">
        <f ca="1">IF($A33="","",SUMIFS('GECC 2026'!I$2:I$200,'GECC 2026'!F$2:F$200,$A33))</f>
        <v>1.2</v>
      </c>
      <c r="D33" s="101">
        <f ca="1">IF($A33="","",SUMIFS('GECC 2026'!$AE$3:$AE$32,'GECC 2026'!$AD$3:$AD$32,$A33))</f>
        <v>0</v>
      </c>
      <c r="E33" s="93">
        <f ca="1">IF($A33="","",SUMIFS('GECC 2026'!J$2:J$200,'GECC 2026'!F$2:F$200,$A33)+SUMIFS('GECC 2026'!$AE$3:$AE$32,'GECC 2026'!$AD$3:$AD$32,$A33))</f>
        <v>5.2</v>
      </c>
      <c r="F33" s="24">
        <f ca="1">IF($A33="","",COUNTIFS('GECC 2026'!F$2:F$200,$A33))</f>
        <v>1</v>
      </c>
    </row>
    <row r="34" spans="1:6" x14ac:dyDescent="0.25">
      <c r="A34" t="str">
        <f ca="1"/>
        <v>Josdeyvi Magalhães Russi</v>
      </c>
      <c r="B34" s="26">
        <f ca="1">IF($A34="","",SUMIFS('GECC 2026'!H$2:H$200,'GECC 2026'!F$2:F$200,$A34))</f>
        <v>9</v>
      </c>
      <c r="C34" s="26">
        <f ca="1">IF($A34="","",SUMIFS('GECC 2026'!I$2:I$200,'GECC 2026'!F$2:F$200,$A34))</f>
        <v>2.6999999999999997</v>
      </c>
      <c r="D34" s="101">
        <f ca="1">IF($A34="","",SUMIFS('GECC 2026'!$AE$3:$AE$32,'GECC 2026'!$AD$3:$AD$32,$A34))</f>
        <v>0</v>
      </c>
      <c r="E34" s="93">
        <f ca="1">IF($A34="","",SUMIFS('GECC 2026'!J$2:J$200,'GECC 2026'!F$2:F$200,$A34)+SUMIFS('GECC 2026'!$AE$3:$AE$32,'GECC 2026'!$AD$3:$AD$32,$A34))</f>
        <v>11.7</v>
      </c>
      <c r="F34" s="24">
        <f ca="1">IF($A34="","",COUNTIFS('GECC 2026'!F$2:F$200,$A34))</f>
        <v>1</v>
      </c>
    </row>
    <row r="35" spans="1:6" x14ac:dyDescent="0.25">
      <c r="A35" t="str">
        <f ca="1"/>
        <v>José Roberto Alcuri Júnior</v>
      </c>
      <c r="B35" s="26">
        <f ca="1">IF($A35="","",SUMIFS('GECC 2026'!H$2:H$200,'GECC 2026'!F$2:F$200,$A35))</f>
        <v>1</v>
      </c>
      <c r="C35" s="26">
        <f ca="1">IF($A35="","",SUMIFS('GECC 2026'!I$2:I$200,'GECC 2026'!F$2:F$200,$A35))</f>
        <v>0.3</v>
      </c>
      <c r="D35" s="101">
        <f ca="1">IF($A35="","",SUMIFS('GECC 2026'!$AE$3:$AE$32,'GECC 2026'!$AD$3:$AD$32,$A35))</f>
        <v>0</v>
      </c>
      <c r="E35" s="93">
        <f ca="1">IF($A35="","",SUMIFS('GECC 2026'!J$2:J$200,'GECC 2026'!F$2:F$200,$A35)+SUMIFS('GECC 2026'!$AE$3:$AE$32,'GECC 2026'!$AD$3:$AD$32,$A35))</f>
        <v>1.3</v>
      </c>
      <c r="F35" s="24">
        <f ca="1">IF($A35="","",COUNTIFS('GECC 2026'!F$2:F$200,$A35))</f>
        <v>2</v>
      </c>
    </row>
    <row r="36" spans="1:6" x14ac:dyDescent="0.25">
      <c r="A36" t="str">
        <f ca="1"/>
        <v>Leonardo de Melo</v>
      </c>
      <c r="B36" s="26">
        <f ca="1">IF($A36="","",SUMIFS('GECC 2026'!H$2:H$200,'GECC 2026'!F$2:F$200,$A36))</f>
        <v>0</v>
      </c>
      <c r="C36" s="26">
        <f ca="1">IF($A36="","",SUMIFS('GECC 2026'!I$2:I$200,'GECC 2026'!F$2:F$200,$A36))</f>
        <v>0</v>
      </c>
      <c r="D36" s="101">
        <f ca="1">IF($A36="","",SUMIFS('GECC 2026'!$AE$3:$AE$32,'GECC 2026'!$AD$3:$AD$32,$A36))</f>
        <v>0</v>
      </c>
      <c r="E36" s="93">
        <f ca="1">IF($A36="","",SUMIFS('GECC 2026'!J$2:J$200,'GECC 2026'!F$2:F$200,$A36)+SUMIFS('GECC 2026'!$AE$3:$AE$32,'GECC 2026'!$AD$3:$AD$32,$A36))</f>
        <v>0</v>
      </c>
      <c r="F36" s="24">
        <f ca="1">IF($A36="","",COUNTIFS('GECC 2026'!F$2:F$200,$A36))</f>
        <v>2</v>
      </c>
    </row>
    <row r="37" spans="1:6" x14ac:dyDescent="0.25">
      <c r="A37" t="str">
        <f ca="1"/>
        <v>Leonardo José Alves Leal Neri</v>
      </c>
      <c r="B37" s="26">
        <f ca="1">IF($A37="","",SUMIFS('GECC 2026'!H$2:H$200,'GECC 2026'!F$2:F$200,$A37))</f>
        <v>40</v>
      </c>
      <c r="C37" s="26">
        <f ca="1">IF($A37="","",SUMIFS('GECC 2026'!I$2:I$200,'GECC 2026'!F$2:F$200,$A37))</f>
        <v>12</v>
      </c>
      <c r="D37" s="101">
        <f ca="1">IF($A37="","",SUMIFS('GECC 2026'!$AE$3:$AE$32,'GECC 2026'!$AD$3:$AD$32,$A37))</f>
        <v>0</v>
      </c>
      <c r="E37" s="93">
        <f ca="1">IF($A37="","",SUMIFS('GECC 2026'!J$2:J$200,'GECC 2026'!F$2:F$200,$A37)+SUMIFS('GECC 2026'!$AE$3:$AE$32,'GECC 2026'!$AD$3:$AD$32,$A37))</f>
        <v>52</v>
      </c>
      <c r="F37" s="24">
        <f ca="1">IF($A37="","",COUNTIFS('GECC 2026'!F$2:F$200,$A37))</f>
        <v>2</v>
      </c>
    </row>
    <row r="38" spans="1:6" x14ac:dyDescent="0.25">
      <c r="A38" t="str">
        <f ca="1"/>
        <v>Luciana Alvim</v>
      </c>
      <c r="B38" s="26">
        <f ca="1">IF($A38="","",SUMIFS('GECC 2026'!H$2:H$200,'GECC 2026'!F$2:F$200,$A38))</f>
        <v>72</v>
      </c>
      <c r="C38" s="26">
        <f ca="1">IF($A38="","",SUMIFS('GECC 2026'!I$2:I$200,'GECC 2026'!F$2:F$200,$A38))</f>
        <v>77.599999999999994</v>
      </c>
      <c r="D38" s="101">
        <f ca="1">IF($A38="","",SUMIFS('GECC 2026'!$AE$3:$AE$32,'GECC 2026'!$AD$3:$AD$32,$A38))</f>
        <v>0</v>
      </c>
      <c r="E38" s="93">
        <f ca="1">IF($A38="","",SUMIFS('GECC 2026'!J$2:J$200,'GECC 2026'!F$2:F$200,$A38)+SUMIFS('GECC 2026'!$AE$3:$AE$32,'GECC 2026'!$AD$3:$AD$32,$A38))</f>
        <v>149.6</v>
      </c>
      <c r="F38" s="24">
        <f ca="1">IF($A38="","",COUNTIFS('GECC 2026'!F$2:F$200,$A38))</f>
        <v>7</v>
      </c>
    </row>
    <row r="39" spans="1:6" x14ac:dyDescent="0.25">
      <c r="A39" t="str">
        <f ca="1"/>
        <v>Marcelo Bálbio Moraes</v>
      </c>
      <c r="B39" s="26">
        <f ca="1">IF($A39="","",SUMIFS('GECC 2026'!H$2:H$200,'GECC 2026'!F$2:F$200,$A39))</f>
        <v>0</v>
      </c>
      <c r="C39" s="26">
        <f ca="1">IF($A39="","",SUMIFS('GECC 2026'!I$2:I$200,'GECC 2026'!F$2:F$200,$A39))</f>
        <v>0</v>
      </c>
      <c r="D39" s="101">
        <f ca="1">IF($A39="","",SUMIFS('GECC 2026'!$AE$3:$AE$32,'GECC 2026'!$AD$3:$AD$32,$A39))</f>
        <v>16</v>
      </c>
      <c r="E39" s="93">
        <f ca="1">IF($A39="","",SUMIFS('GECC 2026'!J$2:J$200,'GECC 2026'!F$2:F$200,$A39)+SUMIFS('GECC 2026'!$AE$3:$AE$32,'GECC 2026'!$AD$3:$AD$32,$A39))</f>
        <v>16</v>
      </c>
      <c r="F39" s="24">
        <f ca="1">IF($A39="","",COUNTIFS('GECC 2026'!F$2:F$200,$A39))</f>
        <v>0</v>
      </c>
    </row>
    <row r="40" spans="1:6" x14ac:dyDescent="0.25">
      <c r="A40" t="str">
        <f ca="1"/>
        <v>Marcelo Silva Santana</v>
      </c>
      <c r="B40" s="26">
        <f ca="1">IF($A40="","",SUMIFS('GECC 2026'!H$2:H$200,'GECC 2026'!F$2:F$200,$A40))</f>
        <v>12</v>
      </c>
      <c r="C40" s="26">
        <f ca="1">IF($A40="","",SUMIFS('GECC 2026'!I$2:I$200,'GECC 2026'!F$2:F$200,$A40))</f>
        <v>1.44</v>
      </c>
      <c r="D40" s="101">
        <f ca="1">IF($A40="","",SUMIFS('GECC 2026'!$AE$3:$AE$32,'GECC 2026'!$AD$3:$AD$32,$A40))</f>
        <v>0</v>
      </c>
      <c r="E40" s="93">
        <f ca="1">IF($A40="","",SUMIFS('GECC 2026'!J$2:J$200,'GECC 2026'!F$2:F$200,$A40)+SUMIFS('GECC 2026'!$AE$3:$AE$32,'GECC 2026'!$AD$3:$AD$32,$A40))</f>
        <v>13.440000000000001</v>
      </c>
      <c r="F40" s="24">
        <f ca="1">IF($A40="","",COUNTIFS('GECC 2026'!F$2:F$200,$A40))</f>
        <v>2</v>
      </c>
    </row>
    <row r="41" spans="1:6" x14ac:dyDescent="0.25">
      <c r="A41" t="str">
        <f ca="1"/>
        <v>Mauri Siqueira Montessi</v>
      </c>
      <c r="B41" s="26">
        <f ca="1">IF($A41="","",SUMIFS('GECC 2026'!H$2:H$200,'GECC 2026'!F$2:F$200,$A41))</f>
        <v>0</v>
      </c>
      <c r="C41" s="26">
        <f ca="1">IF($A41="","",SUMIFS('GECC 2026'!I$2:I$200,'GECC 2026'!F$2:F$200,$A41))</f>
        <v>0</v>
      </c>
      <c r="D41" s="101">
        <f ca="1">IF($A41="","",SUMIFS('GECC 2026'!$AE$3:$AE$32,'GECC 2026'!$AD$3:$AD$32,$A41))</f>
        <v>16</v>
      </c>
      <c r="E41" s="93">
        <f ca="1">IF($A41="","",SUMIFS('GECC 2026'!J$2:J$200,'GECC 2026'!F$2:F$200,$A41)+SUMIFS('GECC 2026'!$AE$3:$AE$32,'GECC 2026'!$AD$3:$AD$32,$A41))</f>
        <v>16</v>
      </c>
      <c r="F41" s="24">
        <f ca="1">IF($A41="","",COUNTIFS('GECC 2026'!F$2:F$200,$A41))</f>
        <v>0</v>
      </c>
    </row>
    <row r="42" spans="1:6" x14ac:dyDescent="0.25">
      <c r="A42" t="str">
        <f ca="1"/>
        <v>Michel Martins de Morais</v>
      </c>
      <c r="B42" s="26">
        <f ca="1">IF($A42="","",SUMIFS('GECC 2026'!H$2:H$200,'GECC 2026'!F$2:F$200,$A42))</f>
        <v>0</v>
      </c>
      <c r="C42" s="26">
        <f ca="1">IF($A42="","",SUMIFS('GECC 2026'!I$2:I$200,'GECC 2026'!F$2:F$200,$A42))</f>
        <v>0</v>
      </c>
      <c r="D42" s="101">
        <f ca="1">IF($A42="","",SUMIFS('GECC 2026'!$AE$3:$AE$32,'GECC 2026'!$AD$3:$AD$32,$A42))</f>
        <v>16</v>
      </c>
      <c r="E42" s="93">
        <f ca="1">IF($A42="","",SUMIFS('GECC 2026'!J$2:J$200,'GECC 2026'!F$2:F$200,$A42)+SUMIFS('GECC 2026'!$AE$3:$AE$32,'GECC 2026'!$AD$3:$AD$32,$A42))</f>
        <v>16</v>
      </c>
      <c r="F42" s="24">
        <f ca="1">IF($A42="","",COUNTIFS('GECC 2026'!F$2:F$200,$A42))</f>
        <v>0</v>
      </c>
    </row>
    <row r="43" spans="1:6" x14ac:dyDescent="0.25">
      <c r="A43" t="str">
        <f ca="1"/>
        <v>Paulo José Góes Daltro</v>
      </c>
      <c r="B43" s="26">
        <f ca="1">IF($A43="","",SUMIFS('GECC 2026'!H$2:H$200,'GECC 2026'!F$2:F$200,$A43))</f>
        <v>0</v>
      </c>
      <c r="C43" s="26">
        <f ca="1">IF($A43="","",SUMIFS('GECC 2026'!I$2:I$200,'GECC 2026'!F$2:F$200,$A43))</f>
        <v>0</v>
      </c>
      <c r="D43" s="101">
        <f ca="1">IF($A43="","",SUMIFS('GECC 2026'!$AE$3:$AE$32,'GECC 2026'!$AD$3:$AD$32,$A43))</f>
        <v>0</v>
      </c>
      <c r="E43" s="93">
        <f ca="1">IF($A43="","",SUMIFS('GECC 2026'!J$2:J$200,'GECC 2026'!F$2:F$200,$A43)+SUMIFS('GECC 2026'!$AE$3:$AE$32,'GECC 2026'!$AD$3:$AD$32,$A43))</f>
        <v>0</v>
      </c>
      <c r="F43" s="24">
        <f ca="1">IF($A43="","",COUNTIFS('GECC 2026'!F$2:F$200,$A43))</f>
        <v>2</v>
      </c>
    </row>
    <row r="44" spans="1:6" x14ac:dyDescent="0.25">
      <c r="A44" t="str">
        <f ca="1"/>
        <v>Priscila Nolasco de Oliveira</v>
      </c>
      <c r="B44" s="26">
        <f ca="1">IF($A44="","",SUMIFS('GECC 2026'!H$2:H$200,'GECC 2026'!F$2:F$200,$A44))</f>
        <v>12</v>
      </c>
      <c r="C44" s="26">
        <f ca="1">IF($A44="","",SUMIFS('GECC 2026'!I$2:I$200,'GECC 2026'!F$2:F$200,$A44))</f>
        <v>3.5999999999999996</v>
      </c>
      <c r="D44" s="101">
        <f ca="1">IF($A44="","",SUMIFS('GECC 2026'!$AE$3:$AE$32,'GECC 2026'!$AD$3:$AD$32,$A44))</f>
        <v>0</v>
      </c>
      <c r="E44" s="93">
        <f ca="1">IF($A44="","",SUMIFS('GECC 2026'!J$2:J$200,'GECC 2026'!F$2:F$200,$A44)+SUMIFS('GECC 2026'!$AE$3:$AE$32,'GECC 2026'!$AD$3:$AD$32,$A44))</f>
        <v>15.600000000000001</v>
      </c>
      <c r="F44" s="24">
        <f ca="1">IF($A44="","",COUNTIFS('GECC 2026'!F$2:F$200,$A44))</f>
        <v>3</v>
      </c>
    </row>
    <row r="45" spans="1:6" x14ac:dyDescent="0.25">
      <c r="A45" t="str">
        <f ca="1"/>
        <v>Reinaldo Alencar</v>
      </c>
      <c r="B45" s="26">
        <f ca="1">IF($A45="","",SUMIFS('GECC 2026'!H$2:H$200,'GECC 2026'!F$2:F$200,$A45))</f>
        <v>48</v>
      </c>
      <c r="C45" s="26">
        <f ca="1">IF($A45="","",SUMIFS('GECC 2026'!I$2:I$200,'GECC 2026'!F$2:F$200,$A45))</f>
        <v>7.1999999999999993</v>
      </c>
      <c r="D45" s="101">
        <f ca="1">IF($A45="","",SUMIFS('GECC 2026'!$AE$3:$AE$32,'GECC 2026'!$AD$3:$AD$32,$A45))</f>
        <v>0</v>
      </c>
      <c r="E45" s="93">
        <f ca="1">IF($A45="","",SUMIFS('GECC 2026'!J$2:J$200,'GECC 2026'!F$2:F$200,$A45)+SUMIFS('GECC 2026'!$AE$3:$AE$32,'GECC 2026'!$AD$3:$AD$32,$A45))</f>
        <v>55.2</v>
      </c>
      <c r="F45" s="24">
        <f ca="1">IF($A45="","",COUNTIFS('GECC 2026'!F$2:F$200,$A45))</f>
        <v>3</v>
      </c>
    </row>
    <row r="46" spans="1:6" x14ac:dyDescent="0.25">
      <c r="A46" t="str">
        <f ca="1"/>
        <v>Renan Dias da Silva</v>
      </c>
      <c r="B46" s="26">
        <f ca="1">IF($A46="","",SUMIFS('GECC 2026'!H$2:H$200,'GECC 2026'!F$2:F$200,$A46))</f>
        <v>4</v>
      </c>
      <c r="C46" s="26">
        <f ca="1">IF($A46="","",SUMIFS('GECC 2026'!I$2:I$200,'GECC 2026'!F$2:F$200,$A46))</f>
        <v>1.2</v>
      </c>
      <c r="D46" s="101">
        <f ca="1">IF($A46="","",SUMIFS('GECC 2026'!$AE$3:$AE$32,'GECC 2026'!$AD$3:$AD$32,$A46))</f>
        <v>0</v>
      </c>
      <c r="E46" s="93">
        <f ca="1">IF($A46="","",SUMIFS('GECC 2026'!J$2:J$200,'GECC 2026'!F$2:F$200,$A46)+SUMIFS('GECC 2026'!$AE$3:$AE$32,'GECC 2026'!$AD$3:$AD$32,$A46))</f>
        <v>5.2</v>
      </c>
      <c r="F46" s="24">
        <f ca="1">IF($A46="","",COUNTIFS('GECC 2026'!F$2:F$200,$A46))</f>
        <v>1</v>
      </c>
    </row>
    <row r="47" spans="1:6" x14ac:dyDescent="0.25">
      <c r="A47" t="str">
        <f ca="1"/>
        <v>Rogério Ribeiro</v>
      </c>
      <c r="B47" s="26">
        <f ca="1">IF($A47="","",SUMIFS('GECC 2026'!H$2:H$200,'GECC 2026'!F$2:F$200,$A47))</f>
        <v>48</v>
      </c>
      <c r="C47" s="26">
        <f ca="1">IF($A47="","",SUMIFS('GECC 2026'!I$2:I$200,'GECC 2026'!F$2:F$200,$A47))</f>
        <v>7.1999999999999993</v>
      </c>
      <c r="D47" s="101">
        <f ca="1">IF($A47="","",SUMIFS('GECC 2026'!$AE$3:$AE$32,'GECC 2026'!$AD$3:$AD$32,$A47))</f>
        <v>0</v>
      </c>
      <c r="E47" s="93">
        <f ca="1">IF($A47="","",SUMIFS('GECC 2026'!J$2:J$200,'GECC 2026'!F$2:F$200,$A47)+SUMIFS('GECC 2026'!$AE$3:$AE$32,'GECC 2026'!$AD$3:$AD$32,$A47))</f>
        <v>55.2</v>
      </c>
      <c r="F47" s="24">
        <f ca="1">IF($A47="","",COUNTIFS('GECC 2026'!F$2:F$200,$A47))</f>
        <v>3</v>
      </c>
    </row>
    <row r="48" spans="1:6" x14ac:dyDescent="0.25">
      <c r="A48" t="str">
        <f ca="1"/>
        <v>Rômulo Miranda Alvim</v>
      </c>
      <c r="B48" s="26">
        <f ca="1">IF($A48="","",SUMIFS('GECC 2026'!H$2:H$200,'GECC 2026'!F$2:F$200,$A48))</f>
        <v>24</v>
      </c>
      <c r="C48" s="26">
        <f ca="1">IF($A48="","",SUMIFS('GECC 2026'!I$2:I$200,'GECC 2026'!F$2:F$200,$A48))</f>
        <v>3.6</v>
      </c>
      <c r="D48" s="101">
        <f ca="1">IF($A48="","",SUMIFS('GECC 2026'!$AE$3:$AE$32,'GECC 2026'!$AD$3:$AD$32,$A48))</f>
        <v>16</v>
      </c>
      <c r="E48" s="93">
        <f ca="1">IF($A48="","",SUMIFS('GECC 2026'!J$2:J$200,'GECC 2026'!F$2:F$200,$A48)+SUMIFS('GECC 2026'!$AE$3:$AE$32,'GECC 2026'!$AD$3:$AD$32,$A48))</f>
        <v>43.6</v>
      </c>
      <c r="F48" s="24">
        <f ca="1">IF($A48="","",COUNTIFS('GECC 2026'!F$2:F$200,$A48))</f>
        <v>2</v>
      </c>
    </row>
    <row r="49" spans="1:6" x14ac:dyDescent="0.25">
      <c r="A49" t="str">
        <f ca="1"/>
        <v>Sara Cristina Lins Ramos</v>
      </c>
      <c r="B49" s="26">
        <f ca="1">IF($A49="","",SUMIFS('GECC 2026'!H$2:H$200,'GECC 2026'!F$2:F$200,$A49))</f>
        <v>8</v>
      </c>
      <c r="C49" s="26">
        <f ca="1">IF($A49="","",SUMIFS('GECC 2026'!I$2:I$200,'GECC 2026'!F$2:F$200,$A49))</f>
        <v>2.4</v>
      </c>
      <c r="D49" s="101">
        <f ca="1">IF($A49="","",SUMIFS('GECC 2026'!$AE$3:$AE$32,'GECC 2026'!$AD$3:$AD$32,$A49))</f>
        <v>0</v>
      </c>
      <c r="E49" s="93">
        <f ca="1">IF($A49="","",SUMIFS('GECC 2026'!J$2:J$200,'GECC 2026'!F$2:F$200,$A49)+SUMIFS('GECC 2026'!$AE$3:$AE$32,'GECC 2026'!$AD$3:$AD$32,$A49))</f>
        <v>10.4</v>
      </c>
      <c r="F49" s="24">
        <f ca="1">IF($A49="","",COUNTIFS('GECC 2026'!F$2:F$200,$A49))</f>
        <v>1</v>
      </c>
    </row>
    <row r="50" spans="1:6" x14ac:dyDescent="0.25">
      <c r="A50" t="str">
        <f ca="1"/>
        <v>Servidores, colaboradores e estagiários do TCDF</v>
      </c>
      <c r="B50" s="26">
        <f ca="1">IF($A50="","",SUMIFS('GECC 2026'!H$2:H$200,'GECC 2026'!F$2:F$200,$A50))</f>
        <v>0</v>
      </c>
      <c r="C50" s="26">
        <f ca="1">IF($A50="","",SUMIFS('GECC 2026'!I$2:I$200,'GECC 2026'!F$2:F$200,$A50))</f>
        <v>0</v>
      </c>
      <c r="D50" s="101">
        <f ca="1">IF($A50="","",SUMIFS('GECC 2026'!$AE$3:$AE$32,'GECC 2026'!$AD$3:$AD$32,$A50))</f>
        <v>0</v>
      </c>
      <c r="E50" s="93">
        <f ca="1">IF($A50="","",SUMIFS('GECC 2026'!J$2:J$200,'GECC 2026'!F$2:F$200,$A50)+SUMIFS('GECC 2026'!$AE$3:$AE$32,'GECC 2026'!$AD$3:$AD$32,$A50))</f>
        <v>0</v>
      </c>
      <c r="F50" s="24">
        <f ca="1">IF($A50="","",COUNTIFS('GECC 2026'!F$2:F$200,$A50))</f>
        <v>1</v>
      </c>
    </row>
    <row r="51" spans="1:6" x14ac:dyDescent="0.25">
      <c r="A51" t="str">
        <f ca="1"/>
        <v>Silvia Lima Damasceno Carvalho</v>
      </c>
      <c r="B51" s="26">
        <f ca="1">IF($A51="","",SUMIFS('GECC 2026'!H$2:H$200,'GECC 2026'!F$2:F$200,$A51))</f>
        <v>21</v>
      </c>
      <c r="C51" s="26">
        <f ca="1">IF($A51="","",SUMIFS('GECC 2026'!I$2:I$200,'GECC 2026'!F$2:F$200,$A51))</f>
        <v>6.3000000000000007</v>
      </c>
      <c r="D51" s="101">
        <f ca="1">IF($A51="","",SUMIFS('GECC 2026'!$AE$3:$AE$32,'GECC 2026'!$AD$3:$AD$32,$A51))</f>
        <v>0</v>
      </c>
      <c r="E51" s="93">
        <f ca="1">IF($A51="","",SUMIFS('GECC 2026'!J$2:J$200,'GECC 2026'!F$2:F$200,$A51)+SUMIFS('GECC 2026'!$AE$3:$AE$32,'GECC 2026'!$AD$3:$AD$32,$A51))</f>
        <v>27.299999999999997</v>
      </c>
      <c r="F51" s="24">
        <f ca="1">IF($A51="","",COUNTIFS('GECC 2026'!F$2:F$200,$A51))</f>
        <v>6</v>
      </c>
    </row>
    <row r="52" spans="1:6" x14ac:dyDescent="0.25">
      <c r="A52" t="str">
        <f ca="1"/>
        <v>Tarsila Firmino Ely</v>
      </c>
      <c r="B52" s="26">
        <f ca="1">IF($A52="","",SUMIFS('GECC 2026'!H$2:H$200,'GECC 2026'!F$2:F$200,$A52))</f>
        <v>88</v>
      </c>
      <c r="C52" s="26">
        <f ca="1">IF($A52="","",SUMIFS('GECC 2026'!I$2:I$200,'GECC 2026'!F$2:F$200,$A52))</f>
        <v>83.6</v>
      </c>
      <c r="D52" s="101">
        <f ca="1">IF($A52="","",SUMIFS('GECC 2026'!$AE$3:$AE$32,'GECC 2026'!$AD$3:$AD$32,$A52))</f>
        <v>0</v>
      </c>
      <c r="E52" s="93">
        <f ca="1">IF($A52="","",SUMIFS('GECC 2026'!J$2:J$200,'GECC 2026'!F$2:F$200,$A52)+SUMIFS('GECC 2026'!$AE$3:$AE$32,'GECC 2026'!$AD$3:$AD$32,$A52))</f>
        <v>171.6</v>
      </c>
      <c r="F52" s="24">
        <f ca="1">IF($A52="","",COUNTIFS('GECC 2026'!F$2:F$200,$A52))</f>
        <v>7</v>
      </c>
    </row>
    <row r="53" spans="1:6" x14ac:dyDescent="0.25">
      <c r="A53" t="str">
        <f ca="1"/>
        <v>Thiago Magalhães de Oliveira</v>
      </c>
      <c r="B53" s="26">
        <f ca="1">IF($A53="","",SUMIFS('GECC 2026'!H$2:H$200,'GECC 2026'!F$2:F$200,$A53))</f>
        <v>4</v>
      </c>
      <c r="C53" s="26">
        <f ca="1">IF($A53="","",SUMIFS('GECC 2026'!I$2:I$200,'GECC 2026'!F$2:F$200,$A53))</f>
        <v>1.2</v>
      </c>
      <c r="D53" s="101">
        <f ca="1">IF($A53="","",SUMIFS('GECC 2026'!$AE$3:$AE$32,'GECC 2026'!$AD$3:$AD$32,$A53))</f>
        <v>0</v>
      </c>
      <c r="E53" s="93">
        <f ca="1">IF($A53="","",SUMIFS('GECC 2026'!J$2:J$200,'GECC 2026'!F$2:F$200,$A53)+SUMIFS('GECC 2026'!$AE$3:$AE$32,'GECC 2026'!$AD$3:$AD$32,$A53))</f>
        <v>5.2</v>
      </c>
      <c r="F53" s="24">
        <f ca="1">IF($A53="","",COUNTIFS('GECC 2026'!F$2:F$200,$A53))</f>
        <v>1</v>
      </c>
    </row>
    <row r="54" spans="1:6" x14ac:dyDescent="0.25">
      <c r="A54" t="str">
        <f ca="1"/>
        <v>Túllio Herbeth Teixeira Moraes</v>
      </c>
      <c r="B54" s="26">
        <f ca="1">IF($A54="","",SUMIFS('GECC 2026'!H$2:H$200,'GECC 2026'!F$2:F$200,$A54))</f>
        <v>9</v>
      </c>
      <c r="C54" s="26">
        <f ca="1">IF($A54="","",SUMIFS('GECC 2026'!I$2:I$200,'GECC 2026'!F$2:F$200,$A54))</f>
        <v>2.6999999999999997</v>
      </c>
      <c r="D54" s="101">
        <f ca="1">IF($A54="","",SUMIFS('GECC 2026'!$AE$3:$AE$32,'GECC 2026'!$AD$3:$AD$32,$A54))</f>
        <v>0</v>
      </c>
      <c r="E54" s="93">
        <f ca="1">IF($A54="","",SUMIFS('GECC 2026'!J$2:J$200,'GECC 2026'!F$2:F$200,$A54)+SUMIFS('GECC 2026'!$AE$3:$AE$32,'GECC 2026'!$AD$3:$AD$32,$A54))</f>
        <v>11.7</v>
      </c>
      <c r="F54" s="24">
        <f ca="1">IF($A54="","",COUNTIFS('GECC 2026'!F$2:F$200,$A54))</f>
        <v>3</v>
      </c>
    </row>
    <row r="55" spans="1:6" x14ac:dyDescent="0.25">
      <c r="A55" t="str">
        <f ca="1"/>
        <v>Valéria Feitoza</v>
      </c>
      <c r="B55" s="26">
        <f ca="1">IF($A55="","",SUMIFS('GECC 2026'!H$2:H$200,'GECC 2026'!F$2:F$200,$A55))</f>
        <v>2</v>
      </c>
      <c r="C55" s="26">
        <f ca="1">IF($A55="","",SUMIFS('GECC 2026'!I$2:I$200,'GECC 2026'!F$2:F$200,$A55))</f>
        <v>0.6</v>
      </c>
      <c r="D55" s="101">
        <f ca="1">IF($A55="","",SUMIFS('GECC 2026'!$AE$3:$AE$32,'GECC 2026'!$AD$3:$AD$32,$A55))</f>
        <v>0</v>
      </c>
      <c r="E55" s="93">
        <f ca="1">IF($A55="","",SUMIFS('GECC 2026'!J$2:J$200,'GECC 2026'!F$2:F$200,$A55)+SUMIFS('GECC 2026'!$AE$3:$AE$32,'GECC 2026'!$AD$3:$AD$32,$A55))</f>
        <v>2.6</v>
      </c>
      <c r="F55" s="24">
        <f ca="1">IF($A55="","",COUNTIFS('GECC 2026'!F$2:F$200,$A55))</f>
        <v>2</v>
      </c>
    </row>
    <row r="56" spans="1:6" x14ac:dyDescent="0.25">
      <c r="A56" t="str">
        <f ca="1"/>
        <v>Wibys Pereira</v>
      </c>
      <c r="B56" s="26">
        <f ca="1">IF($A56="","",SUMIFS('GECC 2026'!H$2:H$200,'GECC 2026'!F$2:F$200,$A56))</f>
        <v>4</v>
      </c>
      <c r="C56" s="26">
        <f ca="1">IF($A56="","",SUMIFS('GECC 2026'!I$2:I$200,'GECC 2026'!F$2:F$200,$A56))</f>
        <v>1.2</v>
      </c>
      <c r="D56" s="101">
        <f ca="1">IF($A56="","",SUMIFS('GECC 2026'!$AE$3:$AE$32,'GECC 2026'!$AD$3:$AD$32,$A56))</f>
        <v>0</v>
      </c>
      <c r="E56" s="93">
        <f ca="1">IF($A56="","",SUMIFS('GECC 2026'!J$2:J$200,'GECC 2026'!F$2:F$200,$A56)+SUMIFS('GECC 2026'!$AE$3:$AE$32,'GECC 2026'!$AD$3:$AD$32,$A56))</f>
        <v>5.2</v>
      </c>
      <c r="F56" s="24">
        <f ca="1">IF($A56="","",COUNTIFS('GECC 2026'!F$2:F$200,$A56))</f>
        <v>1</v>
      </c>
    </row>
    <row r="57" spans="1:6" x14ac:dyDescent="0.25">
      <c r="B57" s="26" t="str">
        <f>IF($A57="","",SUMIFS('GECC 2026'!H$2:H$200,'GECC 2026'!F$2:F$200,$A57))</f>
        <v/>
      </c>
      <c r="C57" s="26" t="str">
        <f>IF($A57="","",SUMIFS('GECC 2026'!I$2:I$200,'GECC 2026'!F$2:F$200,$A57))</f>
        <v/>
      </c>
      <c r="D57" s="101" t="str">
        <f>IF($A57="","",SUMIFS('GECC 2026'!$AE$3:$AE$32,'GECC 2026'!$AD$3:$AD$32,$A57))</f>
        <v/>
      </c>
      <c r="E57" s="93" t="str">
        <f>IF($A57="","",SUMIFS('GECC 2026'!J$2:J$200,'GECC 2026'!F$2:F$200,$A57)+SUMIFS('GECC 2026'!$AE$3:$AE$32,'GECC 2026'!$AD$3:$AD$32,$A57))</f>
        <v/>
      </c>
      <c r="F57" s="24" t="str">
        <f>IF($A57="","",COUNTIFS('GECC 2026'!F$2:F$200,$A57))</f>
        <v/>
      </c>
    </row>
    <row r="58" spans="1:6" x14ac:dyDescent="0.25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1:6" x14ac:dyDescent="0.25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1:6" x14ac:dyDescent="0.25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3094</v>
      </c>
      <c r="B105" s="95">
        <f ca="1">SUM(B5:B100)</f>
        <v>737</v>
      </c>
      <c r="C105" s="95">
        <f ca="1">SUM(C5:C100)</f>
        <v>341.43999999999994</v>
      </c>
      <c r="D105" s="101">
        <f>IF($A105="","",SUMIFS('GECC 2026'!$AE$3:$AE$32,'GECC 2026'!$AD$3:$AD$32,$A105))</f>
        <v>0</v>
      </c>
      <c r="E105" s="93">
        <f ca="1">IF($A105="","",SUMIFS('GECC 2026'!J$2:J$200,'GECC 2026'!F$2:F$200,$A105)+SUMIFS('GECC 2026'!$AE$3:$AE$32,'GECC 2026'!$AD$3:$AD$32,$A105))</f>
        <v>0</v>
      </c>
      <c r="F105" s="96">
        <f ca="1">SUM(F5:F100)</f>
        <v>120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3" t="s">
        <v>3160</v>
      </c>
      <c r="B1" s="123" t="s">
        <v>3161</v>
      </c>
      <c r="C1" s="123" t="s">
        <v>3162</v>
      </c>
      <c r="D1" s="123" t="s">
        <v>3163</v>
      </c>
      <c r="E1" s="123" t="s">
        <v>3164</v>
      </c>
      <c r="F1" s="123" t="s">
        <v>3165</v>
      </c>
      <c r="G1" s="123" t="s">
        <v>10</v>
      </c>
      <c r="H1" s="123" t="s">
        <v>3166</v>
      </c>
      <c r="I1" s="123" t="s">
        <v>3167</v>
      </c>
      <c r="J1" s="123" t="s">
        <v>3168</v>
      </c>
      <c r="K1" s="123" t="s">
        <v>3169</v>
      </c>
      <c r="L1" s="123" t="s">
        <v>3170</v>
      </c>
      <c r="N1" s="124" t="s">
        <v>3171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3172</v>
      </c>
      <c r="L2" t="str">
        <f>IF(K2="","",IFERROR(INDEX(Tabela2[Curso],MATCH(K2,Tabela2[ID],0)),""))</f>
        <v/>
      </c>
      <c r="N2" s="123" t="s">
        <v>3051</v>
      </c>
      <c r="O2" s="123" t="s">
        <v>4</v>
      </c>
      <c r="P2" s="123" t="s">
        <v>3173</v>
      </c>
      <c r="Q2" s="123" t="s">
        <v>3174</v>
      </c>
      <c r="R2" s="123" t="s">
        <v>3175</v>
      </c>
      <c r="S2" s="123" t="s">
        <v>3176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3172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3172</v>
      </c>
      <c r="L4" t="str">
        <f>IF(K4="","",IFERROR(INDEX(Tabela2[Curso],MATCH(K4,Tabela2[ID],0)),""))</f>
        <v/>
      </c>
      <c r="N4" t="s">
        <v>2755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3172</v>
      </c>
      <c r="L5" t="str">
        <f>IF(K5="","",IFERROR(INDEX(Tabela2[Curso],MATCH(K5,Tabela2[ID],0)),""))</f>
        <v/>
      </c>
      <c r="N5" t="s">
        <v>2935</v>
      </c>
      <c r="O5" t="str">
        <f>IFERROR(INDEX(Tabela2[Curso],MATCH(N5,Tabela2[ID],0)),"")</f>
        <v>TCendo o Futuro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3172</v>
      </c>
      <c r="L6" t="str">
        <f>IF(K6="","",IFERROR(INDEX(Tabela2[Curso],MATCH(K6,Tabela2[ID],0)),""))</f>
        <v/>
      </c>
      <c r="N6" t="s">
        <v>2837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 t="shared" si="0"/>
        <v>sim</v>
      </c>
      <c r="J7" t="s">
        <v>3172</v>
      </c>
      <c r="L7" t="str">
        <f>IF(K7="","",IFERROR(INDEX(Tabela2[Curso],MATCH(K7,Tabela2[ID],0)),""))</f>
        <v/>
      </c>
      <c r="N7" t="s">
        <v>2841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 t="shared" si="0"/>
        <v>sim</v>
      </c>
      <c r="J8" t="s">
        <v>3172</v>
      </c>
      <c r="L8" t="str">
        <f>IF(K8="","",IFERROR(INDEX(Tabela2[Curso],MATCH(K8,Tabela2[ID],0)),""))</f>
        <v/>
      </c>
      <c r="N8" t="s">
        <v>2722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 t="shared" si="0"/>
        <v>sim</v>
      </c>
      <c r="J9" t="s">
        <v>3172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 t="shared" si="0"/>
        <v>sim</v>
      </c>
      <c r="J10" t="s">
        <v>3172</v>
      </c>
      <c r="L10" t="str">
        <f>IF(K10="","",IFERROR(INDEX(Tabela2[Curso],MATCH(K10,Tabela2[ID],0)),""))</f>
        <v/>
      </c>
      <c r="N10" s="122" t="s">
        <v>3177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 t="shared" si="0"/>
        <v>sim</v>
      </c>
      <c r="J11" t="s">
        <v>3172</v>
      </c>
      <c r="L11" t="str">
        <f>IF(K11="","",IFERROR(INDEX(Tabela2[Curso],MATCH(K11,Tabela2[ID],0)),""))</f>
        <v/>
      </c>
      <c r="N11" s="125" t="s">
        <v>3178</v>
      </c>
      <c r="O11" s="125" t="s">
        <v>3179</v>
      </c>
      <c r="P11" s="125" t="s">
        <v>3180</v>
      </c>
      <c r="Q11" s="125" t="s">
        <v>3163</v>
      </c>
      <c r="R11" s="125" t="s">
        <v>3164</v>
      </c>
      <c r="S11" s="125" t="s">
        <v>3181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 t="shared" si="0"/>
        <v>sim</v>
      </c>
      <c r="J12" t="s">
        <v>3172</v>
      </c>
      <c r="L12" t="str">
        <f>IF(K12="","",IFERROR(INDEX(Tabela2[Curso],MATCH(K12,Tabela2[ID],0)),""))</f>
        <v/>
      </c>
      <c r="N12" t="s">
        <v>3182</v>
      </c>
      <c r="O12" t="s">
        <v>2755</v>
      </c>
      <c r="P12" t="s">
        <v>3183</v>
      </c>
      <c r="Q12">
        <v>0</v>
      </c>
      <c r="R12">
        <v>0</v>
      </c>
      <c r="S12" t="s">
        <v>3184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 t="shared" si="0"/>
        <v>sim</v>
      </c>
      <c r="J13" t="s">
        <v>3172</v>
      </c>
      <c r="L13" t="str">
        <f>IF(K13="","",IFERROR(INDEX(Tabela2[Curso],MATCH(K13,Tabela2[ID],0)),""))</f>
        <v/>
      </c>
      <c r="N13" t="s">
        <v>3185</v>
      </c>
      <c r="O13" t="s">
        <v>2686</v>
      </c>
      <c r="P13" t="s">
        <v>3186</v>
      </c>
      <c r="Q13">
        <v>0</v>
      </c>
      <c r="R13">
        <v>0</v>
      </c>
      <c r="S13" t="s">
        <v>3187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 t="shared" si="0"/>
        <v>sim</v>
      </c>
      <c r="J14" t="s">
        <v>3172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 t="shared" si="0"/>
        <v>sim</v>
      </c>
      <c r="J15" t="s">
        <v>3172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 t="shared" si="0"/>
        <v>sim</v>
      </c>
      <c r="J16" t="s">
        <v>3172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 t="shared" si="0"/>
        <v>sim</v>
      </c>
      <c r="J17" t="s">
        <v>3172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 t="shared" si="0"/>
        <v>sim</v>
      </c>
      <c r="J18" t="s">
        <v>3172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 t="shared" si="0"/>
        <v>sim</v>
      </c>
      <c r="J19" t="s">
        <v>3172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 t="shared" si="0"/>
        <v>sim</v>
      </c>
      <c r="J20" t="s">
        <v>3172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 t="shared" si="0"/>
        <v>sim</v>
      </c>
      <c r="J21" t="s">
        <v>3172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3172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3172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3172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3172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3172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3172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3172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3172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3172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3172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3172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3172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3172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3172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3172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3172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3172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3172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 para servidores do GDF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3172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 para servidores do GDF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3172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3172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3172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3172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3172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3172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3172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3172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3172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3172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3172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3172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3172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3172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3172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3172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3172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3172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3172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3172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3172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3172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3172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3172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3172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95AF67B-67F3-479D-896A-04A7BBE7C81F}">
  <ds:schemaRefs>
    <ds:schemaRef ds:uri="fe686eaa-0658-4f15-b230-9e46c4d089fd"/>
    <ds:schemaRef ds:uri="http://purl.org/dc/elements/1.1/"/>
    <ds:schemaRef ds:uri="http://purl.org/dc/dcmitype/"/>
    <ds:schemaRef ds:uri="http://schemas.microsoft.com/office/2006/documentManagement/types"/>
    <ds:schemaRef ds:uri="http://schemas.openxmlformats.org/package/2006/metadata/core-properties"/>
    <ds:schemaRef ds:uri="http://purl.org/dc/terms/"/>
    <ds:schemaRef ds:uri="http://schemas.microsoft.com/office/2006/metadata/properties"/>
    <ds:schemaRef ds:uri="http://schemas.microsoft.com/office/infopath/2007/PartnerControls"/>
    <ds:schemaRef ds:uri="91ce1707-6d34-452b-b217-9734c03e6729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0C07A846-7927-4130-BFB7-172DFD21A0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2026-08-20T20:08:54Z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