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32" documentId="13_ncr:1_{6A2CC3E2-FAFB-4D8F-B284-5E8FB5045DFE}" xr6:coauthVersionLast="47" xr6:coauthVersionMax="47" xr10:uidLastSave="{2994609E-235F-4CA3-8F10-82D9C227DE6B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B8" i="27" l="1"/>
  <c r="A8" i="27"/>
  <c r="L4" i="20"/>
  <c r="R4" i="20" s="1" a="1"/>
  <c r="R4" i="20" s="1"/>
  <c r="S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A5" i="23" l="1" a="1"/>
  <c r="E105" i="23"/>
  <c r="A2" i="20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<sst xmlns="http://schemas.openxmlformats.org/spreadsheetml/2006/main" count="7406" uniqueCount="3261">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</sst>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D722" activePane="bottomLeft" state="frozen"/>
      <selection pane="bottomLeft" activeCell="J729" sqref="J729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7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99" t="s">
        <v>2988</v>
      </c>
      <c r="F729" s="169" t="s">
        <v>89</v>
      </c>
      <c r="G729" s="154" t="s">
        <v>2718</v>
      </c>
      <c r="H729" s="155" t="s">
        <v>2989</v>
      </c>
      <c r="I729" s="189">
        <v>46316</v>
      </c>
      <c r="J729" s="189">
        <v>46316</v>
      </c>
      <c r="K729" s="153"/>
      <c r="L729" s="159"/>
      <c r="M729" s="181"/>
      <c r="N729" s="157"/>
      <c r="O729" s="157"/>
      <c r="P729" s="157"/>
      <c r="Q729" s="157"/>
      <c r="R729" s="157">
        <f t="shared" si="15"/>
        <v>0</v>
      </c>
      <c r="S729" s="153"/>
      <c r="T729" s="154"/>
      <c r="U729" s="210"/>
    </row>
    <row r="730" spans="1:21" ht="14.45">
      <c r="A730" s="155" t="s">
        <v>2990</v>
      </c>
      <c r="B730" s="153">
        <v>2026</v>
      </c>
      <c r="C730" s="153" t="s">
        <v>2711</v>
      </c>
      <c r="D730" s="153" t="s">
        <v>2991</v>
      </c>
      <c r="E730" s="158" t="s">
        <v>2992</v>
      </c>
      <c r="F730" s="169" t="s">
        <v>25</v>
      </c>
      <c r="G730" s="154" t="s">
        <v>207</v>
      </c>
      <c r="H730" s="155"/>
      <c r="I730" s="189"/>
      <c r="J730" s="189"/>
      <c r="K730" s="153"/>
      <c r="L730" s="159"/>
      <c r="M730" s="181"/>
      <c r="N730" s="157"/>
      <c r="O730" s="157"/>
      <c r="P730" s="157"/>
      <c r="Q730" s="157"/>
      <c r="R730" s="157">
        <f t="shared" si="15"/>
        <v>0</v>
      </c>
      <c r="S730" s="153"/>
      <c r="T730" s="154"/>
      <c r="U730" s="210"/>
    </row>
    <row r="731" spans="1:21" ht="14.45">
      <c r="A731" s="155" t="s">
        <v>2993</v>
      </c>
      <c r="B731" s="153">
        <v>2026</v>
      </c>
      <c r="C731" s="153" t="s">
        <v>2711</v>
      </c>
      <c r="D731" s="153"/>
      <c r="E731" s="199" t="s">
        <v>2994</v>
      </c>
      <c r="F731" s="169" t="s">
        <v>25</v>
      </c>
      <c r="G731" s="154" t="s">
        <v>2718</v>
      </c>
      <c r="H731" s="155" t="s">
        <v>2995</v>
      </c>
      <c r="I731" s="189">
        <v>46343</v>
      </c>
      <c r="J731" s="189">
        <v>46343</v>
      </c>
      <c r="K731" s="153" t="s">
        <v>39</v>
      </c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10"/>
    </row>
    <row r="732" spans="1:21" ht="14.45">
      <c r="A732" s="155" t="s">
        <v>2996</v>
      </c>
      <c r="B732" s="153">
        <v>2026</v>
      </c>
      <c r="C732" s="153" t="s">
        <v>2711</v>
      </c>
      <c r="D732" s="153" t="s">
        <v>2997</v>
      </c>
      <c r="E732" s="158" t="s">
        <v>2998</v>
      </c>
      <c r="F732" s="169" t="s">
        <v>89</v>
      </c>
      <c r="G732" s="154" t="s">
        <v>43</v>
      </c>
      <c r="H732" s="155"/>
      <c r="I732" s="189"/>
      <c r="J732" s="189"/>
      <c r="K732" s="153"/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10"/>
    </row>
    <row r="733" spans="1:21" ht="14.45">
      <c r="A733" s="155" t="s">
        <v>2999</v>
      </c>
      <c r="B733" s="153">
        <v>2026</v>
      </c>
      <c r="C733" s="153" t="s">
        <v>23</v>
      </c>
      <c r="D733" s="153" t="s">
        <v>3000</v>
      </c>
      <c r="E733" s="158" t="s">
        <v>3001</v>
      </c>
      <c r="F733" s="169" t="s">
        <v>25</v>
      </c>
      <c r="G733" s="154" t="s">
        <v>207</v>
      </c>
      <c r="H733" s="155" t="s">
        <v>3002</v>
      </c>
      <c r="I733" s="189">
        <v>46122</v>
      </c>
      <c r="J733" s="189">
        <v>46122</v>
      </c>
      <c r="K733" s="153" t="s">
        <v>39</v>
      </c>
      <c r="L733" s="159"/>
      <c r="M733" s="181"/>
      <c r="N733" s="157">
        <v>170</v>
      </c>
      <c r="O733" s="157"/>
      <c r="P733" s="157">
        <v>0</v>
      </c>
      <c r="Q733" s="157">
        <v>0</v>
      </c>
      <c r="R733" s="157">
        <f t="shared" si="15"/>
        <v>0</v>
      </c>
      <c r="S733" s="153">
        <v>2</v>
      </c>
      <c r="T733" s="154" t="s">
        <v>3003</v>
      </c>
      <c r="U733" s="210"/>
    </row>
    <row r="734" spans="1:21" ht="14.45" hidden="1">
      <c r="A734" s="155" t="s">
        <v>3004</v>
      </c>
      <c r="B734" s="153">
        <v>2026</v>
      </c>
      <c r="C734" s="153" t="s">
        <v>2790</v>
      </c>
      <c r="D734" s="153" t="s">
        <v>3005</v>
      </c>
      <c r="E734" s="158" t="s">
        <v>3006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5" t="s">
        <v>3007</v>
      </c>
      <c r="B735" s="153">
        <v>2026</v>
      </c>
      <c r="C735" s="153" t="s">
        <v>23</v>
      </c>
      <c r="D735" s="153" t="s">
        <v>3008</v>
      </c>
      <c r="E735" s="158" t="s">
        <v>3009</v>
      </c>
      <c r="F735" s="169" t="s">
        <v>70</v>
      </c>
      <c r="G735" s="154" t="s">
        <v>80</v>
      </c>
      <c r="H735" s="155" t="s">
        <v>3010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2714</v>
      </c>
      <c r="U735" s="210"/>
    </row>
    <row r="736" spans="1:21" ht="14.45">
      <c r="A736" s="155" t="s">
        <v>3011</v>
      </c>
      <c r="B736" s="153">
        <v>2026</v>
      </c>
      <c r="C736" s="153" t="s">
        <v>23</v>
      </c>
      <c r="D736" s="153" t="s">
        <v>3012</v>
      </c>
      <c r="E736" s="158" t="s">
        <v>3013</v>
      </c>
      <c r="F736" s="169" t="s">
        <v>70</v>
      </c>
      <c r="G736" s="154" t="s">
        <v>2694</v>
      </c>
      <c r="H736" s="155" t="s">
        <v>3014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3015</v>
      </c>
      <c r="U736" s="210"/>
    </row>
    <row r="737" spans="1:21" ht="14.45">
      <c r="A737" s="155" t="s">
        <v>3016</v>
      </c>
      <c r="B737" s="153">
        <v>2026</v>
      </c>
      <c r="C737" s="153" t="s">
        <v>23</v>
      </c>
      <c r="D737" s="153" t="s">
        <v>3017</v>
      </c>
      <c r="E737" s="158" t="s">
        <v>3018</v>
      </c>
      <c r="F737" s="169" t="s">
        <v>25</v>
      </c>
      <c r="G737" s="154" t="s">
        <v>2700</v>
      </c>
      <c r="H737" s="155" t="s">
        <v>3019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4.45">
      <c r="A738" s="155" t="s">
        <v>3020</v>
      </c>
      <c r="B738" s="153">
        <v>2026</v>
      </c>
      <c r="C738" s="153" t="s">
        <v>2711</v>
      </c>
      <c r="D738" s="153" t="s">
        <v>3021</v>
      </c>
      <c r="E738" s="158" t="s">
        <v>3022</v>
      </c>
      <c r="F738" s="169" t="s">
        <v>25</v>
      </c>
      <c r="G738" s="154" t="s">
        <v>2700</v>
      </c>
      <c r="H738" s="155" t="s">
        <v>3023</v>
      </c>
      <c r="I738" s="155" t="s">
        <v>3023</v>
      </c>
      <c r="J738" s="155" t="s">
        <v>3023</v>
      </c>
      <c r="K738" s="153" t="s">
        <v>39</v>
      </c>
      <c r="L738" s="159">
        <v>2652.31</v>
      </c>
      <c r="M738" s="181"/>
      <c r="N738" s="157">
        <v>20</v>
      </c>
      <c r="O738" s="157"/>
      <c r="P738" s="157"/>
      <c r="Q738" s="157"/>
      <c r="R738" s="157">
        <f t="shared" si="15"/>
        <v>0</v>
      </c>
      <c r="S738" s="153">
        <v>4</v>
      </c>
      <c r="T738" s="154" t="s">
        <v>1910</v>
      </c>
      <c r="U738" s="210"/>
    </row>
    <row r="739" spans="1:21" ht="14.45">
      <c r="A739" s="155" t="s">
        <v>3024</v>
      </c>
      <c r="B739" s="153">
        <v>2026</v>
      </c>
      <c r="C739" s="153" t="s">
        <v>23</v>
      </c>
      <c r="D739" s="153" t="s">
        <v>3025</v>
      </c>
      <c r="E739" s="158" t="s">
        <v>3026</v>
      </c>
      <c r="F739" s="169" t="s">
        <v>25</v>
      </c>
      <c r="G739" s="154" t="s">
        <v>2700</v>
      </c>
      <c r="H739" s="155" t="s">
        <v>3027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2827</v>
      </c>
      <c r="U739" s="210"/>
    </row>
    <row r="740" spans="1:21" ht="14.45">
      <c r="A740" s="155" t="s">
        <v>3028</v>
      </c>
      <c r="B740" s="153">
        <v>2026</v>
      </c>
      <c r="C740" s="153" t="s">
        <v>2711</v>
      </c>
      <c r="D740" s="153" t="s">
        <v>3025</v>
      </c>
      <c r="E740" s="158" t="s">
        <v>3029</v>
      </c>
      <c r="F740" s="169" t="s">
        <v>25</v>
      </c>
      <c r="G740" s="154" t="s">
        <v>2700</v>
      </c>
      <c r="H740" s="155" t="s">
        <v>3030</v>
      </c>
      <c r="I740" s="189">
        <v>46322</v>
      </c>
      <c r="J740" s="189">
        <v>46324</v>
      </c>
      <c r="K740" s="153" t="s">
        <v>39</v>
      </c>
      <c r="L740" s="159">
        <v>7038.8307599999998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8</v>
      </c>
      <c r="T740" s="154" t="s">
        <v>2827</v>
      </c>
      <c r="U740" s="210"/>
    </row>
    <row r="741" spans="1:21" ht="15">
      <c r="A741" s="155" t="s">
        <v>3031</v>
      </c>
      <c r="B741" s="153">
        <v>2026</v>
      </c>
      <c r="C741" s="153" t="s">
        <v>23</v>
      </c>
      <c r="D741" s="153" t="s">
        <v>3032</v>
      </c>
      <c r="E741" s="158" t="s">
        <v>3033</v>
      </c>
      <c r="F741" s="169" t="s">
        <v>25</v>
      </c>
      <c r="G741" s="154" t="s">
        <v>207</v>
      </c>
      <c r="H741" s="155" t="s">
        <v>3034</v>
      </c>
      <c r="I741" s="189">
        <v>46283</v>
      </c>
      <c r="J741" s="189">
        <v>46283</v>
      </c>
      <c r="K741" s="153" t="s">
        <v>39</v>
      </c>
      <c r="L741" s="159">
        <v>0</v>
      </c>
      <c r="M741" s="181"/>
      <c r="N741" s="157">
        <v>170</v>
      </c>
      <c r="O741" s="157"/>
      <c r="P741" s="157">
        <v>0</v>
      </c>
      <c r="Q741" s="157">
        <v>0</v>
      </c>
      <c r="R741" s="157">
        <f t="shared" si="15"/>
        <v>0</v>
      </c>
      <c r="S741" s="153">
        <v>2</v>
      </c>
      <c r="T741" s="154" t="s">
        <v>3003</v>
      </c>
      <c r="U741" s="210"/>
    </row>
    <row r="742" spans="1:21" ht="14.45">
      <c r="A742" s="155" t="s">
        <v>3035</v>
      </c>
      <c r="B742" s="153">
        <v>2026</v>
      </c>
      <c r="C742" s="153" t="s">
        <v>2711</v>
      </c>
      <c r="D742" s="153" t="s">
        <v>3036</v>
      </c>
      <c r="E742" s="165" t="s">
        <v>3037</v>
      </c>
      <c r="F742" s="169" t="s">
        <v>25</v>
      </c>
      <c r="G742" s="154" t="s">
        <v>207</v>
      </c>
      <c r="H742" s="155" t="s">
        <v>3038</v>
      </c>
      <c r="I742" s="189">
        <v>46314</v>
      </c>
      <c r="J742" s="189">
        <v>46318</v>
      </c>
      <c r="K742" s="153" t="s">
        <v>28</v>
      </c>
      <c r="L742" s="159">
        <v>19900</v>
      </c>
      <c r="M742" s="181"/>
      <c r="N742" s="157"/>
      <c r="O742" s="157"/>
      <c r="P742" s="157"/>
      <c r="Q742" s="157"/>
      <c r="R742" s="157">
        <f t="shared" si="15"/>
        <v>0</v>
      </c>
      <c r="S742" s="153">
        <v>16</v>
      </c>
      <c r="T742" s="154" t="s">
        <v>804</v>
      </c>
      <c r="U742" s="210"/>
    </row>
    <row r="743" spans="1:21" ht="14.45">
      <c r="A743" s="155" t="s">
        <v>3039</v>
      </c>
      <c r="B743" s="153">
        <v>2026</v>
      </c>
      <c r="C743" s="153" t="s">
        <v>2711</v>
      </c>
      <c r="D743" s="153" t="s">
        <v>3036</v>
      </c>
      <c r="E743" s="165" t="s">
        <v>3040</v>
      </c>
      <c r="F743" s="169" t="s">
        <v>25</v>
      </c>
      <c r="G743" s="154" t="s">
        <v>207</v>
      </c>
      <c r="H743" s="155" t="s">
        <v>3041</v>
      </c>
      <c r="I743" s="189">
        <v>46349</v>
      </c>
      <c r="J743" s="189">
        <v>46352</v>
      </c>
      <c r="K743" s="153" t="s">
        <v>28</v>
      </c>
      <c r="L743" s="159">
        <v>18900</v>
      </c>
      <c r="M743" s="181"/>
      <c r="N743" s="157"/>
      <c r="O743" s="157"/>
      <c r="P743" s="157"/>
      <c r="Q743" s="157"/>
      <c r="R743" s="157">
        <f t="shared" si="15"/>
        <v>0</v>
      </c>
      <c r="S743" s="153">
        <v>16</v>
      </c>
      <c r="T743" s="154" t="s">
        <v>804</v>
      </c>
      <c r="U743" s="210"/>
    </row>
    <row r="744" spans="1:21" ht="14.45" hidden="1">
      <c r="A744" s="155" t="s">
        <v>3042</v>
      </c>
      <c r="B744" s="153">
        <v>2026</v>
      </c>
      <c r="C744" s="153" t="s">
        <v>2790</v>
      </c>
      <c r="D744" s="153" t="s">
        <v>3043</v>
      </c>
      <c r="E744" s="165" t="s">
        <v>3044</v>
      </c>
      <c r="F744" s="169" t="s">
        <v>25</v>
      </c>
      <c r="G744" s="154" t="s">
        <v>207</v>
      </c>
      <c r="H744" s="155" t="s">
        <v>3045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si="15"/>
        <v>0</v>
      </c>
      <c r="S744" s="153">
        <v>20</v>
      </c>
      <c r="T744" s="154" t="s">
        <v>3046</v>
      </c>
      <c r="U744" s="210"/>
    </row>
    <row r="745" spans="1:21" ht="14.45">
      <c r="A745" s="155" t="s">
        <v>3047</v>
      </c>
      <c r="B745" s="153">
        <v>2026</v>
      </c>
      <c r="C745" s="153" t="s">
        <v>23</v>
      </c>
      <c r="D745" s="153" t="s">
        <v>3048</v>
      </c>
      <c r="E745" s="165" t="s">
        <v>3049</v>
      </c>
      <c r="F745" s="169" t="s">
        <v>25</v>
      </c>
      <c r="G745" s="154" t="s">
        <v>207</v>
      </c>
      <c r="H745" s="155" t="s">
        <v>3050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6">IF(B745="","",SUM(O745:Q745))</f>
        <v>80</v>
      </c>
      <c r="S745" s="153">
        <v>2</v>
      </c>
      <c r="T745" s="154"/>
      <c r="U745" s="210"/>
    </row>
    <row r="746" spans="1:21" ht="14.45">
      <c r="A746" s="155" t="s">
        <v>3051</v>
      </c>
      <c r="B746" s="153">
        <v>2026</v>
      </c>
      <c r="C746" s="153" t="s">
        <v>23</v>
      </c>
      <c r="D746" s="153" t="s">
        <v>3052</v>
      </c>
      <c r="E746" s="158" t="s">
        <v>3053</v>
      </c>
      <c r="F746" s="169" t="s">
        <v>70</v>
      </c>
      <c r="G746" s="154" t="s">
        <v>80</v>
      </c>
      <c r="H746" s="155" t="s">
        <v>3054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5"/>
        <v>67</v>
      </c>
      <c r="S746" s="153">
        <v>12</v>
      </c>
      <c r="T746" s="154" t="s">
        <v>2453</v>
      </c>
      <c r="U746" s="210"/>
    </row>
    <row r="747" spans="1:21" ht="28.9" hidden="1">
      <c r="A747" s="155" t="s">
        <v>3055</v>
      </c>
      <c r="B747" s="153">
        <v>2026</v>
      </c>
      <c r="C747" s="153" t="s">
        <v>3056</v>
      </c>
      <c r="D747" s="153" t="s">
        <v>3057</v>
      </c>
      <c r="E747" s="165" t="s">
        <v>3058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5"/>
        <v>0</v>
      </c>
      <c r="S747" s="153">
        <v>12</v>
      </c>
      <c r="T747" s="154" t="s">
        <v>3059</v>
      </c>
      <c r="U747" s="210"/>
    </row>
    <row r="748" spans="1:21" ht="14.45" hidden="1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4.45" hidden="1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4.45" hidden="1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4.45" hidden="1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3060</v>
      </c>
      <c r="H1" s="167" t="s">
        <v>3061</v>
      </c>
    </row>
    <row r="2" spans="1:8">
      <c r="H2" s="166" t="s">
        <v>3062</v>
      </c>
    </row>
    <row r="3" spans="1:8">
      <c r="A3" t="s">
        <v>0</v>
      </c>
      <c r="B3" t="s">
        <v>19</v>
      </c>
      <c r="C3" t="s">
        <v>3063</v>
      </c>
      <c r="D3" t="s">
        <v>3064</v>
      </c>
      <c r="E3" t="s">
        <v>3065</v>
      </c>
      <c r="H3" s="166" t="s">
        <v>3066</v>
      </c>
    </row>
    <row r="4" spans="1:8">
      <c r="A4">
        <v>1</v>
      </c>
      <c r="B4" t="s">
        <v>3067</v>
      </c>
      <c r="D4" t="s">
        <v>3068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3069</v>
      </c>
    </row>
    <row r="5" spans="1:8">
      <c r="A5">
        <v>2</v>
      </c>
      <c r="B5" t="s">
        <v>2508</v>
      </c>
      <c r="D5" t="s">
        <v>3068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3070</v>
      </c>
    </row>
    <row r="6" spans="1:8">
      <c r="A6">
        <v>3</v>
      </c>
      <c r="B6" t="s">
        <v>1031</v>
      </c>
      <c r="D6" t="s">
        <v>3068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3071</v>
      </c>
      <c r="D7" t="s">
        <v>3068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3072</v>
      </c>
    </row>
    <row r="8" spans="1:8">
      <c r="A8">
        <v>5</v>
      </c>
      <c r="B8" t="s">
        <v>3073</v>
      </c>
      <c r="D8" t="s">
        <v>3068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3068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3068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3068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3068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3068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3068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3068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3068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3068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3068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3068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3068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3068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3068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3074</v>
      </c>
      <c r="D23" t="s">
        <v>3068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3068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3075</v>
      </c>
      <c r="D25" t="s">
        <v>3068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3076</v>
      </c>
      <c r="D26" t="s">
        <v>3068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3068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3068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3077</v>
      </c>
      <c r="D29" t="s">
        <v>3068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3068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3068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3068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3078</v>
      </c>
      <c r="D33" t="s">
        <v>3068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3079</v>
      </c>
      <c r="D34" t="s">
        <v>3068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3068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3068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3068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3080</v>
      </c>
      <c r="D38" t="s">
        <v>3068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3081</v>
      </c>
      <c r="D39" t="s">
        <v>3068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3068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3082</v>
      </c>
      <c r="D41" t="s">
        <v>3068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3068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3068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3083</v>
      </c>
      <c r="D44" t="s">
        <v>3068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3068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3068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3068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3068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3084</v>
      </c>
      <c r="D49" t="s">
        <v>3068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3068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3085</v>
      </c>
      <c r="D51" t="s">
        <v>3068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3068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3068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3086</v>
      </c>
      <c r="D54" t="s">
        <v>3068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3068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3068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3068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3087</v>
      </c>
      <c r="D58" t="s">
        <v>3068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3068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3068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3088</v>
      </c>
      <c r="D61" t="s">
        <v>3068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3089</v>
      </c>
      <c r="D62" t="s">
        <v>3068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3090</v>
      </c>
      <c r="D63" t="s">
        <v>3068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3091</v>
      </c>
      <c r="D64" t="s">
        <v>3068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3068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3068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3092</v>
      </c>
      <c r="D67" t="s">
        <v>3068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3093</v>
      </c>
      <c r="D68" t="s">
        <v>3068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3068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3094</v>
      </c>
      <c r="D70" t="s">
        <v>3068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3068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3068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3068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3095</v>
      </c>
      <c r="D74" t="s">
        <v>3068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3068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3068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3068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3068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3096</v>
      </c>
      <c r="D79" t="s">
        <v>3068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3097</v>
      </c>
      <c r="D80" t="s">
        <v>3068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3098</v>
      </c>
      <c r="D81" t="s">
        <v>3068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3099</v>
      </c>
      <c r="D82" t="s">
        <v>3068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3068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3100</v>
      </c>
      <c r="D84" t="s">
        <v>3068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3068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3101</v>
      </c>
      <c r="D86" t="s">
        <v>3068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3102</v>
      </c>
      <c r="D87" t="s">
        <v>3068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3103</v>
      </c>
      <c r="D88" t="s">
        <v>3068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3104</v>
      </c>
      <c r="D89" t="s">
        <v>3068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3105</v>
      </c>
      <c r="D90" t="s">
        <v>3068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3106</v>
      </c>
      <c r="D91" t="s">
        <v>3068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3107</v>
      </c>
      <c r="D92" t="s">
        <v>3068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3108</v>
      </c>
      <c r="D93" t="s">
        <v>3068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3109</v>
      </c>
      <c r="D94" t="s">
        <v>3068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3068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3110</v>
      </c>
      <c r="D96" t="s">
        <v>3068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3068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3111</v>
      </c>
      <c r="D98" t="s">
        <v>3068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3112</v>
      </c>
      <c r="D99" t="s">
        <v>3068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3113</v>
      </c>
      <c r="D100" t="s">
        <v>3068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3114</v>
      </c>
      <c r="D101" t="s">
        <v>3068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3068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3115</v>
      </c>
      <c r="D103" t="s">
        <v>3068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3116</v>
      </c>
      <c r="D104" t="s">
        <v>3068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3117</v>
      </c>
      <c r="D105" t="s">
        <v>3068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3068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3068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3118</v>
      </c>
      <c r="D108" t="s">
        <v>3068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3119</v>
      </c>
      <c r="D109" t="s">
        <v>3068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3120</v>
      </c>
      <c r="D110" t="s">
        <v>3068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3121</v>
      </c>
      <c r="D111" t="s">
        <v>3068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3122</v>
      </c>
      <c r="D112" t="s">
        <v>3068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3123</v>
      </c>
      <c r="D113" t="s">
        <v>3068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3124</v>
      </c>
      <c r="C1" s="18" t="s">
        <v>3125</v>
      </c>
      <c r="D1" s="18" t="s">
        <v>4</v>
      </c>
      <c r="E1" s="18" t="s">
        <v>3126</v>
      </c>
      <c r="F1" s="18" t="s">
        <v>19</v>
      </c>
      <c r="G1" s="18" t="s">
        <v>3127</v>
      </c>
      <c r="H1" s="18" t="s">
        <v>3128</v>
      </c>
      <c r="I1" s="18" t="s">
        <v>3129</v>
      </c>
      <c r="J1" s="18" t="s">
        <v>3130</v>
      </c>
      <c r="L1" s="109" t="s">
        <v>3131</v>
      </c>
      <c r="M1" s="22">
        <v>2026</v>
      </c>
      <c r="U1" s="79" t="s">
        <v>3132</v>
      </c>
      <c r="V1" s="78"/>
      <c r="X1" s="77" t="s">
        <v>3133</v>
      </c>
      <c r="Y1" s="26"/>
      <c r="Z1" s="26"/>
      <c r="AA1" s="26"/>
      <c r="AC1" s="99" t="s">
        <v>3134</v>
      </c>
    </row>
    <row r="2" spans="1:31">
      <c r="A2" s="20" cm="1">
        <f t="array" aca="1" ref="A2:J15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3135</v>
      </c>
      <c r="M2" s="105" t="s">
        <v>2929</v>
      </c>
      <c r="X2" s="111" t="s">
        <v>3124</v>
      </c>
      <c r="Y2" s="111" t="s">
        <v>19</v>
      </c>
      <c r="Z2" s="111" t="s">
        <v>3136</v>
      </c>
      <c r="AA2" s="111" t="s">
        <v>3137</v>
      </c>
      <c r="AC2" s="112" t="s">
        <v>1</v>
      </c>
      <c r="AD2" s="112" t="s">
        <v>3138</v>
      </c>
      <c r="AE2" s="112" t="s">
        <v>3139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3140</v>
      </c>
      <c r="M3" s="110" t="s">
        <v>3141</v>
      </c>
      <c r="N3" s="110" t="s">
        <v>3142</v>
      </c>
      <c r="O3" s="110" t="s">
        <v>3143</v>
      </c>
      <c r="P3" s="110" t="s">
        <v>3144</v>
      </c>
      <c r="Q3" s="110" t="s">
        <v>3145</v>
      </c>
      <c r="R3" s="110" t="s">
        <v>3146</v>
      </c>
      <c r="S3" s="110" t="s">
        <v>3147</v>
      </c>
      <c r="T3" s="110" t="s">
        <v>3148</v>
      </c>
      <c r="X3" t="s">
        <v>2836</v>
      </c>
      <c r="Y3" t="s">
        <v>3081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3149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3081</v>
      </c>
      <c r="Z6">
        <v>1</v>
      </c>
      <c r="AA6">
        <v>0</v>
      </c>
      <c r="AC6" s="96">
        <v>2026</v>
      </c>
      <c r="AD6" s="17" t="s">
        <v>3150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3075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3093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3075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3093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3075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3093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3081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3081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3116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3112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3094</v>
      </c>
      <c r="Z33">
        <v>4</v>
      </c>
      <c r="AA33">
        <v>0.6</v>
      </c>
      <c r="AC33" s="98"/>
      <c r="AD33" s="113" t="s">
        <v>3151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3095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3086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3103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3102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3114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3111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3113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3110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3152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3117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3115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3102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3109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3108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3107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2026-077</v>
      </c>
      <c r="N61" t="str">
        <f ca="1"/>
        <v>A realizar</v>
      </c>
      <c r="O61" t="str">
        <f ca="1"/>
        <v>Exibição de filme: Consciência Negra</v>
      </c>
      <c r="P61">
        <f ca="1"/>
        <v>0</v>
      </c>
      <c r="Q61">
        <f ca="1"/>
        <v>0</v>
      </c>
      <c r="R61">
        <f ca="1"/>
        <v>1</v>
      </c>
      <c r="S61">
        <f ca="1"/>
        <v>136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2026-074</v>
      </c>
      <c r="N62" t="str">
        <f ca="1"/>
        <v>Realizado</v>
      </c>
      <c r="O62" t="str">
        <f ca="1"/>
        <v>Café e Tertúlia: Gincana dos Neurotransmissores</v>
      </c>
      <c r="P62">
        <f ca="1"/>
        <v>2</v>
      </c>
      <c r="Q62" t="str">
        <f ca="1"/>
        <v>Isac Mendes Caixeta de Pamplona Araújo; Valéria Feitoza; Cinthia Thais de Carvalho Luz Thomazi</v>
      </c>
      <c r="R62">
        <f ca="1"/>
        <v>3</v>
      </c>
      <c r="S62">
        <f ca="1"/>
        <v>139</v>
      </c>
      <c r="T62">
        <f ca="1"/>
        <v>136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140</v>
      </c>
      <c r="T63">
        <f ca="1"/>
        <v>139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142</v>
      </c>
      <c r="T64">
        <f ca="1"/>
        <v>140</v>
      </c>
      <c r="X64" t="s">
        <v>2702</v>
      </c>
      <c r="Y64" t="s">
        <v>3099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143</v>
      </c>
      <c r="T65">
        <f ca="1"/>
        <v>142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2026-084</v>
      </c>
      <c r="N66" t="str">
        <f ca="1"/>
        <v>A realizar</v>
      </c>
      <c r="O66" t="str">
        <f ca="1"/>
        <v>Oficina EmentAI: o seu assistente de IA na elaboração de ementas jurisprudenciais</v>
      </c>
      <c r="P66">
        <f ca="1"/>
        <v>4</v>
      </c>
      <c r="Q66" t="str">
        <f ca="1"/>
        <v>Caio Filipe</v>
      </c>
      <c r="R66">
        <f ca="1"/>
        <v>1</v>
      </c>
      <c r="S66">
        <f ca="1"/>
        <v>144</v>
      </c>
      <c r="T66">
        <f ca="1"/>
        <v>143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2026-085</v>
      </c>
      <c r="N67" t="str">
        <f ca="1"/>
        <v>Realizado</v>
      </c>
      <c r="O67" t="str">
        <f ca="1"/>
        <v xml:space="preserve">Introdução à Engenharia de Prompt – T5 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146</v>
      </c>
      <c r="T67">
        <f ca="1"/>
        <v>144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2026-086</v>
      </c>
      <c r="N68" t="str">
        <f ca="1"/>
        <v>A realizar</v>
      </c>
      <c r="O68" t="str">
        <f ca="1"/>
        <v>Introdução à Engenharia de Prompt – T6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148</v>
      </c>
      <c r="T68">
        <f ca="1"/>
        <v>146</v>
      </c>
      <c r="X68" t="s">
        <v>2965</v>
      </c>
      <c r="Y68" t="s">
        <v>3097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2026-087</v>
      </c>
      <c r="N69" t="str">
        <f ca="1"/>
        <v>Realizado</v>
      </c>
      <c r="O69" t="str">
        <f ca="1"/>
        <v>Café e Tertúlia - Show de Talentos</v>
      </c>
      <c r="P69">
        <f ca="1"/>
        <v>2</v>
      </c>
      <c r="Q69" t="str">
        <f ca="1"/>
        <v>Isac Mendes Caixeta de Pamplona Araújo; Valéria Feitoza; Cinthia Thais de Carvalho Luz Thomazi</v>
      </c>
      <c r="R69">
        <f ca="1"/>
        <v>3</v>
      </c>
      <c r="S69">
        <f ca="1"/>
        <v>151</v>
      </c>
      <c r="T69">
        <f ca="1"/>
        <v>148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153</v>
      </c>
      <c r="T70">
        <f ca="1"/>
        <v>151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153</v>
      </c>
      <c r="X71" t="s">
        <v>2823</v>
      </c>
      <c r="Y71" s="17" t="s">
        <v>3081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3086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3100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3104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3101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3105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3087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3087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3087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3004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3004</v>
      </c>
      <c r="Y87" t="s">
        <v>3099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3004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3051</v>
      </c>
      <c r="Y89" t="s">
        <v>3086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3055</v>
      </c>
      <c r="Y90" t="s">
        <v>3120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2026-077</v>
      </c>
      <c r="C137" t="str">
        <f ca="1"/>
        <v>A realizar</v>
      </c>
      <c r="D137" t="str">
        <f ca="1"/>
        <v>Exibição de filme: Consciência Negra</v>
      </c>
      <c r="E137">
        <f ca="1"/>
        <v>0</v>
      </c>
      <c r="F137" t="str">
        <f ca="1"/>
        <v>0</v>
      </c>
      <c r="G137">
        <f ca="1"/>
        <v>1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2026-074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2026-074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2026-074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2026-081</v>
      </c>
      <c r="C141" t="str">
        <f ca="1"/>
        <v>Realizado</v>
      </c>
      <c r="D141" t="str">
        <f ca="1"/>
        <v>Contratações de TIC com base na jurisprudência do TCDF - SGDI</v>
      </c>
      <c r="E141">
        <f ca="1"/>
        <v>8</v>
      </c>
      <c r="F141" t="str">
        <f ca="1"/>
        <v>Felipe da Costa Malaquias</v>
      </c>
      <c r="G141">
        <f ca="1"/>
        <v>1</v>
      </c>
      <c r="H141">
        <f ca="1"/>
        <v>8</v>
      </c>
      <c r="I141">
        <f ca="1"/>
        <v>2.4</v>
      </c>
      <c r="J141">
        <f ca="1"/>
        <v>10.4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Luciana Alvim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2026-082</v>
      </c>
      <c r="C143" t="str">
        <f ca="1"/>
        <v>Realizado</v>
      </c>
      <c r="D143" t="str">
        <f ca="1"/>
        <v>Curso de formação para gestores e fiscais de contrato nas unidades hospitalares – Turma 4</v>
      </c>
      <c r="E143">
        <f ca="1"/>
        <v>12</v>
      </c>
      <c r="F143" t="str">
        <f ca="1"/>
        <v>Tarsila Firmino Ely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2026-083</v>
      </c>
      <c r="C144" t="str">
        <f ca="1"/>
        <v>Realizado</v>
      </c>
      <c r="D144" t="str">
        <f ca="1"/>
        <v>Oficina básica de Power Automate</v>
      </c>
      <c r="E144">
        <f ca="1"/>
        <v>9</v>
      </c>
      <c r="F144" t="str">
        <f ca="1"/>
        <v>Josdeyvi Magalhães Russi</v>
      </c>
      <c r="G144">
        <f ca="1"/>
        <v>1</v>
      </c>
      <c r="H144">
        <f ca="1"/>
        <v>9</v>
      </c>
      <c r="I144">
        <f ca="1"/>
        <v>2.6999999999999997</v>
      </c>
      <c r="J144">
        <f ca="1"/>
        <v>11.7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2026-084</v>
      </c>
      <c r="C145" t="str">
        <f ca="1"/>
        <v>A realizar</v>
      </c>
      <c r="D145" t="str">
        <f ca="1"/>
        <v>Oficina EmentAI: o seu assistente de IA na elaboração de ementas jurisprudenciais</v>
      </c>
      <c r="E145">
        <f ca="1"/>
        <v>4</v>
      </c>
      <c r="F145" t="str">
        <f ca="1"/>
        <v>Caio Filipe</v>
      </c>
      <c r="G145">
        <f ca="1"/>
        <v>1</v>
      </c>
      <c r="H145">
        <f ca="1"/>
        <v>4</v>
      </c>
      <c r="I145">
        <f ca="1"/>
        <v>1.2</v>
      </c>
      <c r="J145">
        <f ca="1"/>
        <v>5.2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Arthur Wú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2026-085</v>
      </c>
      <c r="C147" t="str">
        <f ca="1"/>
        <v>Realizado</v>
      </c>
      <c r="D147" t="str">
        <f ca="1"/>
        <v xml:space="preserve">Introdução à Engenharia de Prompt – T5 </v>
      </c>
      <c r="E147">
        <f ca="1"/>
        <v>8</v>
      </c>
      <c r="F147" t="str">
        <f ca="1"/>
        <v>Gustavo Takahashi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Arthur Wú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2026-086</v>
      </c>
      <c r="C149" t="str">
        <f ca="1"/>
        <v>A realizar</v>
      </c>
      <c r="D149" t="str">
        <f ca="1"/>
        <v>Introdução à Engenharia de Prompt – T6</v>
      </c>
      <c r="E149">
        <f ca="1"/>
        <v>8</v>
      </c>
      <c r="F149" t="str">
        <f ca="1"/>
        <v>Gustavo Takahashi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Isac Mendes Caixeta de Pamplona Araújo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Valéria Feitoza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Cinthia Thais de Carvalho Luz Thomazi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Indio Artiaga do Brasil Rabelo</v>
      </c>
      <c r="G153">
        <f ca="1"/>
        <v>2</v>
      </c>
      <c r="H153">
        <f ca="1"/>
        <v>12</v>
      </c>
      <c r="I153">
        <f ca="1"/>
        <v>3.5999999999999996</v>
      </c>
      <c r="J153">
        <f ca="1"/>
        <v>15.6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Leonardo de Melo</v>
      </c>
      <c r="G154">
        <f ca="1"/>
        <v>2</v>
      </c>
      <c r="H154">
        <f ca="1"/>
        <v>0</v>
      </c>
      <c r="I154">
        <f ca="1"/>
        <v>0</v>
      </c>
      <c r="J154">
        <f ca="1"/>
        <v>0</v>
      </c>
      <c r="R154" t="str">
        <f ca="1"/>
        <v/>
      </c>
      <c r="S154" t="str">
        <f ca="1"/>
        <v/>
      </c>
    </row>
    <row r="155" spans="1:19"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3153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8" t="s">
        <v>3154</v>
      </c>
      <c r="B4" s="219"/>
      <c r="D4" s="220" t="s">
        <v>3155</v>
      </c>
      <c r="E4" s="221"/>
      <c r="G4" s="44" t="s">
        <v>3156</v>
      </c>
    </row>
    <row r="5" spans="1:7" ht="54.95" customHeight="1" thickBot="1">
      <c r="A5" s="34">
        <f>COUNTIF('Ações InCompany'!B:B,2026)</f>
        <v>91</v>
      </c>
      <c r="B5" s="35" t="s">
        <v>3157</v>
      </c>
      <c r="D5" s="42">
        <f>COUNTIFS('Ações InCompany'!B:B,2026,'Ações InCompany'!C:C,"Realizado")</f>
        <v>67</v>
      </c>
      <c r="E5" s="43" t="s">
        <v>3157</v>
      </c>
      <c r="G5" s="45">
        <f>COUNTIFS('Ações InCompany'!B:B,2026,'Ações InCompany'!C:C,"A realizar")</f>
        <v>15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6" t="s">
        <v>3158</v>
      </c>
      <c r="B8" s="216"/>
      <c r="D8" s="216" t="s">
        <v>3159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3160</v>
      </c>
      <c r="D10" s="27" t="s">
        <v>3161</v>
      </c>
      <c r="E10" s="27" t="s">
        <v>3162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3163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3164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3165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3166</v>
      </c>
      <c r="B14" s="33">
        <f>SUM(B11:B13)</f>
        <v>67</v>
      </c>
      <c r="D14" s="32" t="s">
        <v>3167</v>
      </c>
      <c r="E14" s="33">
        <f>SUM(E11:E13)</f>
        <v>3539</v>
      </c>
    </row>
    <row r="30" spans="1:5" ht="17.25">
      <c r="A30" s="216" t="s">
        <v>3168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3169</v>
      </c>
      <c r="C32" s="27" t="s">
        <v>3170</v>
      </c>
      <c r="D32" s="27" t="s">
        <v>3171</v>
      </c>
      <c r="E32" s="27" t="s">
        <v>3172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3173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3174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3166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3175</v>
      </c>
      <c r="B1" s="11" t="s">
        <v>3176</v>
      </c>
      <c r="C1" s="12" t="s">
        <v>3177</v>
      </c>
      <c r="D1" s="12" t="s">
        <v>3178</v>
      </c>
      <c r="E1" s="12" t="s">
        <v>3179</v>
      </c>
    </row>
    <row r="2" spans="1:5" ht="18" customHeight="1">
      <c r="A2" s="11" t="s">
        <v>3180</v>
      </c>
      <c r="B2" s="11" t="s">
        <v>3181</v>
      </c>
      <c r="C2" s="11" t="s">
        <v>1737</v>
      </c>
      <c r="D2" s="11" t="s">
        <v>3182</v>
      </c>
      <c r="E2" s="11" t="s">
        <v>3183</v>
      </c>
    </row>
    <row r="3" spans="1:5" ht="18" customHeight="1">
      <c r="A3" s="11" t="s">
        <v>3180</v>
      </c>
      <c r="B3" s="11" t="s">
        <v>3181</v>
      </c>
      <c r="C3" s="13" t="s">
        <v>26</v>
      </c>
      <c r="D3" s="11" t="s">
        <v>3184</v>
      </c>
      <c r="E3" s="11" t="s">
        <v>3185</v>
      </c>
    </row>
    <row r="4" spans="1:5" ht="18" customHeight="1">
      <c r="A4" s="11" t="s">
        <v>3180</v>
      </c>
      <c r="B4" s="11" t="s">
        <v>3181</v>
      </c>
      <c r="C4" s="11" t="s">
        <v>76</v>
      </c>
      <c r="D4" s="11" t="s">
        <v>3182</v>
      </c>
      <c r="E4" s="11" t="s">
        <v>3186</v>
      </c>
    </row>
    <row r="5" spans="1:5" ht="18" customHeight="1">
      <c r="A5" s="11" t="s">
        <v>3180</v>
      </c>
      <c r="B5" s="11" t="s">
        <v>3181</v>
      </c>
      <c r="C5" s="11" t="s">
        <v>80</v>
      </c>
      <c r="D5" s="11" t="s">
        <v>3187</v>
      </c>
      <c r="E5" s="11" t="s">
        <v>3188</v>
      </c>
    </row>
    <row r="6" spans="1:5" ht="18" customHeight="1">
      <c r="A6" s="11" t="s">
        <v>3180</v>
      </c>
      <c r="B6" s="11" t="s">
        <v>3181</v>
      </c>
      <c r="C6" s="11" t="s">
        <v>2718</v>
      </c>
      <c r="D6" s="11" t="s">
        <v>3189</v>
      </c>
      <c r="E6" s="11" t="s">
        <v>3190</v>
      </c>
    </row>
    <row r="7" spans="1:5" ht="18" customHeight="1">
      <c r="A7" s="11" t="s">
        <v>3180</v>
      </c>
      <c r="B7" s="11" t="s">
        <v>3191</v>
      </c>
      <c r="C7" s="11" t="s">
        <v>37</v>
      </c>
      <c r="D7" s="11" t="s">
        <v>3192</v>
      </c>
      <c r="E7" s="11" t="s">
        <v>3193</v>
      </c>
    </row>
    <row r="8" spans="1:5" ht="18" customHeight="1">
      <c r="A8" s="11" t="s">
        <v>3180</v>
      </c>
      <c r="B8" s="11" t="s">
        <v>3191</v>
      </c>
      <c r="C8" s="11" t="s">
        <v>43</v>
      </c>
      <c r="D8" s="11" t="s">
        <v>3194</v>
      </c>
      <c r="E8" s="11" t="s">
        <v>3195</v>
      </c>
    </row>
    <row r="9" spans="1:5" ht="18" customHeight="1">
      <c r="A9" s="11" t="s">
        <v>3180</v>
      </c>
      <c r="B9" s="11" t="s">
        <v>3196</v>
      </c>
      <c r="C9" s="11" t="s">
        <v>465</v>
      </c>
      <c r="D9" s="11" t="s">
        <v>3197</v>
      </c>
      <c r="E9" s="11" t="s">
        <v>3198</v>
      </c>
    </row>
    <row r="10" spans="1:5" ht="18" customHeight="1">
      <c r="A10" s="11" t="s">
        <v>3180</v>
      </c>
      <c r="B10" s="11" t="s">
        <v>3196</v>
      </c>
      <c r="C10" s="11" t="s">
        <v>207</v>
      </c>
      <c r="D10" s="11" t="s">
        <v>25</v>
      </c>
      <c r="E10" s="11" t="s">
        <v>3199</v>
      </c>
    </row>
    <row r="11" spans="1:5" ht="18" customHeight="1">
      <c r="A11" s="11" t="s">
        <v>3180</v>
      </c>
      <c r="B11" s="11" t="s">
        <v>3196</v>
      </c>
      <c r="C11" s="11" t="s">
        <v>372</v>
      </c>
      <c r="D11" s="11" t="s">
        <v>25</v>
      </c>
      <c r="E11" s="11" t="s">
        <v>3200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3201</v>
      </c>
      <c r="B1" s="5" t="s">
        <v>10</v>
      </c>
      <c r="C1" s="14" t="s">
        <v>3202</v>
      </c>
      <c r="D1" s="14" t="s">
        <v>3125</v>
      </c>
    </row>
    <row r="2" spans="1:4" ht="21" customHeight="1">
      <c r="A2" s="102" t="s">
        <v>25</v>
      </c>
      <c r="B2" s="102" t="s">
        <v>39</v>
      </c>
      <c r="C2" s="11" t="s">
        <v>3203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3204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3056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3175</v>
      </c>
      <c r="B1" s="11" t="s">
        <v>3176</v>
      </c>
      <c r="C1" s="12" t="s">
        <v>3177</v>
      </c>
      <c r="D1" s="12" t="s">
        <v>3178</v>
      </c>
      <c r="E1" s="12" t="s">
        <v>3179</v>
      </c>
    </row>
    <row r="2" spans="1:5" ht="18" customHeight="1">
      <c r="A2" s="11" t="s">
        <v>3206</v>
      </c>
      <c r="B2" s="11" t="s">
        <v>3181</v>
      </c>
      <c r="C2" s="13" t="s">
        <v>26</v>
      </c>
      <c r="D2" s="11" t="s">
        <v>3182</v>
      </c>
      <c r="E2" s="16" t="s">
        <v>3207</v>
      </c>
    </row>
    <row r="3" spans="1:5" ht="18" customHeight="1">
      <c r="A3" s="11" t="s">
        <v>3206</v>
      </c>
      <c r="B3" s="11" t="s">
        <v>3181</v>
      </c>
      <c r="C3" s="11" t="s">
        <v>76</v>
      </c>
      <c r="D3" s="11" t="s">
        <v>3184</v>
      </c>
      <c r="E3" s="11" t="s">
        <v>3208</v>
      </c>
    </row>
    <row r="4" spans="1:5" ht="18" customHeight="1">
      <c r="A4" s="11" t="s">
        <v>3206</v>
      </c>
      <c r="B4" s="11" t="s">
        <v>3181</v>
      </c>
      <c r="C4" s="11" t="s">
        <v>80</v>
      </c>
      <c r="D4" s="11" t="s">
        <v>3187</v>
      </c>
      <c r="E4" s="11" t="s">
        <v>3209</v>
      </c>
    </row>
    <row r="5" spans="1:5" ht="27.75" customHeight="1">
      <c r="A5" s="11" t="s">
        <v>3206</v>
      </c>
      <c r="B5" s="11" t="s">
        <v>3181</v>
      </c>
      <c r="C5" s="11" t="s">
        <v>2694</v>
      </c>
      <c r="D5" s="16" t="s">
        <v>3210</v>
      </c>
      <c r="E5" s="11" t="s">
        <v>3211</v>
      </c>
    </row>
    <row r="6" spans="1:5" ht="18" customHeight="1">
      <c r="A6" s="11" t="s">
        <v>3206</v>
      </c>
      <c r="B6" s="11" t="s">
        <v>3181</v>
      </c>
      <c r="C6" s="11" t="s">
        <v>2718</v>
      </c>
      <c r="D6" s="11" t="s">
        <v>3189</v>
      </c>
      <c r="E6" s="11" t="s">
        <v>3190</v>
      </c>
    </row>
    <row r="7" spans="1:5" ht="18" customHeight="1">
      <c r="A7" s="11" t="s">
        <v>3206</v>
      </c>
      <c r="B7" s="11" t="s">
        <v>3191</v>
      </c>
      <c r="C7" s="11" t="s">
        <v>2700</v>
      </c>
      <c r="D7" s="11" t="s">
        <v>3212</v>
      </c>
      <c r="E7" s="11" t="s">
        <v>3213</v>
      </c>
    </row>
    <row r="8" spans="1:5" ht="18" customHeight="1">
      <c r="A8" s="11" t="s">
        <v>3206</v>
      </c>
      <c r="B8" s="11" t="s">
        <v>3191</v>
      </c>
      <c r="C8" s="11" t="s">
        <v>43</v>
      </c>
      <c r="D8" s="11" t="s">
        <v>3194</v>
      </c>
      <c r="E8" s="11" t="s">
        <v>3195</v>
      </c>
    </row>
    <row r="9" spans="1:5" ht="18" customHeight="1">
      <c r="A9" s="11" t="s">
        <v>3206</v>
      </c>
      <c r="B9" s="11" t="s">
        <v>3191</v>
      </c>
      <c r="C9" s="11" t="s">
        <v>2793</v>
      </c>
      <c r="D9" s="11" t="s">
        <v>3214</v>
      </c>
      <c r="E9" s="16" t="s">
        <v>3215</v>
      </c>
    </row>
    <row r="10" spans="1:5" ht="18" customHeight="1">
      <c r="A10" s="11" t="s">
        <v>3206</v>
      </c>
      <c r="B10" s="11" t="s">
        <v>3216</v>
      </c>
      <c r="C10" s="11" t="s">
        <v>3173</v>
      </c>
      <c r="D10" s="11" t="s">
        <v>3217</v>
      </c>
      <c r="E10" s="16" t="s">
        <v>3218</v>
      </c>
    </row>
    <row r="11" spans="1:5" ht="18" customHeight="1">
      <c r="A11" s="11" t="s">
        <v>3206</v>
      </c>
      <c r="B11" s="11" t="s">
        <v>3216</v>
      </c>
      <c r="C11" s="11" t="s">
        <v>207</v>
      </c>
      <c r="D11" s="11" t="s">
        <v>25</v>
      </c>
      <c r="E11" s="11" t="s">
        <v>3199</v>
      </c>
    </row>
    <row r="12" spans="1:5" ht="18" customHeight="1">
      <c r="A12" s="11" t="s">
        <v>3206</v>
      </c>
      <c r="B12" s="11" t="s">
        <v>3216</v>
      </c>
      <c r="C12" s="11" t="s">
        <v>372</v>
      </c>
      <c r="D12" s="11" t="s">
        <v>25</v>
      </c>
      <c r="E12" s="11" t="s">
        <v>3200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3219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3220</v>
      </c>
    </row>
    <row r="4" spans="1:8" ht="21.95" customHeight="1">
      <c r="A4" s="223" t="s">
        <v>3221</v>
      </c>
      <c r="B4" s="224"/>
      <c r="D4" s="223" t="s">
        <v>3222</v>
      </c>
      <c r="E4" s="224"/>
      <c r="G4" s="223" t="s">
        <v>3223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3224</v>
      </c>
      <c r="B7" s="61" t="s">
        <v>3225</v>
      </c>
      <c r="C7" s="61" t="s">
        <v>1</v>
      </c>
      <c r="D7" s="61" t="s">
        <v>3226</v>
      </c>
      <c r="E7" s="61" t="s">
        <v>3227</v>
      </c>
      <c r="F7" s="61" t="s">
        <v>3125</v>
      </c>
      <c r="G7" s="61" t="s">
        <v>5</v>
      </c>
      <c r="H7" s="61" t="s">
        <v>3228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9" t="s">
        <v>3229</v>
      </c>
      <c r="B1" s="229"/>
      <c r="C1" s="229"/>
      <c r="D1" s="229"/>
      <c r="E1" s="229"/>
      <c r="F1" s="229"/>
    </row>
    <row r="2" spans="1:7">
      <c r="A2" s="230" t="s">
        <v>3230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3128</v>
      </c>
      <c r="C4" s="24" t="s">
        <v>3129</v>
      </c>
      <c r="D4" s="24" t="s">
        <v>3231</v>
      </c>
      <c r="E4" s="24" t="s">
        <v>3130</v>
      </c>
      <c r="F4" s="24" t="s">
        <v>3232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3167</v>
      </c>
      <c r="B105" s="94">
        <f ca="1">SUM(B5:B100)</f>
        <v>882</v>
      </c>
      <c r="C105" s="94">
        <f ca="1">SUM(C5:C100)</f>
        <v>392.93999999999994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3233</v>
      </c>
      <c r="B1" s="116" t="s">
        <v>3234</v>
      </c>
      <c r="C1" s="116" t="s">
        <v>3235</v>
      </c>
      <c r="D1" s="116" t="s">
        <v>3236</v>
      </c>
      <c r="E1" s="116" t="s">
        <v>3237</v>
      </c>
      <c r="F1" s="116" t="s">
        <v>3238</v>
      </c>
      <c r="G1" s="116" t="s">
        <v>10</v>
      </c>
      <c r="H1" s="116" t="s">
        <v>3239</v>
      </c>
      <c r="I1" s="116" t="s">
        <v>3240</v>
      </c>
      <c r="J1" s="116" t="s">
        <v>3241</v>
      </c>
      <c r="K1" s="116" t="s">
        <v>3242</v>
      </c>
      <c r="L1" s="116" t="s">
        <v>3243</v>
      </c>
      <c r="N1" s="116" t="s">
        <v>3244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3245</v>
      </c>
      <c r="L2" t="str">
        <f>IF(K2="","",IFERROR(INDEX(Tabela2[Curso],MATCH(K2,Tabela2[ID],0)),""))</f>
        <v/>
      </c>
      <c r="N2" s="116" t="s">
        <v>3124</v>
      </c>
      <c r="O2" s="116" t="s">
        <v>4</v>
      </c>
      <c r="P2" s="116" t="s">
        <v>3246</v>
      </c>
      <c r="Q2" s="116" t="s">
        <v>3247</v>
      </c>
      <c r="R2" s="116" t="s">
        <v>3248</v>
      </c>
      <c r="S2" s="116" t="s">
        <v>3249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3245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3245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3245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3245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3245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3245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3245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3245</v>
      </c>
      <c r="L10" t="str">
        <f>IF(K10="","",IFERROR(INDEX(Tabela2[Curso],MATCH(K10,Tabela2[ID],0)),""))</f>
        <v/>
      </c>
      <c r="N10" s="110" t="s">
        <v>3250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3245</v>
      </c>
      <c r="L11" t="str">
        <f>IF(K11="","",IFERROR(INDEX(Tabela2[Curso],MATCH(K11,Tabela2[ID],0)),""))</f>
        <v/>
      </c>
      <c r="N11" s="208" t="s">
        <v>3251</v>
      </c>
      <c r="O11" s="208" t="s">
        <v>3252</v>
      </c>
      <c r="P11" s="208" t="s">
        <v>3253</v>
      </c>
      <c r="Q11" s="208" t="s">
        <v>3236</v>
      </c>
      <c r="R11" s="208" t="s">
        <v>3237</v>
      </c>
      <c r="S11" s="208" t="s">
        <v>3254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3245</v>
      </c>
      <c r="L12" t="str">
        <f>IF(K12="","",IFERROR(INDEX(Tabela2[Curso],MATCH(K12,Tabela2[ID],0)),""))</f>
        <v/>
      </c>
      <c r="N12" t="s">
        <v>3255</v>
      </c>
      <c r="O12" t="s">
        <v>2754</v>
      </c>
      <c r="P12" t="s">
        <v>3256</v>
      </c>
      <c r="Q12">
        <v>0</v>
      </c>
      <c r="R12">
        <v>0</v>
      </c>
      <c r="S12" t="s">
        <v>3257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3245</v>
      </c>
      <c r="L13" t="str">
        <f>IF(K13="","",IFERROR(INDEX(Tabela2[Curso],MATCH(K13,Tabela2[ID],0)),""))</f>
        <v/>
      </c>
      <c r="N13" t="s">
        <v>3258</v>
      </c>
      <c r="O13" t="s">
        <v>2686</v>
      </c>
      <c r="P13" t="s">
        <v>3259</v>
      </c>
      <c r="Q13">
        <v>0</v>
      </c>
      <c r="R13">
        <v>0</v>
      </c>
      <c r="S13" t="s">
        <v>3260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3245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3245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3245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3245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3245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3245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3245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3245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3245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3245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3245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3245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3245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3245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3245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3245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3245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3245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3245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3245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3245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3245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3245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3245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3245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3245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3245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3245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3245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3245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3245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3245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3245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3245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3245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3245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3245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3245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3245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3245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3245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3245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3245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3245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3245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3245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3245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3245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3245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3245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3245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2026-10-07T11:19:56Z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