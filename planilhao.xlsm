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41" documentId="13_ncr:1_{6A2CC3E2-FAFB-4D8F-B284-5E8FB5045DFE}" xr6:coauthVersionLast="47" xr6:coauthVersionMax="47" xr10:uidLastSave="{FB772351-3BF3-40AD-AFCC-0FD3658E24A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l="1" a="1"/>
  <c r="A5" i="23" l="1" a="1"/>
  <c r="C58" i="23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E105" i="23"/>
  <c r="F6" i="23" l="1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B6" i="23"/>
  <c r="C6" i="23"/>
  <c r="E43" i="23"/>
  <c r="B21" i="23"/>
  <c r="B41" i="23"/>
  <c r="D6" i="23"/>
  <c r="C20" i="23"/>
  <c r="D35" i="23"/>
  <c r="E19" i="23"/>
  <c r="F32" i="23"/>
  <c r="C44" i="23"/>
  <c r="E55" i="23"/>
  <c r="B38" i="23"/>
  <c r="C15" i="23"/>
  <c r="C36" i="23"/>
  <c r="F25" i="23"/>
  <c r="F14" i="23"/>
  <c r="E6" i="23"/>
  <c r="F44" i="23"/>
  <c r="D14" i="23"/>
  <c r="F17" i="23"/>
  <c r="C33" i="23"/>
  <c r="E21" i="23"/>
  <c r="C47" i="23"/>
  <c r="B54" i="23"/>
  <c r="D7" i="23"/>
  <c r="B12" i="23"/>
  <c r="B37" i="23"/>
  <c r="D41" i="23"/>
  <c r="B47" i="23"/>
  <c r="D37" i="23"/>
  <c r="D46" i="23"/>
  <c r="D43" i="23"/>
  <c r="F47" i="23"/>
  <c r="C12" i="23"/>
  <c r="E28" i="23"/>
  <c r="C45" i="23"/>
  <c r="C46" i="23"/>
  <c r="D10" i="23"/>
  <c r="C9" i="23"/>
  <c r="C53" i="23"/>
  <c r="F45" i="23"/>
  <c r="F34" i="23"/>
  <c r="D39" i="23"/>
  <c r="F33" i="23"/>
  <c r="B50" i="23"/>
  <c r="D17" i="23"/>
  <c r="C10" i="23"/>
  <c r="F16" i="23"/>
  <c r="F22" i="23"/>
  <c r="E40" i="23"/>
  <c r="B30" i="23"/>
  <c r="E13" i="23"/>
  <c r="E24" i="23"/>
  <c r="F38" i="23"/>
  <c r="F13" i="23"/>
  <c r="E33" i="23"/>
  <c r="B18" i="23"/>
  <c r="F23" i="23"/>
  <c r="E36" i="23"/>
  <c r="E48" i="23"/>
  <c r="C54" i="23"/>
  <c r="F42" i="23"/>
  <c r="D22" i="23"/>
  <c r="B51" i="23"/>
  <c r="C23" i="23"/>
  <c r="D32" i="23"/>
  <c r="E31" i="23"/>
  <c r="B27" i="23"/>
  <c r="D54" i="23"/>
  <c r="F51" i="23"/>
  <c r="F37" i="23"/>
  <c r="B49" i="23"/>
  <c r="F53" i="23"/>
  <c r="D38" i="23"/>
  <c r="E8" i="23"/>
  <c r="D47" i="23"/>
  <c r="C30" i="23"/>
  <c r="C42" i="23"/>
  <c r="F19" i="23"/>
  <c r="D27" i="23"/>
  <c r="F30" i="23"/>
  <c r="B55" i="23"/>
  <c r="C43" i="23"/>
  <c r="B23" i="23"/>
  <c r="E18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D20" i="23"/>
  <c r="B35" i="23"/>
  <c r="F35" i="23"/>
  <c r="D19" i="23"/>
  <c r="D48" i="23"/>
  <c r="C29" i="23"/>
  <c r="E35" i="23"/>
  <c r="F28" i="23"/>
  <c r="C17" i="23"/>
  <c r="E51" i="23"/>
  <c r="E46" i="23"/>
  <c r="B9" i="23"/>
  <c r="D21" i="23"/>
  <c r="C34" i="23"/>
  <c r="E7" i="23"/>
  <c r="C27" i="23"/>
  <c r="C18" i="23"/>
  <c r="C7" i="23"/>
  <c r="D33" i="23"/>
  <c r="B28" i="23"/>
  <c r="F24" i="23"/>
  <c r="E11" i="23"/>
  <c r="B16" i="23"/>
  <c r="F8" i="23"/>
  <c r="B24" i="23"/>
  <c r="E30" i="23"/>
  <c r="B15" i="23"/>
  <c r="D36" i="23"/>
  <c r="B43" i="23"/>
  <c r="C37" i="23"/>
  <c r="D40" i="23"/>
  <c r="E50" i="23"/>
  <c r="F26" i="23"/>
  <c r="C16" i="23"/>
  <c r="C38" i="23"/>
  <c r="F18" i="23"/>
  <c r="D11" i="23"/>
  <c r="E37" i="23"/>
  <c r="C41" i="23"/>
  <c r="D50" i="23"/>
  <c r="B32" i="23"/>
  <c r="B14" i="23"/>
  <c r="D51" i="23"/>
  <c r="B25" i="23"/>
  <c r="D30" i="23"/>
  <c r="C13" i="23"/>
  <c r="E20" i="23"/>
  <c r="B22" i="23"/>
  <c r="B39" i="23"/>
  <c r="E12" i="23"/>
  <c r="B33" i="23"/>
  <c r="B11" i="23"/>
  <c r="E54" i="23"/>
  <c r="C21" i="23"/>
  <c r="C11" i="23"/>
  <c r="E34" i="23"/>
  <c r="C22" i="23"/>
  <c r="F40" i="23"/>
  <c r="C32" i="23"/>
  <c r="B53" i="23"/>
  <c r="E45" i="23"/>
  <c r="E23" i="23"/>
  <c r="F49" i="23"/>
  <c r="D55" i="23"/>
  <c r="B40" i="23"/>
  <c r="F12" i="23"/>
  <c r="D9" i="23"/>
  <c r="F55" i="23"/>
  <c r="F46" i="23"/>
  <c r="F21" i="23"/>
  <c r="F15" i="23"/>
  <c r="F31" i="23"/>
  <c r="B7" i="23"/>
  <c r="E27" i="23"/>
  <c r="E17" i="23"/>
  <c r="C31" i="23"/>
  <c r="F11" i="23"/>
  <c r="C19" i="23"/>
  <c r="C39" i="23"/>
  <c r="F7" i="23"/>
  <c r="C40" i="23"/>
  <c r="D16" i="23"/>
  <c r="C49" i="23"/>
  <c r="F43" i="23"/>
  <c r="C52" i="23"/>
  <c r="F9" i="23"/>
  <c r="B13" i="23"/>
  <c r="D13" i="23"/>
  <c r="F27" i="23"/>
  <c r="C14" i="23"/>
  <c r="C51" i="23"/>
  <c r="C48" i="23"/>
  <c r="B46" i="23"/>
  <c r="B52" i="23"/>
  <c r="E44" i="23"/>
  <c r="E9" i="23"/>
  <c r="F36" i="23"/>
  <c r="B34" i="23"/>
  <c r="B31" i="23"/>
  <c r="E14" i="23"/>
  <c r="D42" i="23"/>
  <c r="D25" i="23"/>
  <c r="E39" i="23"/>
  <c r="C28" i="23"/>
  <c r="D49" i="23"/>
  <c r="B48" i="23"/>
  <c r="F29" i="23"/>
  <c r="E25" i="23"/>
  <c r="F54" i="23"/>
  <c r="D45" i="23"/>
  <c r="B19" i="23"/>
  <c r="E53" i="23"/>
  <c r="D24" i="23"/>
  <c r="D53" i="23"/>
  <c r="E16" i="23"/>
  <c r="F41" i="23"/>
  <c r="B17" i="23"/>
  <c r="C24" i="23"/>
  <c r="E42" i="23"/>
  <c r="E47" i="23"/>
  <c r="C55" i="23"/>
  <c r="F20" i="23"/>
  <c r="B29" i="23"/>
  <c r="B45" i="23"/>
  <c r="D15" i="23"/>
  <c r="F48" i="23"/>
  <c r="F52" i="23"/>
  <c r="C5" i="23"/>
  <c r="B5" i="23"/>
  <c r="F5" i="23"/>
  <c r="E5" i="23"/>
  <c r="D5" i="23"/>
  <c r="G5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<sst xmlns="http://schemas.openxmlformats.org/spreadsheetml/2006/main" count="7240" uniqueCount="3186">
  <si>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</si>
  <si>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</si>
  <si>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</si>
  <si>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</si>
  <si>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</si>
  <si>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</si>
  <si>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</si>
  <si>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</si>
  <si>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</si>
  <si>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</si>
  <si>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</si>
  <si>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</si>
  <si>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</si>
  <si>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</si>
  <si>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</si>
  <si>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</si>
  <si>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</si>
  <si>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</si>
  <si>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</si>
  <si>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</si>
  <si>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</si>
  <si>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</si>
  <si>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</si>
  <si>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</si>
  <si>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</si>
  <si>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</si>
  <si>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</si>
  <si>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</si>
  <si>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</si>
  <si>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</si>
  <si>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</si>
  <si>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</si>
  <si>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</si>
  <si>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</si>
  <si>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</si>
  <si>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</si>
  <si>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</si>
  <si>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</si>
  <si>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</si>
  <si>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</si>
  <si>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</si>
  <si>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</si>
  <si>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</si>
  <si>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</si>
  <si>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</si>
  <si>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</si>
  <si>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</si>
  <si>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</si>
  <si>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</si>
  <si>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</si>
  <si>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</si>
  <si>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</si>
  <si>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</si>
  <si>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</si>
  <si>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</si>
  <si>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</si>
  <si>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</si>
  <si>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</si>
  <si>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</si>
  <si>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</si>
  <si>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</si>
  <si>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</si>
  <si>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</si>
  <si>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</si>
  <si>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</si>
  <si>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</si>
  <si>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</si>
  <si>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</si>
  <si>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</si>
  <si>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</si>
  <si>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</si>
  <si>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</si>
  <si>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</si>
  <si>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</si>
  <si>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</si>
  <si>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</si>
  <si>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</si>
  <si>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</si>
  <si>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</si>
  <si>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</si>
  <si>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</si>
  <si>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</si>
  <si>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</si>
  <si>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</si>
  <si>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</si>
  <si>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</si>
  <si>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</si>
  <si>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</si>
  <si>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</si>
  <si>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</si>
  <si>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</si>
  <si>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</si>
  <si>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</si>
  <si>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</si>
  <si>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</si>
  <si>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</si>
  <si>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</si>
  <si>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</si>
  <si>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</si>
  <si>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</si>
  <si>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</si>
  <si>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</si>
  <si>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</si>
  <si>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</si>
  <si>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</si>
  <si>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</si>
  <si>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</si>
  <si>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</si>
  <si>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</si>
  <si>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</si>
  <si>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</si>
  <si>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</si>
  <si>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</si>
  <si>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</si>
  <si>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</si>
  <si>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</si>
  <si>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</si>
  <si>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</si>
  <si>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</si>
  <si>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</si>
  <si>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</si>
  <si>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</si>
  <si>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</si>
  <si>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</si>
  <si>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</si>
  <si>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</si>
  <si>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</si>
  <si>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</si>
  <si>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</si>
  <si>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</si>
  <si>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</si>
  <si>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</si>
  <si>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</si>
  <si>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</si>
  <si>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</si>
  <si>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</si>
  <si>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</si>
  <si>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</si>
  <si>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</si>
  <si>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</si>
  <si>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</si>
  <si>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</si>
  <si>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</si>
  <si>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</si>
  <si>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</si>
  <si>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</si>
  <si>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</si>
  <si>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</si>
  <si>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</si>
  <si>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</si>
  <si>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</si>
  <si>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</si>
  <si>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</si>
  <si>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</si>
  <si>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</si>
  <si>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</si>
  <si>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</si>
  <si>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</si>
  <si>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</si>
  <si>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</si>
  <si>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</si>
  <si>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</si>
  <si>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</si>
  <si>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</si>
  <si>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</si>
  <si>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</si>
  <si>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</si>
  <si>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</si>
  <si>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</si>
  <si>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</si>
  <si>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</si>
  <si>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</si>
  <si>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</si>
  <si>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</si>
  <si>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</si>
  <si>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</si>
  <si>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</si>
  <si>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</si>
  <si>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</si>
  <si>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</si>
  <si>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</si>
  <si>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</si>
  <si>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</si>
  <si>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</si>
  <si>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</si>
  <si>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</si>
  <si>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</si>
  <si>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</si>
  <si>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</si>
  <si>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</si>
  <si>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</si>
  <si>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</si>
  <si>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</si>
  <si>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</si>
  <si>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</si>
  <si>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</si>
  <si>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</si>
  <si>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</si>
  <si>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</si>
  <si>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</si>
  <si>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</si>
  <si>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</si>
  <si>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</si>
  <si>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</si>
  <si>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</si>
  <si>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</si>
  <si>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</si>
  <si>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</si>
  <si>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</si>
  <si>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</si>
  <si>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</si>
  <si>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</si>
  <si>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</si>
  <si>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</si>
  <si>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</si>
  <si>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</si>
  <si>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</si>
  <si>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</si>
  <si>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</si>
  <si>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</si>
  <si>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</si>
  <si>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</si>
  <si>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</si>
  <si>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</si>
  <si>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</si>
  <si>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</si>
  <si>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</si>
  <si>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</si>
  <si>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</si>
  <si>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</si>
  <si>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</si>
  <si>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</si>
  <si>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</si>
  <si>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</si>
  <si>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</si>
  <si>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</si>
  <si>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</si>
  <si>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</si>
  <si>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</si>
  <si>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</si>
  <si>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</si>
  <si>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</si>
  <si>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</si>
  <si>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</si>
  <si>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</si>
  <si>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</si>
  <si>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</si>
  <si>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</si>
  <si>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</si>
  <si>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</si>
  <si>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</si>
  <si>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</si>
  <si>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</si>
  <si>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</si>
  <si>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</si>
  <si>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</si>
  <si>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</si>
  <si>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</si>
  <si>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</si>
  <si>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</si>
  <si>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</si>
  <si>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</si>
  <si>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</si>
  <si>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</si>
  <si>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</si>
  <si>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</si>
  <si>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</si>
  <si>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</si>
  <si>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</si>
  <si>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</si>
  <si>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</si>
  <si>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</si>
  <si>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</si>
  <si>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</si>
  <si>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</si>
  <si>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</si>
  <si>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</si>
  <si>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</si>
  <si>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</si>
  <si>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</si>
  <si>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</si>
  <si>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</si>
  <si>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</si>
  <si>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</si>
  <si>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</si>
  <si>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</si>
  <si>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</si>
  <si>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</si>
  <si>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</si>
  <si>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</si>
  <si>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</si>
  <si>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</si>
  <si>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</si>
  <si>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</si>
  <si>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</si>
  <si>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</si>
  <si>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</si>
  <si>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</si>
  <si>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</si>
  <si>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</si>
  <si>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</si>
  <si>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</si>
  <si>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</si>
  <si>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</si>
  <si>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</si>
  <si>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</si>
  <si>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</si>
  <si>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</si>
  <si>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</si>
  <si>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</si>
  <si>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</si>
  <si>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</si>
  <si>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</si>
  <si>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</si>
  <si>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</si>
  <si>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</si>
  <si>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</si>
  <si>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</si>
  <si>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</si>
  <si>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</si>
  <si>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</si>
  <si>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</si>
  <si>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</si>
  <si>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</si>
  <si>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</si>
  <si>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</si>
  <si>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</si>
  <si>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</si>
  <si>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</si>
  <si>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</si>
  <si>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</si>
  <si>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</si>
  <si>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</si>
  <si>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</si>
  <si>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</si>
  <si>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</si>
  <si>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</si>
  <si>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</si>
  <si>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</si>
  <si>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</si>
  <si>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</si>
  <si>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</si>
  <si>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</si>
  <si>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</si>
  <si>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</si>
  <si>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</si>
  <si>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</si>
  <si>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</si>
  <si>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</si>
  <si>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</si>
  <si>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</si>
  <si>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</si>
  <si>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</si>
  <si>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</si>
  <si>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</si>
  <si>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</si>
  <si>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</si>
  <si>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</si>
  <si>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</si>
  <si>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</si>
  <si>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</si>
  <si>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</si>
  <si>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</si>
  <si>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</si>
  <si>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</si>
  <si>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</si>
  <si>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</si>
  <si>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</si>
  <si>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</si>
  <si>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</si>
  <si>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</si>
  <si>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</si>
  <si>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</si>
  <si>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</si>
  <si>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</si>
  <si>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</si>
  <si>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</si>
  <si>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</si>
  <si>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</si>
  <si>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</si>
  <si>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</si>
  <si>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</si>
  <si>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</si>
  <si>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</si>
  <si>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</si>
  <si>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</si>
  <si>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</si>
  <si>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</si>
  <si>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</si>
  <si>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</si>
  <si>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</si>
  <si>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</si>
  <si>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</si>
  <si>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</si>
  <si>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</si>
  <si>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</si>
  <si>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</si>
  <si>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</si>
  <si>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</si>
  <si>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</si>
  <si>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</si>
  <si>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</si>
  <si>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</si>
  <si>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</si>
  <si>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</si>
  <si>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</si>
  <si>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</si>
  <si>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</si>
  <si>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</si>
  <si>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</si>
  <si>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</si>
  <si>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</si>
  <si>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</si>
  <si>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</si>
  <si>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</si>
  <si>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</si>
  <si>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</si>
  <si>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</si>
  <si>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</si>
  <si>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</si>
  <si>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</si>
  <si>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</si>
  <si>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</si>
  <si>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</si>
  <si>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</si>
  <si>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</si>
  <si>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</si>
  <si>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</si>
  <si>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</si>
  <si>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</si>
  <si>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</si>
  <si>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</si>
  <si>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</si>
  <si>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</si>
  <si>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</si>
  <si>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</si>
  <si>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</si>
  <si>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</si>
  <si>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</si>
  <si>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</si>
  <si>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</si>
  <si>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</si>
  <si>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</si>
  <si>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</si>
  <si>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</si>
  <si>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</si>
  <si>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</si>
  <si>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</si>
  <si>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</si>
  <si>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</si>
  <si>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</si>
  <si>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</si>
  <si>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</si>
  <si>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</si>
  <si>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</si>
  <si>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</si>
  <si>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</si>
  <si>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</si>
  <si>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</si>
  <si>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</si>
  <si>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</si>
  <si>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</si>
  <si>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</si>
  <si>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</si>
  <si>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</si>
  <si>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</si>
  <si>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</si>
  <si>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</si>
  <si>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</si>
  <si>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</si>
  <si>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</si>
  <si>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</si>
  <si>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</si>
  <si>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</si>
  <si>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</si>
  <si>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</si>
  <si>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</si>
  <si>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</si>
  <si>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</si>
  <si>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</si>
  <si>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</si>
  <si>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</si>
  <si>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</si>
  <si>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</si>
  <si>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</si>
  <si>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</si>
  <si>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</si>
  <si>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</si>
  <si>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</si>
  <si>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</si>
  <si>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</si>
  <si>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</si>
  <si>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</si>
  <si>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</si>
  <si>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</si>
  <si>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</si>
  <si>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</si>
  <si>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</si>
  <si>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</si>
  <si>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</si>
  <si>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</si>
  <si>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</si>
  <si>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</si>
  <si>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</si>
  <si>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</si>
  <si>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</si>
  <si>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</si>
  <si>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</si>
  <si>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</si>
  <si>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</si>
  <si>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</si>
  <si>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</si>
  <si>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</si>
  <si>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</si>
  <si>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</si>
  <si>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</si>
  <si>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</si>
  <si>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</si>
  <si>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</si>
  <si>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</si>
  <si>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</si>
  <si>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</si>
  <si>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</si>
  <si>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</si>
  <si>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</si>
  <si>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</si>
  <si>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</si>
  <si>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</si>
  <si>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</si>
  <si>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</si>
  <si>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</si>
  <si>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</si>
  <si>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</si>
  <si>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</si>
  <si>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</si>
  <si>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</si>
  <si>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</si>
  <si>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</si>
  <si>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</si>
  <si>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</si>
  <si>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</si>
  <si>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</si>
  <si>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</si>
  <si>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</si>
  <si>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</si>
  <si>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</si>
  <si>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</si>
  <si>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</si>
  <si>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</si>
  <si>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</si>
  <si>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</si>
  <si>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</si>
  <si>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</si>
  <si>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</si>
  <si>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</si>
  <si>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</si>
  <si>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</si>
  <si>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</si>
  <si>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</si>
  <si>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</si>
  <si>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</si>
  <si>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</si>
  <si>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</si>
  <si>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</si>
  <si>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</si>
  <si>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</si>
  <si>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</si>
  <si>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</si>
  <si>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</si>
  <si>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</si>
  <si>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</si>
  <si>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</si>
  <si>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</si>
  <si>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</si>
  <si>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</si>
  <si>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</si>
  <si>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</si>
  <si>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</si>
  <si>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</si>
  <si>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</si>
  <si>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</si>
  <si>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</si>
  <si>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</si>
  <si>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</si>
  <si>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</si>
  <si>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</si>
  <si>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</si>
  <si>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</si>
  <si>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</si>
  <si>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</si>
  <si>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</si>
  <si>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</si>
  <si>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</si>
  <si>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</si>
  <si>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</si>
  <si>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</si>
  <si>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</si>
  <si>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</si>
  <si>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</si>
  <si>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</si>
  <si>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</si>
  <si>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</si>
  <si>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</si>
  <si>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</si>
  <si>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</si>
  <si>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</si>
  <si>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</si>
  <si>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</si>
  <si>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</si>
  <si>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</si>
  <si>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</si>
  <si>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</si>
  <si>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</si>
  <si>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</si>
  <si>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</si>
  <si>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</si>
  <si>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</si>
  <si>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</si>
  <si>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</si>
  <si>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</si>
  <si>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</si>
  <si>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</si>
  <si>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</si>
  <si>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</si>
  <si>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</si>
  <si>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</si>
  <si>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</si>
  <si>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</si>
  <si>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</si>
  <si>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</si>
  <si>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</si>
  <si>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</si>
  <si>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</si>
  <si>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</si>
  <si>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</si>
  <si>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</si>
  <si>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</si>
  <si>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</si>
  <si>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</si>
  <si>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</si>
  <si>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</si>
  <si>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</si>
  <si>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</si>
  <si>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</si>
  <si>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</si>
  <si>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</si>
  <si>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</si>
  <si>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</si>
  <si>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</si>
  <si>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</si>
  <si>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</si>
  <si>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</si>
  <si>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</si>
  <si>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</si>
  <si>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</si>
  <si>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</si>
  <si>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</si>
  <si>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</si>
  <si>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</si>
  <si>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</si>
  <si>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</si>
  <si>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</si>
  <si>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</si>
  <si>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</si>
  <si>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</si>
  <si>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</si>
  <si>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</si>
  <si>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</si>
  <si>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</si>
  <si>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</si>
  <si>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</si>
  <si>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</si>
  <si>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</si>
  <si>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</si>
  <si>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</si>
  <si>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</si>
  <si>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</si>
  <si>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</si>
  <si>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</si>
  <si>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</si>
  <si>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</si>
  <si>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</si>
  <si>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</si>
  <si>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</si>
  <si>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</si>
  <si>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</si>
  <si>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</si>
  <si>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</si>
  <si>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</si>
  <si>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</si>
  <si>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</si>
  <si>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</si>
  <si>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</si>
  <si>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</si>
  <si>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</si>
  <si>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</si>
  <si>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</si>
  <si>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</si>
  <si>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</si>
  <si>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</si>
  <si>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</si>
  <si>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</si>
  <si>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</si>
  <si>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</si>
  <si>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</si>
  <si>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</si>
  <si>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</si>
  <si>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</si>
  <si>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</si>
  <si>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</si>
  <si>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</si>
  <si>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</si>
  <si>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</si>
  <si>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</si>
  <si>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</si>
  <si>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</si>
  <si>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</si>
  <si>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</si>
  <si>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</si>
  <si>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</si>
  <si>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</si>
  <si>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</si>
  <si>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</si>
  <si>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</si>
  <si>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</si>
  <si>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</si>
  <si>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</si>
  <si>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</si>
  <si>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</si>
  <si>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</si>
  <si>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</si>
  <si>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</si>
  <si>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</si>
  <si>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</si>
  <si>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</si>
  <si>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</si>
  <si>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</si>
  <si>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</si>
  <si>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</si>
  <si>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</si>
  <si>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</si>
  <si>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</si>
  <si>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</si>
  <si>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</si>
  <si>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</si>
  <si>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</si>
  <si>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</si>
  <si>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</si>
  <si>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</si>
  <si>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</si>
  <si>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</si>
  <si>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</si>
  <si>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</si>
  <si>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</si>
  <si>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</si>
  <si>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</si>
  <si>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</si>
  <si>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</si>
  <si>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</si>
  <si>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</si>
  <si>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</si>
  <si>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</si>
  <si>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</si>
  <si>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</si>
  <si>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</si>
  <si>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</si>
  <si>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</si>
  <si>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</si>
  <si>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</si>
  <si>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</si>
  <si>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</si>
  <si>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</si>
  <si>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</si>
  <si>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</si>
  <si>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</si>
  <si>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</si>
  <si>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</si>
  <si>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</si>
  <si>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</si>
  <si>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</si>
  <si>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</si>
  <si>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</si>
  <si>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</si>
  <si>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</si>
  <si>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</si>
  <si>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</si>
  <si>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</si>
  <si>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</si>
  <si>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</si>
  <si>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</si>
  <si>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</si>
  <si>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</si>
  <si>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</si>
  <si>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</si>
  <si>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</si>
  <si>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</si>
  <si>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</si>
  <si>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</si>
  <si>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</si>
  <si>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</si>
  <si>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</si>
  <si>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</si>
  <si>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</si>
  <si>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</si>
  <si>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</si>
  <si>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</si>
  <si>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</si>
  <si>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</si>
  <si>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</si>
  <si>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</si>
  <si>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</si>
  <si>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</si>
  <si>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</si>
  <si>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</si>
  <si>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</si>
  <si>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</si>
  <si>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</si>
  <si>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</si>
  <si>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</si>
  <si>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</si>
  <si>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</si>
  <si>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</si>
  <si>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</si>
  <si>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</si>
  <si>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</si>
  <si>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</si>
  <si>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</si>
  <si>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</si>
  <si>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</si>
  <si>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</si>
  <si>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</si>
  <si>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</si>
  <si>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</si>
  <si>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</si>
  <si>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</si>
  <si>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</si>
  <si>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</si>
  <si>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</si>
  <si>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</si>
  <si>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</si>
  <si>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</si>
  <si>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</si>
  <si>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</si>
  <si>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</si>
  <si>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</si>
  <si>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</si>
  <si>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</si>
  <si>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</si>
  <si>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</si>
  <si>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</si>
  <si>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</si>
  <si>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</si>
  <si>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</si>
  <si>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</si>
  <si>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</si>
  <si>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</si>
  <si>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</si>
  <si>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</si>
  <si>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</si>
  <si>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</si>
  <si>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</si>
  <si>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</si>
  <si>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</si>
  <si>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</si>
  <si>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</si>
  <si>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</si>
  <si>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</si>
  <si>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</si>
  <si>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</si>
  <si>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</si>
  <si>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</si>
  <si>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</si>
  <si>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</si>
  <si>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</si>
  <si>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</si>
  <si>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</si>
  <si>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</si>
  <si>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</si>
  <si>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</si>
  <si>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</si>
  <si>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</si>
  <si>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</si>
  <si>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</si>
  <si>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</si>
  <si>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</si>
  <si>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</si>
  <si>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</si>
  <si>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</si>
  <si>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</si>
  <si>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</si>
  <si>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</si>
  <si>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</si>
  <si>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</si>
  <si>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</si>
  <si>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</si>
  <si>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</si>
  <si>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</si>
  <si>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</si>
  <si>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</si>
  <si>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</si>
  <si>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</si>
  <si>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</si>
  <si>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</si>
  <si>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</si>
  <si>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</si>
  <si>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</si>
  <si>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</si>
  <si>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</si>
  <si>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</si>
  <si>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</si>
  <si>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</si>
  <si>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</si>
  <si>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</si>
  <si>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</si>
  <si>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</si>
  <si>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</si>
  <si>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</si>
  <si>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</si>
  <si>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</si>
  <si>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</si>
  <si>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</si>
  <si>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</si>
  <si>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</si>
  <si>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</si>
  <si>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</si>
  <si>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</si>
  <si>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</si>
  <si>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</si>
  <si>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</si>
  <si>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</si>
  <si>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</si>
  <si>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</si>
  <si>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</si>
  <si>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</si>
  <si>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</si>
  <si>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</si>
  <si>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</si>
  <si>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</si>
  <si>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</si>
  <si>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</si>
  <si>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</si>
  <si>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</si>
  <si>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</si>
  <si>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</si>
  <si>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</si>
  <si>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</si>
  <si>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</si>
  <si>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</si>
  <si>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</si>
  <si>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</si>
  <si>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</si>
  <si>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</si>
  <si>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</si>
  <si>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</si>
  <si>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</si>
  <si>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</si>
  <si>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</si>
  <si>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</si>
  <si>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</si>
  <si>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</si>
  <si>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</si>
  <si>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</si>
  <si>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</si>
  <si>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</si>
  <si>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</si>
  <si>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</si>
  <si>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</si>
  <si>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</si>
  <si>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</si>
  <si>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</si>
  <si>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</si>
  <si>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</si>
  <si>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</si>
  <si>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</si>
  <si>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</si>
  <si>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</si>
  <si>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</si>
  <si>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</si>
  <si>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</si>
  <si>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</si>
  <si>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</si>
  <si>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</si>
  <si>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</si>
  <si>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</si>
  <si>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</si>
  <si>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</si>
  <si>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</si>
  <si>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</si>
  <si>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</si>
  <si>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</si>
  <si>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</si>
  <si>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</si>
  <si>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</si>
  <si>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</si>
  <si>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</si>
  <si>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</si>
  <si>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</si>
  <si>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</si>
  <si>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</si>
  <si>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</si>
  <si>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</si>
  <si>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</si>
  <si>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</si>
  <si>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</si>
  <si>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</si>
  <si>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</si>
  <si>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</si>
  <si>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</si>
  <si>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</si>
  <si>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</si>
  <si>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</si>
  <si>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</si>
  <si>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</si>
  <si>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</si>
  <si>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</si>
  <si>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</si>
  <si>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</si>
  <si>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</si>
  <si>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</si>
  <si>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</si>
  <si>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</si>
  <si>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</si>
  <si>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</si>
  <si>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</si>
  <si>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</si>
  <si>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</si>
  <si>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</si>
  <si>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</si>
  <si>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</si>
  <si>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</si>
  <si>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</si>
  <si>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</si>
  <si>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</si>
  <si>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</si>
  <si>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</si>
  <si>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</si>
  <si>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</si>
  <si>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</si>
  <si>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</si>
  <si>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</si>
  <si>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</si>
  <si>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</si>
  <si>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</si>
  <si>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</si>
  <si>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</si>
  <si>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</si>
  <si>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</si>
  <si>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</si>
  <si>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</si>
  <si>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</si>
  <si>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</si>
  <si>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</si>
  <si>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</si>
  <si>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</si>
  <si>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</si>
  <si>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</si>
  <si>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</si>
  <si>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</si>
  <si>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</si>
  <si>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</si>
  <si>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</si>
  <si>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</si>
  <si>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</si>
  <si>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</si>
  <si>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</si>
  <si>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</si>
  <si>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</si>
  <si>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</si>
  <si>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</si>
  <si>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</si>
  <si>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</si>
  <si>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</si>
  <si>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</si>
  <si>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</si>
  <si>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</si>
  <si>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</si>
  <si>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</si>
  <si>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</si>
  <si>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</si>
  <si>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</si>
  <si>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</si>
  <si>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</si>
  <si>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</si>
  <si>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</si>
  <si>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</si>
  <si>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</si>
  <si>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</si>
  <si>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</si>
  <si>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</si>
  <si>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</si>
  <si>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</si>
  <si>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</si>
  <si>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</si>
  <si>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</si>
  <si>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</si>
  <si>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</si>
  <si>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</si>
  <si>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</si>
  <si>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</si>
  <si>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</si>
  <si>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</si>
  <si>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</si>
  <si>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</si>
  <si>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</si>
  <si>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</si>
  <si>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</si>
  <si>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</si>
  <si>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</si>
  <si>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</si>
  <si>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</si>
  <si>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</si>
  <si>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</si>
  <si>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</si>
  <si>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</si>
  <si>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</si>
  <si>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</si>
  <si>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</si>
  <si>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</si>
  <si>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</si>
  <si>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</si>
  <si>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</si>
  <si>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</si>
  <si>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</si>
  <si>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</si>
  <si>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</si>
  <si>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</si>
  <si>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</si>
  <si>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</si>
  <si>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</si>
  <si>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</si>
  <si>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</si>
  <si>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</si>
  <si>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</si>
  <si>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</si>
  <si>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</si>
  <si>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</si>
  <si>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</si>
  <si>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</si>
  <si>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</si>
  <si>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</si>
  <si>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</si>
  <si>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</si>
  <si>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</si>
  <si>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</si>
  <si>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</si>
  <si>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</si>
  <si>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</si>
  <si>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</si>
  <si>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</si>
  <si>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</si>
  <si>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</si>
  <si>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</si>
  <si>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</si>
  <si>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</si>
  <si>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</si>
  <si>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</si>
  <si>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</si>
  <si>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</si>
  <si>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</si>
  <si>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</si>
  <si>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</si>
  <si>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</si>
  <si>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</si>
  <si>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</si>
  <si>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</si>
  <si>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</si>
  <si>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</si>
  <si>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</si>
  <si>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</si>
  <si>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</si>
  <si>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</si>
  <si>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</si>
  <si>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</si>
  <si>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</si>
  <si>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</si>
  <si>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</si>
  <si>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</si>
  <si>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</si>
  <si>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</si>
  <si>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</si>
  <si>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</si>
  <si>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</si>
  <si>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</si>
  <si>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</si>
  <si>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</si>
  <si>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</si>
  <si>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</si>
  <si>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</si>
  <si>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</si>
  <si>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</si>
  <si>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</si>
  <si>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</si>
  <si>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</si>
  <si>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</si>
  <si>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</si>
  <si>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</si>
  <si>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</si>
  <si>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</si>
  <si>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</si>
  <si>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</si>
  <si>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</si>
  <si>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</si>
  <si>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</si>
  <si>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</si>
  <si>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</si>
  <si>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</si>
  <si>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</si>
  <si>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</si>
  <si>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</si>
  <si>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</si>
  <si>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</si>
  <si>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</si>
  <si>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</si>
  <si>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</si>
  <si>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</si>
  <si>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</si>
  <si>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</si>
  <si>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</si>
  <si>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</si>
  <si>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</si>
  <si>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</si>
  <si>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</si>
  <si>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</si>
  <si>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</si>
  <si>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</si>
  <si>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</si>
  <si>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</si>
  <si>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</si>
  <si>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</si>
  <si>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</si>
  <si>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</si>
  <si>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</si>
  <si>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</si>
  <si>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</si>
  <si>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</si>
  <si>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</si>
  <si>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</si>
  <si>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</si>
  <si>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</si>
  <si>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</si>
  <si>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</si>
  <si>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</si>
  <si>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</si>
  <si>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</si>
  <si>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</si>
  <si>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</si>
  <si>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</si>
  <si>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</si>
  <si>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</si>
  <si>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</si>
  <si>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</si>
  <si>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</si>
  <si>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</si>
  <si>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</si>
  <si>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</si>
  <si>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</si>
  <si>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</si>
  <si>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</si>
  <si>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</si>
  <si>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</si>
  <si>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</si>
  <si>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</si>
  <si>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</si>
  <si>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</si>
  <si>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</si>
  <si>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</si>
  <si>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</si>
  <si>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</si>
  <si>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</si>
  <si>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</si>
  <si>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</si>
  <si>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</si>
  <si>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</si>
  <si>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</si>
  <si>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</si>
  <si>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</si>
  <si>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</si>
  <si>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</si>
  <si>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</si>
  <si>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</si>
  <si>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</si>
  <si>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</si>
  <si>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</si>
  <si>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</si>
  <si>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</si>
  <si>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</si>
  <si>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</si>
  <si>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</si>
  <si>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</si>
  <si>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</si>
  <si>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</si>
  <si>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</si>
  <si>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</si>
  <si>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</si>
  <si>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</si>
  <si>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</si>
  <si>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</si>
  <si>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</si>
  <si>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</si>
  <si>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</si>
  <si>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</si>
  <si>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</si>
  <si>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</si>
  <si>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</si>
  <si>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</si>
  <si>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</si>
  <si>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</si>
  <si>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</si>
  <si>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</si>
  <si>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</si>
  <si>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</si>
  <si>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</si>
  <si>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</si>
  <si>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</si>
  <si>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</si>
  <si>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</si>
  <si>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</si>
  <si>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</si>
  <si>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</si>
  <si>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</si>
  <si>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</si>
  <si>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</si>
  <si>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</si>
  <si>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</si>
  <si>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</si>
  <si>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</si>
  <si>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</si>
  <si>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</si>
  <si>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</si>
  <si>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</si>
  <si>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</si>
  <si>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</si>
  <si>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</si>
  <si>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</si>
  <si>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</si>
  <si>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</si>
  <si>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</si>
  <si>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</si>
  <si>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</si>
  <si>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</si>
  <si>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</si>
  <si>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</si>
  <si>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</si>
  <si>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</si>
  <si>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</si>
  <si>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</si>
  <si>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</si>
  <si>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</si>
  <si>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</si>
  <si>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</si>
  <si>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</si>
  <si>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</si>
  <si>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</si>
  <si>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</si>
  <si>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</si>
  <si>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</si>
  <si>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</si>
  <si>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</si>
  <si>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</si>
  <si>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</si>
  <si>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</si>
  <si>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</si>
  <si>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</si>
  <si>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</si>
  <si>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</si>
  <si>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</si>
  <si>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</si>
  <si>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</si>
  <si>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</si>
  <si>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</si>
  <si>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</si>
  <si>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</si>
  <si>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</si>
  <si>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</si>
  <si>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</si>
  <si>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</si>
  <si>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</si>
  <si>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</si>
  <si>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</si>
  <si>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</si>
  <si>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</si>
  <si>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</si>
  <si>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</si>
  <si>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</si>
  <si>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</si>
  <si>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</si>
  <si>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</si>
  <si>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</si>
  <si>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</si>
  <si>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</si>
  <si>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</si>
  <si>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</si>
  <si>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</si>
  <si>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</si>
  <si>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</si>
  <si>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</si>
  <si>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</si>
  <si>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</si>
  <si>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</si>
  <si>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</si>
  <si>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</si>
  <si>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</si>
  <si>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</si>
  <si>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</si>
  <si>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</si>
  <si>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</si>
  <si>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</si>
  <si>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</si>
  <si>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</si>
  <si>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</si>
  <si>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</si>
  <si>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</si>
  <si>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</si>
  <si>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</si>
  <si>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</si>
  <si>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</si>
  <si>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</si>
  <si>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</si>
  <si>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</si>
  <si>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</si>
  <si>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</si>
  <si>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</si>
  <si>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</si>
  <si>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</si>
  <si>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</si>
  <si>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</si>
  <si>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</si>
  <si>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</si>
  <si>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</si>
  <si>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</si>
  <si>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</si>
  <si>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</si>
  <si>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</si>
  <si>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</si>
  <si>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</si>
  <si>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</si>
  <si>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</si>
  <si>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</si>
  <si>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</si>
  <si>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</si>
  <si>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</si>
  <si>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</si>
  <si>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</si>
  <si>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</si>
  <si>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</si>
  <si>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</si>
  <si>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</si>
  <si>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</si>
  <si>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</si>
  <si>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</si>
  <si>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</si>
  <si>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</si>
  <si>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</si>
  <si>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</si>
  <si>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</si>
  <si>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</si>
  <si>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</si>
  <si>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</si>
  <si>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</si>
  <si>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</si>
  <si>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</si>
  <si>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</si>
  <si>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</si>
  <si>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</si>
  <si>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</si>
  <si>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</si>
  <si>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</si>
  <si>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</si>
  <si>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</si>
  <si>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</si>
  <si>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</si>
  <si>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</si>
  <si>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</si>
  <si>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</si>
  <si>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</si>
  <si>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</si>
  <si>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</si>
  <si>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</si>
  <si>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</si>
  <si>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</si>
  <si>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</si>
  <si>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</si>
  <si>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</si>
  <si>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</si>
  <si>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</si>
  <si>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</si>
  <si>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</si>
  <si>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</si>
  <si>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</si>
  <si>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</si>
  <si>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</si>
  <si>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</si>
  <si>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</si>
  <si>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</si>
  <si>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</si>
  <si>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</si>
  <si>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</si>
  <si>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</si>
  <si>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</si>
  <si>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</si>
  <si>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</si>
  <si>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</si>
  <si>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</si>
  <si>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</si>
  <si>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</si>
  <si>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</si>
  <si>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</si>
  <si>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</si>
  <si>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</si>
  <si>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</si>
  <si>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</si>
  <si>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</si>
  <si>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</si>
  <si>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</si>
  <si>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</si>
  <si>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</si>
  <si>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</si>
  <si>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</si>
  <si>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</si>
  <si>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</si>
  <si>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</si>
  <si>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</si>
  <si>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</si>
  <si>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</si>
  <si>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</si>
  <si>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</si>
  <si>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</si>
  <si>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</si>
  <si>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</si>
  <si>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</si>
  <si>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</si>
  <si>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</si>
  <si>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</si>
  <si>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</si>
  <si>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</si>
  <si>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</si>
  <si>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</si>
  <si>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</si>
  <si>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</si>
  <si>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</si>
  <si>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</si>
  <si>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</si>
  <si>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</si>
  <si>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</si>
  <si>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</si>
  <si>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</si>
  <si>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</si>
  <si>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</si>
  <si>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</si>
  <si>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</si>
  <si>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</si>
  <si>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</si>
  <si>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</si>
  <si>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</si>
  <si>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</si>
  <si>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</si>
  <si>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</si>
  <si>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</si>
  <si>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</si>
  <si>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</si>
  <si>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</si>
  <si>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</si>
  <si>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</si>
  <si>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</si>
  <si>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</si>
  <si>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</si>
  <si>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</si>
  <si>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</si>
  <si>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</si>
  <si>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</si>
  <si>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</si>
  <si>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</si>
  <si>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</si>
  <si>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</si>
  <si>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</si>
  <si>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</si>
  <si>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</si>
  <si>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</si>
  <si>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</si>
  <si>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</si>
  <si>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</si>
  <si>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</si>
  <si>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</si>
  <si>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</si>
  <si>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</si>
  <si>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</si>
  <si>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</si>
  <si>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</si>
  <si>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</si>
  <si>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</si>
  <si>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</si>
  <si>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</si>
  <si>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</si>
  <si>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</si>
  <si>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</si>
  <si>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</si>
  <si>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</si>
  <si>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</si>
  <si>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</si>
  <si>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</si>
  <si>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</si>
  <si>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</si>
  <si>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</si>
  <si>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</si>
  <si>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</si>
  <si>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</si>
  <si>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</si>
  <si>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</si>
  <si>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</si>
  <si>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</si>
  <si>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</si>
  <si>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</si>
  <si>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</si>
  <si>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</si>
  <si>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</si>
  <si>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</si>
  <si>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</si>
  <si>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</si>
  <si>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</si>
  <si>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</si>
  <si>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</si>
  <si>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</si>
  <si>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</si>
  <si>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</si>
  <si>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</si>
  <si>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</si>
  <si>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</si>
  <si>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</si>
  <si>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</si>
  <si>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</si>
  <si>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</si>
  <si>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</si>
  <si>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</si>
  <si>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</si>
  <si>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</si>
  <si>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</si>
  <si>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</si>
  <si>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</si>
  <si>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</si>
  <si>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</si>
  <si>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</si>
  <si>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</si>
  <si>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</si>
  <si>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</si>
  <si>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</si>
  <si>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</si>
  <si>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</si>
  <si>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</si>
  <si>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</si>
  <si>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</si>
  <si>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</si>
  <si>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</si>
  <si>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</si>
  <si>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</si>
  <si>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</si>
  <si>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</si>
  <si>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</si>
  <si>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</si>
  <si>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</si>
  <si>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</si>
  <si>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</si>
  <si>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</si>
  <si>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</si>
  <si>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</si>
  <si>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</si>
  <si>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</si>
  <si>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</si>
  <si>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</si>
  <si>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</si>
  <si>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</si>
  <si>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</si>
  <si>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</si>
  <si>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</si>
  <si>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</si>
  <si>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</si>
  <si>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</si>
  <si>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</si>
  <si>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</si>
  <si>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</si>
  <si>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</si>
  <si>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</si>
  <si>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</si>
  <si>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</si>
  <si>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</si>
  <si>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</si>
  <si>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</si>
  <si>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</si>
  <si>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</si>
  <si>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</si>
  <si>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</si>
  <si>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</si>
  <si>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</si>
  <si>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</si>
  <si>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</si>
  <si>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</si>
  <si>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</si>
  <si>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</si>
  <si>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</si>
  <si>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</si>
  <si>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</si>
  <si>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</si>
  <si>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</si>
  <si>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</si>
  <si>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</si>
  <si>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</si>
  <si>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</si>
  <si>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</si>
  <si>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</si>
  <si>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</si>
  <si>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</si>
  <si>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</si>
  <si>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</si>
  <si>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</si>
  <si>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</si>
  <si>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</si>
  <si>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</si>
  <si>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</si>
  <si>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</si>
  <si>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</si>
  <si>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</si>
  <si>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</si>
  <si>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</si>
  <si>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</si>
  <si>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</si>
  <si>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</si>
  <si>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</si>
  <si>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</si>
  <si>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</si>
  <si>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</si>
  <si>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</si>
  <si>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</si>
  <si>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</si>
  <si>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</si>
  <si>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</si>
  <si>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</si>
  <si>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</si>
  <si>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</si>
  <si>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</si>
  <si>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</si>
  <si>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</si>
  <si>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</si>
  <si>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</si>
  <si>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</si>
  <si>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</si>
  <si>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</si>
  <si>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</si>
  <si>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</si>
  <si>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</si>
  <si>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</si>
  <si>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</si>
  <si>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</si>
  <si>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</si>
  <si>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</si>
  <si>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</si>
  <si>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</si>
  <si>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</si>
  <si>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</si>
  <si>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</si>
  <si>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</si>
  <si>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</si>
  <si>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</si>
  <si>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</si>
  <si>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</si>
  <si>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</si>
  <si>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</si>
  <si>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</si>
  <si>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</si>
  <si>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</si>
  <si>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</si>
  <si>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</si>
  <si>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</si>
  <si>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</si>
  <si>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</si>
  <si>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</si>
  <si>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</si>
  <si>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</si>
  <si>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</si>
  <si>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</si>
  <si>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</si>
  <si>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</si>
  <si>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</si>
  <si>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</si>
  <si>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</si>
  <si>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</si>
  <si>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</si>
  <si>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</si>
  <si>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</si>
  <si>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</si>
  <si>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</si>
  <si>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</si>
  <si>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</si>
  <si>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</si>
  <si>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</si>
  <si>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</si>
  <si>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</si>
  <si>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</si>
  <si>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</si>
  <si>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</si>
  <si>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</si>
  <si>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</si>
  <si>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</si>
  <si>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</si>
  <si>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</si>
  <si>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</si>
  <si>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</si>
  <si>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</si>
  <si>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</si>
  <si>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</si>
  <si>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</si>
  <si>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</si>
  <si>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</si>
  <si>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</si>
  <si>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</si>
  <si>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</si>
  <si>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</si>
  <si>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</si>
  <si>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</si>
  <si>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</si>
  <si>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</si>
  <si>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</si>
  <si>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</si>
  <si>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</si>
  <si>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</si>
  <si>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</si>
  <si>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</si>
  <si>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</si>
  <si>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</si>
  <si>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</si>
  <si>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</si>
  <si>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</si>
  <si>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</si>
  <si>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</si>
  <si>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</si>
  <si>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</si>
  <si>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</si>
  <si>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</si>
  <si>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</si>
  <si>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</si>
  <si>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</si>
  <si>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</si>
  <si>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</si>
  <si>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</si>
  <si>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</si>
  <si>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</si>
  <si>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</si>
  <si>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</si>
  <si>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</si>
  <si>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</si>
  <si>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</si>
  <si>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</si>
  <si>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</si>
  <si>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</si>
  <si>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</si>
  <si>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</si>
  <si>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</si>
  <si>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</si>
  <si>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</si>
  <si>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</si>
  <si>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</si>
  <si>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</si>
  <si>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</si>
  <si>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</si>
  <si>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</si>
  <si>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</si>
  <si>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</si>
  <si>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</si>
  <si>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</si>
  <si>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</si>
  <si>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</si>
  <si>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</si>
  <si>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</si>
  <si>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</si>
  <si>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</si>
  <si>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</si>
  <si>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</si>
  <si>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</si>
  <si>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</si>
  <si>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</si>
  <si>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</si>
  <si>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</si>
  <si>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</si>
  <si>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</si>
  <si>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</si>
  <si>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</si>
  <si>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</si>
  <si>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</si>
  <si>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</si>
  <si>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</si>
  <si>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</si>
  <si>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</si>
  <si>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</si>
  <si>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</si>
  <si>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</si>
  <si>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</si>
  <si>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</si>
  <si>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</si>
  <si>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</si>
  <si>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</si>
  <si>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</si>
  <si>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</si>
  <si>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</si>
  <si>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</si>
  <si>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</si>
  <si>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</si>
  <si>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</si>
  <si>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</si>
  <si>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</si>
  <si>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</si>
  <si>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</si>
  <si>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</si>
  <si>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</si>
  <si>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</si>
  <si>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</si>
  <si>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</si>
  <si>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</si>
  <si>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</si>
  <si>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</si>
  <si>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</si>
  <si>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</si>
  <si>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</si>
  <si>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</si>
  <si>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</si>
  <si>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</si>
  <si>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</si>
  <si>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</si>
  <si>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</si>
  <si>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</si>
  <si>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</si>
  <si>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</si>
  <si>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</si>
  <si>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</si>
  <si>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</si>
  <si>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</si>
  <si>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</si>
  <si>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</si>
  <si>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</si>
  <si>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</si>
  <si>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</si>
  <si>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</si>
  <si>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</si>
  <si>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</si>
  <si>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</si>
  <si>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</si>
  <si>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</si>
  <si>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</si>
  <si>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</si>
  <si>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</si>
  <si>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</si>
  <si>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</si>
  <si>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</si>
  <si>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</si>
  <si>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</si>
  <si>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</si>
  <si>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</si>
  <si>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</si>
  <si>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</si>
  <si>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</si>
  <si>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</si>
  <si>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</si>
  <si>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</si>
  <si>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</si>
  <si>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</si>
  <si>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</si>
  <si>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</si>
  <si>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</si>
  <si>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</si>
  <si>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</si>
  <si>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</si>
  <si>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</si>
  <si>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</si>
  <si>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</si>
  <si>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</si>
  <si>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</si>
  <si>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</si>
  <si>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</si>
  <si>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</si>
  <si>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</si>
  <si>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</si>
  <si>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</si>
  <si>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</si>
  <si>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</si>
  <si>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</si>
  <si>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</si>
  <si>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</si>
  <si>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</si>
  <si>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</si>
  <si>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</si>
  <si>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</si>
  <si>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</si>
  <si>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</si>
  <si>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</si>
  <si>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</si>
  <si>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</si>
  <si>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</si>
  <si>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</si>
  <si>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</si>
  <si>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</si>
  <si>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</si>
  <si>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</si>
  <si>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</si>
  <si>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</si>
  <si>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</si>
  <si>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</si>
  <si>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</si>
  <si>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</si>
  <si>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</si>
  <si>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</si>
  <si>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</si>
  <si>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</si>
  <si>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</si>
  <si>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</si>
  <si>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</si>
  <si>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</si>
  <si>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</si>
  <si>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</si>
  <si>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</si>
  <si>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</si>
  <si>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</si>
  <si>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</si>
  <si>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</si>
  <si>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</si>
  <si>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</si>
  <si>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</si>
  <si>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</si>
  <si>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</si>
  <si>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</si>
  <si>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</si>
  <si>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</si>
  <si>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</si>
  <si>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</si>
  <si>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</si>
  <si>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</si>
  <si>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</si>
  <si>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</si>
  <si>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</si>
  <si>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</si>
  <si>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</si>
  <si>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</si>
  <si>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</si>
  <si>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</si>
  <si>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</si>
  <si>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</si>
  <si>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</si>
  <si>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</si>
  <si>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</si>
  <si>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</si>
  <si>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</si>
  <si>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</si>
  <si>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</si>
  <si>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</si>
  <si>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</si>
  <si>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</si>
  <si>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</si>
  <si>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</si>
  <si>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</si>
  <si>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</si>
  <si>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</si>
  <si>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</si>
  <si>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</si>
  <si>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</si>
  <si>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</si>
  <si>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</si>
  <si>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</si>
  <si>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</si>
  <si>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</si>
  <si>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</si>
  <si>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</si>
  <si>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</si>
  <si>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</si>
  <si>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</si>
  <si>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</si>
  <si>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</si>
  <si>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</si>
  <si>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</si>
  <si>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</si>
  <si>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</si>
  <si>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</si>
  <si>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</si>
  <si>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</si>
  <si>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</si>
  <si>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</si>
  <si>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</si>
  <si>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</si>
  <si>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</si>
  <si>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</si>
  <si>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</si>
  <si>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</si>
  <si>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</si>
  <si>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</si>
  <si>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</si>
  <si>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</si>
  <si>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</si>
  <si>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</si>
  <si>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</si>
  <si>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</si>
  <si>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</si>
  <si>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</si>
  <si>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</si>
  <si>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</si>
  <si>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</si>
  <si>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</si>
  <si>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</si>
  <si>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</si>
  <si>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</si>
  <si>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</si>
  <si>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</si>
  <si>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</si>
  <si>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</si>
  <si>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</si>
  <si>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</si>
  <si>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</si>
  <si>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</si>
  <si>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</si>
  <si>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</si>
  <si>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</si>
  <si>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</si>
  <si>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</si>
  <si>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</si>
  <si>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</si>
  <si>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</si>
  <si>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</si>
  <si>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</si>
  <si>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</si>
  <si>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</si>
  <si>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</si>
  <si>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</si>
  <si>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</si>
  <si>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</si>
  <si>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</si>
  <si>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</si>
  <si>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</si>
  <si>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</si>
  <si>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</si>
  <si>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</si>
  <si>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</si>
  <si>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</si>
  <si>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</si>
  <si>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</si>
  <si>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</si>
  <si>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</si>
  <si>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</si>
  <si>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</si>
  <si>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</si>
  <si>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</si>
  <si>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</si>
  <si>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</si>
  <si>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</si>
  <si>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</si>
  <si>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</si>
  <si>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</si>
  <si>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</si>
  <si>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</si>
  <si>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</si>
  <si>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</si>
  <si>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</si>
  <si>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</si>
  <si>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</si>
  <si>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</si>
  <si>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</si>
  <si>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</si>
  <si>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</si>
  <si>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</si>
  <si>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</si>
  <si>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</si>
  <si>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</si>
  <si>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</si>
  <si>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</si>
  <si>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</si>
  <si>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</si>
  <si>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</si>
  <si>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</si>
  <si>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</si>
  <si>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</si>
  <si>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</si>
  <si>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</si>
  <si>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</si>
  <si>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</si>
  <si>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</si>
  <si>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</si>
  <si>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</si>
  <si>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</si>
  <si>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</si>
  <si>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</si>
  <si>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</si>
  <si>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</si>
  <si>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</si>
  <si>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</si>
  <si>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</si>
  <si>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</si>
  <si>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</si>
  <si>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</si>
  <si>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</si>
  <si>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</si>
  <si>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</si>
  <si>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</si>
  <si>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</si>
  <si>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</si>
  <si>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</si>
  <si>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</si>
  <si>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</si>
  <si>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</si>
  <si>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</si>
  <si>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</si>
  <si>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</si>
  <si>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</si>
  <si>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</si>
  <si>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</si>
  <si>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</si>
  <si>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</si>
  <si>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</si>
  <si>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</si>
  <si>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</si>
  <si>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</si>
  <si>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</si>
  <si>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</si>
  <si>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</si>
  <si>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</si>
  <si>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</si>
  <si>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</si>
  <si>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</si>
  <si>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</si>
  <si>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</si>
  <si>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</si>
  <si>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</si>
  <si>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</si>
  <si>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</si>
  <si>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</si>
  <si>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</si>
  <si>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</si>
  <si>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</si>
  <si>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</si>
  <si>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</si>
  <si>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</si>
  <si>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</si>
  <si>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</si>
  <si>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</si>
  <si>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</si>
  <si>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</si>
  <si>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</si>
  <si>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</si>
  <si>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</si>
  <si>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</si>
  <si>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</si>
  <si>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</si>
  <si>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</si>
  <si>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</si>
  <si>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</si>
  <si>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</si>
  <si>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</si>
  <si>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</si>
  <si>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</si>
  <si>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</si>
  <si>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</si>
  <si>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</si>
  <si>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</si>
  <si>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</si>
  <si>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</si>
  <si>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</si>
  <si>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</si>
  <si>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</si>
  <si>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</si>
  <si>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</si>
  <si>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</si>
  <si>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</si>
  <si>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</si>
  <si>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</si>
  <si>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</si>
  <si>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</si>
  <si>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</si>
  <si>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</si>
  <si>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</si>
  <si>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</si>
  <si>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</si>
  <si>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</si>
  <si>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</si>
  <si>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</si>
  <si>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</si>
  <si>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</si>
  <si>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</si>
  <si>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</si>
  <si>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</si>
  <si>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</si>
  <si>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</si>
  <si>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</si>
  <si>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</si>
  <si>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</si>
  <si>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</si>
  <si>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</si>
  <si>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</si>
  <si>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</si>
  <si>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</si>
  <si>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</si>
  <si>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</si>
  <si>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</si>
  <si>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</si>
  <si>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</si>
  <si>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</si>
  <si>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</si>
  <si>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</si>
  <si>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</si>
  <si>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</si>
  <si>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</si>
  <si>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</si>
  <si>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</si>
  <si>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</si>
  <si>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</si>
  <si>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</si>
  <si>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</si>
  <si>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</si>
  <si>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</si>
  <si>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</si>
  <si>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</si>
  <si>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</si>
  <si>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</si>
  <si>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</si>
  <si>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</si>
  <si>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</si>
  <si>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</si>
  <si>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</si>
  <si>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</si>
  <si>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</si>
  <si>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</si>
  <si>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</si>
  <si>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</si>
  <si>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</si>
  <si>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</si>
  <si>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</si>
  <si>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</si>
  <si>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</si>
  <si>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</si>
  <si>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</si>
  <si>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</si>
  <si>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</si>
  <si>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</si>
  <si>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</si>
  <si>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</si>
  <si>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</si>
  <si>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</si>
  <si>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</si>
  <si>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</si>
  <si>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</si>
  <si>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</si>
  <si>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</si>
  <si>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</si>
  <si>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</si>
  <si>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</si>
  <si>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</si>
  <si>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</si>
  <si>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</si>
  <si>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</si>
  <si>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</si>
  <si>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</si>
  <si>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</si>
  <si>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</si>
  <si>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</si>
  <si>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</si>
  <si>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</si>
  <si>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</si>
  <si>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</si>
  <si>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</si>
  <si>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</si>
  <si>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</si>
  <si>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</si>
  <si>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</si>
  <si>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</si>
  <si>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</si>
  <si>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</si>
  <si>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</si>
  <si>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</si>
  <si>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</si>
  <si>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</si>
  <si>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</si>
  <si>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</si>
  <si>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</si>
  <si>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</si>
  <si>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</si>
  <si>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</si>
  <si>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</si>
  <si>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</si>
  <si>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</si>
  <si>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</si>
  <si>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</si>
  <si>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</si>
  <si>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</si>
  <si>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</si>
  <si>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</si>
  <si>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</si>
  <si>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</si>
  <si>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</si>
  <si>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</si>
  <si>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</si>
  <si>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</si>
  <si>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</si>
  <si>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</si>
  <si>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</si>
  <si>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</si>
  <si>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</si>
  <si>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</si>
  <si>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</si>
  <si>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</si>
  <si>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</si>
  <si>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</si>
  <si>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</si>
  <si>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</si>
  <si>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</si>
  <si>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</si>
  <si>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</si>
  <si>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</si>
  <si>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</si>
  <si>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</si>
  <si>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</si>
  <si>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</si>
  <si>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</si>
  <si>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</si>
  <si>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</si>
  <si>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</si>
  <si>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</si>
  <si>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</si>
  <si>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</si>
  <si>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</si>
  <si>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</si>
  <si>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</si>
  <si>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</si>
  <si>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</si>
  <si>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</si>
  <si>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</si>
  <si>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</si>
  <si>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</si>
  <si>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</si>
  <si>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</si>
  <si>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</si>
  <si>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</si>
  <si>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</si>
  <si>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</si>
  <si>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</si>
  <si>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</si>
  <si>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</si>
  <si>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</si>
  <si>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</si>
  <si>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</si>
  <si>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</si>
  <si>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</si>
  <si>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</si>
  <si>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</si>
  <si>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</si>
  <si>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</si>
  <si>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</si>
  <si>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</si>
  <si>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</si>
  <si>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</si>
  <si>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</si>
  <si>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</si>
  <si>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</si>
  <si>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</si>
  <si>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</si>
  <si>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</si>
  <si>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</si>
  <si>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</si>
  <si>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</si>
  <si>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</si>
  <si>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</si>
  <si>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</si>
  <si>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</si>
  <si>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</si>
  <si>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</si>
  <si>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</si>
  <si>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</si>
  <si>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</si>
  <si>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</si>
  <si>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</si>
  <si>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</si>
  <si>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</si>
  <si>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</si>
  <si>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</si>
  <si>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</si>
  <si>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</si>
  <si>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</si>
  <si>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</si>
  <si>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</si>
  <si>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</si>
  <si>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</si>
  <si>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</si>
  <si>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</si>
  <si>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</si>
  <si>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</si>
  <si>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</si>
  <si>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</si>
  <si>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</si>
  <si>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</si>
  <si>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</si>
  <si>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</si>
  <si>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</si>
  <si>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</si>
  <si>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</si>
  <si>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</si>
  <si>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</si>
  <si>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</si>
  <si>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</si>
  <si>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</si>
  <si>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</si>
  <si>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</si>
  <si>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</si>
  <si>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</si>
  <si>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</si>
  <si>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</si>
  <si>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</si>
  <si>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</si>
  <si>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</si>
  <si>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</si>
  <si>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</si>
  <si>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</si>
  <si>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</si>
  <si>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</si>
  <si>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</si>
  <si>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</si>
  <si>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</si>
  <si>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</si>
  <si>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</si>
  <si>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</si>
  <si>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</si>
  <si>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</si>
  <si>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</si>
  <si>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</si>
  <si>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</si>
  <si>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</si>
  <si>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</si>
  <si>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</si>
  <si>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</si>
  <si>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</si>
  <si>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</si>
  <si>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</si>
  <si>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</si>
  <si>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</si>
  <si>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</si>
  <si>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</si>
  <si>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</si>
  <si>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</si>
  <si>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</si>
  <si>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</si>
  <si>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</si>
  <si>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</si>
  <si>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</si>
  <si>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</si>
  <si>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</si>
  <si>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</si>
  <si>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</si>
  <si>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</si>
  <si>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</si>
  <si>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</si>
  <si>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</si>
  <si>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</si>
  <si>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</si>
  <si>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</si>
  <si>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</si>
  <si>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</si>
  <si>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</si>
  <si>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</si>
  <si>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</si>
  <si>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</si>
  <si>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</si>
  <si>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</si>
  <si>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</si>
  <si>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</si>
  <si>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</si>
  <si>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</si>
  <si>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</si>
  <si>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</si>
  <si>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</si>
  <si>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</si>
  <si>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</si>
  <si>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</si>
  <si>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</si>
  <si>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</si>
  <si>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</si>
  <si>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</si>
  <si>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</si>
  <si>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</si>
  <si>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</si>
  <si>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</si>
  <si>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</si>
  <si>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</si>
  <si>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</si>
  <si>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</si>
  <si>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</si>
  <si>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</si>
  <si>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</si>
  <si>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</si>
  <si>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</si>
  <si>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</si>
  <si>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</si>
  <si>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</si>
  <si>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</si>
  <si>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</si>
  <si>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</si>
  <si>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</si>
  <si>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</si>
  <si>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</si>
  <si>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</si>
  <si>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</si>
  <si>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</si>
  <si>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</si>
  <si>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</si>
  <si>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</si>
  <si>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</si>
  <si>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</si>
  <si>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</si>
  <si>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</si>
  <si>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</si>
  <si>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</si>
  <si>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</si>
  <si>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</si>
  <si>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</si>
  <si>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</si>
  <si>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</si>
  <si>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</si>
  <si>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</si>
  <si>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</si>
  <si>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</si>
  <si>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</si>
  <si>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</si>
  <si>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</si>
  <si>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</si>
  <si>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</si>
  <si>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</si>
  <si>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</si>
  <si>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</si>
  <si>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</si>
  <si>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</si>
  <si>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</si>
  <si>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</si>
  <si>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</si>
  <si>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</si>
  <si>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</si>
  <si>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</si>
  <si>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</si>
  <si>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</si>
  <si>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</si>
  <si>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</si>
  <si>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</si>
  <si>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</si>
  <si>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</si>
  <si>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</si>
  <si>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</si>
  <si>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</si>
  <si>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</si>
  <si>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</si>
  <si>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</si>
  <si>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</si>
  <si>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</si>
  <si>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</si>
  <si>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</si>
  <si>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</si>
  <si>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</si>
  <si>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</si>
  <si>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</si>
  <si>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</si>
  <si>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</si>
  <si>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</si>
  <si>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</si>
  <si>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</si>
  <si>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</si>
  <si>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</si>
  <si>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</si>
  <si>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</si>
  <si>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</si>
  <si>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</si>
  <si>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</si>
  <si>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</si>
  <si>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</si>
  <si>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</si>
  <si>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</si>
  <si>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</si>
  <si>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</si>
  <si>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</si>
  <si>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</si>
  <si>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</si>
  <si>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</si>
  <si>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</si>
  <si>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</si>
  <si>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</si>
  <si>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</si>
  <si>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</si>
  <si>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</si>
  <si>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</si>
  <si>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</si>
  <si>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</si>
  <si>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</si>
  <si>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</si>
  <si>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</si>
  <si>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</si>
  <si>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</si>
  <si>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</si>
  <si>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</si>
  <si>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</si>
  <si>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</si>
  <si>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</si>
  <si>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</si>
  <si>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</si>
  <si>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</si>
  <si>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</si>
  <si>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</si>
  <si>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</si>
  <si>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</si>
  <si>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</si>
  <si>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</si>
  <si>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</si>
  <si>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</si>
  <si>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</si>
  <si>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</si>
  <si>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</si>
  <si>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</si>
  <si>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</si>
  <si>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</si>
  <si>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</si>
  <si>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</si>
  <si>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</si>
  <si>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</si>
  <si>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</si>
  <si>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</si>
  <si>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</si>
  <si>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</si>
  <si>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</si>
  <si>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</si>
  <si>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</si>
  <si>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</si>
  <si>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</si>
  <si>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</si>
  <si>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</si>
  <si>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</si>
  <si>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</si>
  <si>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</si>
  <si>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</si>
  <si>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</si>
  <si>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</si>
  <si>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</si>
  <si>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</si>
  <si>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</si>
  <si>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</si>
  <si>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</si>
  <si>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</si>
  <si>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</si>
  <si>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</si>
  <si>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</si>
  <si>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</si>
  <si>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</si>
  <si>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</si>
  <si>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</si>
  <si>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</si>
  <si>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</si>
  <si>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</si>
  <si>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</si>
  <si>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</si>
  <si>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</si>
  <si>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</si>
  <si>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</si>
  <si>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</si>
  <si>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</si>
  <si>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</si>
  <si>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</si>
  <si>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</si>
  <si>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</si>
  <si>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</si>
  <si>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</si>
  <si>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</si>
  <si>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</si>
  <si>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</si>
  <si>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</si>
  <si>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</si>
  <si>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</si>
  <si>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</si>
  <si>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</si>
  <si>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</si>
  <si>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</si>
  <si>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</si>
  <si>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</si>
  <si>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</si>
  <si>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</si>
  <si>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</si>
  <si>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</si>
  <si>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</si>
  <si>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</si>
  <si>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</si>
  <si>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</si>
  <si>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</si>
  <si>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</si>
  <si>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</si>
  <si>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</si>
  <si>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</si>
  <si>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</si>
  <si>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</si>
  <si>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</si>
  <si>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</si>
  <si>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</si>
  <si>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</si>
  <si>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</si>
  <si>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</si>
  <si>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</si>
  <si>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</si>
  <si>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</si>
  <si>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</si>
  <si>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</si>
  <si>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</si>
  <si>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</si>
  <si>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</si>
  <si>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</si>
  <si>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</si>
  <si>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</si>
  <si>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</si>
  <si>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</si>
  <si>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</si>
  <si>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</si>
  <si>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</si>
  <si>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</si>
  <si>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</si>
  <si>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</si>
  <si>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</si>
  <si>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</si>
  <si>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</si>
  <si>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</si>
  <si>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</si>
  <si>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</si>
  <si>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</si>
  <si>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</si>
  <si>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</si>
  <si>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</si>
  <si>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</si>
  <si>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</si>
  <si>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</si>
  <si>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</si>
  <si>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</si>
  <si>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</si>
  <si>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</si>
  <si>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</si>
  <si>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</si>
  <si>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</si>
  <si>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</si>
  <si>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</si>
  <si>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</si>
  <si>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</si>
  <si>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</si>
  <si>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</si>
  <si>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</si>
  <si>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</si>
  <si>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</si>
  <si>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</si>
  <si>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</si>
  <si>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</si>
  <si>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</si>
  <si>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</si>
  <si>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</si>
  <si>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</si>
  <si>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</si>
  <si>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</si>
  <si>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</si>
  <si>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</si>
  <si>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</si>
  <si>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</si>
  <si>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</si>
  <si>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</si>
  <si>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</si>
  <si>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</si>
  <si>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</si>
  <si>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</si>
  <si>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</si>
  <si>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</si>
  <si>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</si>
  <si>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</si>
  <si>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</si>
  <si>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</si>
  <si>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</si>
  <si>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</si>
  <si>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</si>
  <si>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</si>
  <si>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</si>
  <si>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</si>
  <si>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</si>
  <si>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</si>
  <si>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</si>
  <si>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</si>
  <si>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</si>
  <si>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</si>
  <si>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</si>
  <si>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</si>
  <si>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</si>
  <si>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</si>
  <si>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</si>
  <si>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</si>
  <si>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</si>
  <si>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</si>
  <si>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</si>
  <si>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</si>
  <si>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</si>
  <si>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</si>
  <si>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</si>
  <si>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</si>
  <si>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</si>
  <si>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</si>
  <si>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</si>
  <si>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</si>
  <si>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</si>
  <si>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</si>
  <si>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</si>
  <si>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</si>
  <si>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</si>
  <si>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</si>
  <si>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</si>
  <si>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</si>
  <si>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</si>
  <si>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</si>
  <si>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</si>
  <si>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</si>
  <si>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</si>
  <si>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</si>
  <si>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</si>
  <si>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</si>
  <si>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</si>
  <si>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</si>
  <si>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</si>
  <si>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</si>
  <si>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</si>
  <si>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</si>
  <si>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</si>
  <si>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</si>
  <si>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</si>
  <si>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</si>
  <si>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</si>
  <si>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</si>
  <si>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</si>
  <si>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</si>
  <si>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</si>
  <si>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</si>
  <si>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</si>
  <si>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</si>
  <si>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</si>
  <si>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</si>
  <si>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</si>
  <si>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</si>
  <si>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</si>
  <si>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</si>
  <si>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</si>
  <si>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</si>
  <si>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</si>
  <si>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</si>
  <si>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</si>
  <si>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</si>
  <si>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</si>
  <si>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</si>
  <si>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</si>
  <si>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</si>
  <si>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</si>
  <si>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</si>
  <si>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</si>
  <si>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</si>
  <si>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</si>
  <si>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</si>
  <si>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</si>
  <si>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</si>
  <si>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</si>
  <si>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</si>
  <si>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</si>
  <si>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</si>
  <si>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</si>
  <si>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</si>
  <si>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</si>
  <si>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</si>
  <si>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</si>
  <si>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</si>
  <si>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</si>
  <si>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</si>
  <si>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</si>
  <si>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</si>
  <si>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</si>
  <si>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</si>
  <si>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</si>
  <si>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</si>
  <si>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</si>
  <si>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</si>
  <si>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</si>
  <si>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</si>
  <si>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</si>
  <si>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</si>
  <si>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</si>
  <si>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</si>
  <si>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</si>
  <si>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</si>
  <si>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</si>
  <si>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</si>
  <si>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</si>
  <si>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</si>
  <si>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</si>
  <si>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</si>
  <si>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</si>
  <si>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</si>
  <si>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</si>
  <si>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</si>
  <si>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</si>
  <si>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</si>
  <si>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</si>
  <si>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</si>
  <si>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</si>
  <si>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</si>
  <si>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</si>
  <si>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</si>
  <si>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</si>
  <si>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</si>
  <si>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</si>
  <si>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</si>
  <si>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</si>
  <si>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</si>
  <si>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</si>
  <si>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</si>
  <si>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</si>
  <si>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</si>
  <si>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</si>
  <si>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</si>
  <si>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</si>
  <si>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</si>
  <si>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</si>
  <si>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</si>
  <si>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</si>
  <si>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</si>
  <si>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</si>
  <si>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</si>
  <si>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</si>
  <si>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</si>
  <si>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</si>
  <si>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</si>
  <si>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</si>
  <si>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</si>
  <si>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</si>
  <si>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</si>
  <si>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</si>
  <si>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</si>
  <si>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</si>
  <si>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</si>
  <si>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</si>
  <si>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</si>
  <si>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</si>
  <si>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</si>
  <si>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</si>
  <si>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</si>
  <si>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</si>
  <si>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</si>
  <si>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</si>
  <si>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</si>
  <si>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</si>
  <si>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</si>
  <si>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</si>
  <si>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</si>
  <si>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</si>
  <si>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</si>
  <si>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</si>
  <si>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</si>
  <si>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</si>
  <si>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</si>
  <si>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</si>
  <si>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</si>
  <si>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</si>
  <si>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</si>
  <si>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</si>
  <si>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</si>
  <si>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</si>
  <si>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</si>
  <si>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</si>
  <si>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</si>
  <si>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</si>
  <si>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</si>
  <si>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</si>
  <si>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</si>
  <si>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</si>
  <si>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</si>
  <si>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</si>
  <si>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</si>
  <si>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</si>
  <si>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</si>
  <si>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</si>
  <si>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</si>
  <si>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</si>
  <si>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</si>
  <si>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</si>
  <si>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</si>
  <si>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</si>
  <si>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</si>
  <si>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</si>
  <si>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</si>
  <si>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</si>
  <si>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</si>
  <si>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</si>
  <si>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</si>
  <si>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</si>
  <si>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</si>
  <si>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</si>
  <si>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</si>
  <si>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</si>
  <si>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</si>
  <si>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</si>
  <si>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</si>
  <si>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</si>
  <si>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</si>
  <si>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</si>
  <si>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</si>
  <si>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</si>
  <si>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</si>
  <si>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</si>
  <si>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</si>
  <si>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</si>
  <si>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</si>
  <si>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</si>
  <si>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</si>
  <si>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</si>
  <si>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</si>
  <si>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</si>
  <si>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</si>
  <si>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</si>
  <si>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</si>
  <si>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</si>
  <si>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</si>
  <si>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</si>
  <si>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</si>
  <si>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</si>
  <si>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</si>
  <si>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</si>
  <si>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</si>
  <si>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</si>
  <si>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</si>
  <si>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</si>
  <si>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</si>
  <si>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</si>
  <si>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</si>
  <si>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</si>
  <si>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</si>
  <si>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</si>
  <si>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</si>
  <si>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</si>
  <si>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</si>
  <si>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</si>
  <si>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</si>
  <si>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</si>
  <si>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</si>
  <si>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</si>
  <si>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</si>
  <si>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</si>
  <si>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</si>
  <si>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</si>
  <si>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</si>
  <si>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</si>
  <si>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</si>
  <si>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</si>
  <si>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</si>
  <si>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</si>
  <si>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</si>
  <si>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</si>
  <si>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</si>
  <si>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</si>
  <si>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</si>
  <si>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</si>
  <si>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</si>
  <si>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</si>
  <si>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</si>
  <si>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</si>
  <si>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</si>
  <si>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</si>
  <si>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</si>
  <si>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</si>
  <si>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</si>
  <si>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</si>
  <si>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</si>
  <si>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</si>
  <si>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</si>
  <si>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</si>
  <si>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</si>
  <si>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</si>
  <si>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</si>
  <si>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</si>
  <si>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</si>
  <si>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</si>
  <si>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</si>
  <si>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</si>
  <si>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</si>
  <si>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Painel Felipe</t>
  </si>
  <si>
    <t>Café e Tertúlia: Gincana dos Neurotransmissores</t>
  </si>
  <si>
    <t>220/2026</t>
  </si>
  <si>
    <t>Isac Mendes Caixeta de Pamplona Araújo; Valéria Feitoza; Cinthia Thais de Carvalho Luz Thomazi</t>
  </si>
  <si>
    <t>10/06/2026</t>
  </si>
  <si>
    <t xml:space="preserve">UniTCDF: Gestão Pública </t>
  </si>
  <si>
    <t>=IF(B737="","",B737&amp;"-"&amp;TEXT(COUNTIF($B$2:B737,B737),"000"))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</si>
</sst>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2" activePane="bottomLeft" state="frozen"/>
      <selection pane="bottomLeft" activeCell="I711" sqref="I711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735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1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30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16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30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18" t="s">
        <v>2745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19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17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15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15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2784</v>
      </c>
      <c r="E725" s="184" t="s">
        <v>3184</v>
      </c>
      <c r="F725" s="185"/>
      <c r="G725" s="186" t="s">
        <v>2749</v>
      </c>
      <c r="H725" s="191" t="s">
        <v>3183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2965</v>
      </c>
      <c r="B726" s="183">
        <v>2026</v>
      </c>
      <c r="C726" s="183" t="s">
        <v>2774</v>
      </c>
      <c r="D726" s="212"/>
      <c r="E726" s="184" t="s">
        <v>3165</v>
      </c>
      <c r="F726" s="185"/>
      <c r="G726" s="186" t="s">
        <v>2749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 t="s">
        <v>2774</v>
      </c>
      <c r="D727" s="183"/>
      <c r="E727" s="180" t="s">
        <v>3166</v>
      </c>
      <c r="F727" s="185"/>
      <c r="G727" s="186" t="s">
        <v>2749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 t="s">
        <v>2774</v>
      </c>
      <c r="D728" s="183"/>
      <c r="E728" s="180" t="s">
        <v>3164</v>
      </c>
      <c r="F728" s="185"/>
      <c r="G728" s="186" t="s">
        <v>2749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 t="s">
        <v>2774</v>
      </c>
      <c r="D729" s="183"/>
      <c r="E729" s="180" t="s">
        <v>3167</v>
      </c>
      <c r="F729" s="185"/>
      <c r="G729" s="186" t="s">
        <v>2749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3173</v>
      </c>
      <c r="B730" s="183">
        <v>2026</v>
      </c>
      <c r="C730" s="183" t="s">
        <v>2774</v>
      </c>
      <c r="D730" s="183"/>
      <c r="E730" s="203" t="s">
        <v>3168</v>
      </c>
      <c r="F730" s="185"/>
      <c r="G730" s="186" t="s">
        <v>2749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3174</v>
      </c>
      <c r="B731" s="183">
        <v>2026</v>
      </c>
      <c r="C731" s="183" t="s">
        <v>2774</v>
      </c>
      <c r="D731" s="183"/>
      <c r="E731" s="203" t="s">
        <v>3170</v>
      </c>
      <c r="F731" s="185"/>
      <c r="G731" s="186" t="s">
        <v>2749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3175</v>
      </c>
      <c r="B732" s="183">
        <v>2026</v>
      </c>
      <c r="C732" s="183" t="s">
        <v>2774</v>
      </c>
      <c r="D732" s="183"/>
      <c r="E732" s="184" t="s">
        <v>3169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3176</v>
      </c>
      <c r="B733" s="183">
        <v>2026</v>
      </c>
      <c r="C733" s="183" t="s">
        <v>2774</v>
      </c>
      <c r="D733" s="183"/>
      <c r="E733" s="203" t="s">
        <v>3171</v>
      </c>
      <c r="F733" s="185"/>
      <c r="G733" s="186" t="s">
        <v>2749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3177</v>
      </c>
      <c r="B734" s="183">
        <v>2026</v>
      </c>
      <c r="C734" s="183" t="s">
        <v>2774</v>
      </c>
      <c r="D734" s="183"/>
      <c r="E734" s="184" t="s">
        <v>3172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91" t="s">
        <v>3178</v>
      </c>
      <c r="B735" s="183">
        <v>2026</v>
      </c>
      <c r="C735" s="183" t="s">
        <v>22</v>
      </c>
      <c r="D735" s="183" t="s">
        <v>3181</v>
      </c>
      <c r="E735" s="184" t="s">
        <v>3180</v>
      </c>
      <c r="F735" s="185"/>
      <c r="G735" s="186" t="s">
        <v>206</v>
      </c>
      <c r="H735" s="191" t="s">
        <v>3181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3182</v>
      </c>
    </row>
    <row r="736" spans="1:20" ht="15" x14ac:dyDescent="0.25">
      <c r="A736" s="191"/>
      <c r="B736" s="183"/>
      <c r="C736" s="183"/>
      <c r="D736" s="183"/>
      <c r="E736" s="184" t="s">
        <v>3179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4"/>
        <v/>
      </c>
      <c r="S736" s="183"/>
      <c r="T736" s="186"/>
    </row>
    <row r="737" spans="1:20" ht="15" x14ac:dyDescent="0.25">
      <c r="A737" s="191" t="s">
        <v>3185</v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727:C727 E727:T727 A2002:A2006 E2007 A728:T2001 A2:T726">
    <cfRule type="expression" dxfId="1" priority="9">
      <formula>MOD(ROW(),2)=0</formula>
    </cfRule>
  </conditionalFormatting>
  <conditionalFormatting sqref="A727:C727 E727:T727 A2002:A2006 E2007 A728:T2001 A2:T726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4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8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9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L57">
        <v>2026</v>
      </c>
      <c r="M57" t="str">
        <v>2026-069</v>
      </c>
      <c r="N57" t="str">
        <v>Realizado</v>
      </c>
      <c r="O57" t="str">
        <v xml:space="preserve">UniTCDF: Gestão Pública </v>
      </c>
      <c r="P57">
        <v>3</v>
      </c>
      <c r="Q57" t="str">
        <v>Fernanda Viana de Souza; Túllio Herbeth Teixeira Moraes</v>
      </c>
      <c r="R57">
        <v>2</v>
      </c>
      <c r="S57">
        <v>112</v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L58">
        <v>2026</v>
      </c>
      <c r="M58" t="str">
        <v>2026-079</v>
      </c>
      <c r="N58" t="str">
        <v>Realizado</v>
      </c>
      <c r="O58" t="str">
        <v>Café e Tertúlia: Gincana dos Neurotransmissores</v>
      </c>
      <c r="P58">
        <v>2</v>
      </c>
      <c r="Q58" t="str">
        <v>Isac Mendes Caixeta de Pamplona Araújo; Valéria Feitoza; Cinthia Thais de Carvalho Luz Thomazi</v>
      </c>
      <c r="R58">
        <v>3</v>
      </c>
      <c r="S58">
        <v>115</v>
      </c>
      <c r="T58">
        <v>112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T59">
        <v>115</v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2026-069</v>
      </c>
      <c r="C112" t="str">
        <v>Realizado</v>
      </c>
      <c r="D112" t="str">
        <v xml:space="preserve">UniTCDF: Gestão Pública </v>
      </c>
      <c r="E112">
        <v>3</v>
      </c>
      <c r="F112" t="str">
        <v>Fernanda Viana de Souza</v>
      </c>
      <c r="G112">
        <v>2</v>
      </c>
      <c r="H112">
        <v>3</v>
      </c>
      <c r="I112">
        <v>0.89999999999999991</v>
      </c>
      <c r="J112">
        <v>3.9</v>
      </c>
      <c r="R112" t="str">
        <v/>
      </c>
      <c r="S112" t="str">
        <v/>
      </c>
    </row>
    <row r="113" spans="1:19" x14ac:dyDescent="0.25">
      <c r="A113">
        <v>2026</v>
      </c>
      <c r="B113" t="str">
        <v>2026-069</v>
      </c>
      <c r="C113" t="str">
        <v>Realizado</v>
      </c>
      <c r="D113" t="str">
        <v xml:space="preserve">UniTCDF: Gestão Pública </v>
      </c>
      <c r="E113">
        <v>3</v>
      </c>
      <c r="F113" t="str">
        <v>Túllio Herbeth Teixeira Moraes</v>
      </c>
      <c r="G113">
        <v>2</v>
      </c>
      <c r="H113">
        <v>3</v>
      </c>
      <c r="I113">
        <v>0.89999999999999991</v>
      </c>
      <c r="J113">
        <v>3.9</v>
      </c>
      <c r="R113" t="str">
        <v/>
      </c>
      <c r="S113" t="str">
        <v/>
      </c>
    </row>
    <row r="114" spans="1:19" x14ac:dyDescent="0.25">
      <c r="A114">
        <v>2026</v>
      </c>
      <c r="B114" t="str">
        <v>2026-079</v>
      </c>
      <c r="C114" t="str">
        <v>Realizado</v>
      </c>
      <c r="D114" t="str">
        <v>Café e Tertúlia: Gincana dos Neurotransmissores</v>
      </c>
      <c r="E114">
        <v>2</v>
      </c>
      <c r="F114" t="str">
        <v>Isac Mendes Caixeta de Pamplona Araújo</v>
      </c>
      <c r="G114">
        <v>3</v>
      </c>
      <c r="H114">
        <v>2</v>
      </c>
      <c r="I114">
        <v>0.6</v>
      </c>
      <c r="J114">
        <v>2.6</v>
      </c>
      <c r="R114" t="str">
        <v/>
      </c>
      <c r="S114" t="str">
        <v/>
      </c>
    </row>
    <row r="115" spans="1:19" x14ac:dyDescent="0.25">
      <c r="A115">
        <v>2026</v>
      </c>
      <c r="B115" t="str">
        <v>2026-079</v>
      </c>
      <c r="C115" t="str">
        <v>Realizado</v>
      </c>
      <c r="D115" t="str">
        <v>Café e Tertúlia: Gincana dos Neurotransmissores</v>
      </c>
      <c r="E115">
        <v>2</v>
      </c>
      <c r="F115" t="str">
        <v>Valéria Feitoza</v>
      </c>
      <c r="G115">
        <v>3</v>
      </c>
      <c r="H115">
        <v>2</v>
      </c>
      <c r="I115">
        <v>0.6</v>
      </c>
      <c r="J115">
        <v>2.6</v>
      </c>
      <c r="R115" t="str">
        <v/>
      </c>
      <c r="S115" t="str">
        <v/>
      </c>
    </row>
    <row r="116" spans="1:19" x14ac:dyDescent="0.25">
      <c r="A116">
        <v>2026</v>
      </c>
      <c r="B116" t="str">
        <v>2026-079</v>
      </c>
      <c r="C116" t="str">
        <v>Realizado</v>
      </c>
      <c r="D116" t="str">
        <v>Café e Tertúlia: Gincana dos Neurotransmissores</v>
      </c>
      <c r="E116">
        <v>2</v>
      </c>
      <c r="F116" t="str">
        <v>Cinthia Thais de Carvalho Luz Thomazi</v>
      </c>
      <c r="G116">
        <v>3</v>
      </c>
      <c r="H116">
        <v>2</v>
      </c>
      <c r="I116">
        <v>0.6</v>
      </c>
      <c r="J116">
        <v>2.6</v>
      </c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40</v>
      </c>
      <c r="E5" s="44" t="s">
        <v>3060</v>
      </c>
      <c r="G5" s="46">
        <f>COUNTIFS('Ações InCompany'!B:B,2026,'Ações InCompany'!C:C,"A realizar")</f>
        <v>36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1848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0.27631578947368424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5.2631578947368418E-2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40</v>
      </c>
      <c r="C45" s="41">
        <f>SUM(C33:C44)</f>
        <v>36</v>
      </c>
      <c r="D45" s="41">
        <f>SUM(D33:D44)</f>
        <v>76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39</v>
      </c>
      <c r="C14" s="26">
        <f>IF($A14="","",SUMIFS('GECC 2026'!I$2:I$200,'GECC 2026'!F$2:F$200,$A14))</f>
        <v>8.1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47.100000000000009</v>
      </c>
      <c r="F14" s="24">
        <f>IF($A14="","",COUNTIFS('GECC 2026'!F$2:F$200,$A14))</f>
        <v>8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18</v>
      </c>
      <c r="C24" s="26">
        <f>IF($A24="","",SUMIFS('GECC 2026'!I$2:I$200,'GECC 2026'!F$2:F$200,$A24))</f>
        <v>5.4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23.4</v>
      </c>
      <c r="F24" s="24">
        <f>IF($A24="","",COUNTIFS('GECC 2026'!F$2:F$200,$A24))</f>
        <v>5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2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2.6</v>
      </c>
      <c r="F32" s="24">
        <f>IF($A32="","",COUNTIFS('GECC 2026'!F$2:F$200,$A32))</f>
        <v>2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6</v>
      </c>
      <c r="C53" s="26">
        <f>IF($A53="","",SUMIFS('GECC 2026'!I$2:I$200,'GECC 2026'!F$2:F$200,$A53))</f>
        <v>1.7999999999999998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7.8</v>
      </c>
      <c r="F53" s="24">
        <f>IF($A53="","",COUNTIFS('GECC 2026'!F$2:F$200,$A53))</f>
        <v>2</v>
      </c>
    </row>
    <row r="54" spans="1:6" x14ac:dyDescent="0.25">
      <c r="A54" t="str">
        <v>Valéria Feitoza</v>
      </c>
      <c r="B54" s="26">
        <f>IF($A54="","",SUMIFS('GECC 2026'!H$2:H$200,'GECC 2026'!F$2:F$200,$A54))</f>
        <v>2</v>
      </c>
      <c r="C54" s="26">
        <f>IF($A54="","",SUMIFS('GECC 2026'!I$2:I$200,'GECC 2026'!F$2:F$200,$A54))</f>
        <v>0.6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2.6</v>
      </c>
      <c r="F54" s="24">
        <f>IF($A54="","",COUNTIFS('GECC 2026'!F$2:F$200,$A54))</f>
        <v>2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691</v>
      </c>
      <c r="C105" s="95">
        <f>SUM(C5:C100)</f>
        <v>378.14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686eaa-0658-4f15-b230-9e46c4d089f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2026-08-05T16:53:47Z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