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23" documentId="8_{454372C2-A99E-4E47-A759-72B38925853E}" xr6:coauthVersionLast="47" xr6:coauthVersionMax="47" xr10:uidLastSave="{02ECE414-6BC6-46BE-A055-D1D1282CBB8A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<sst xmlns="http://schemas.openxmlformats.org/spreadsheetml/2006/main" count="6239" uniqueCount="2409">
  <si>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</si>
  <si>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</si>
  <si>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</si>
  <si>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</si>
  <si>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</si>
  <si>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</si>
  <si>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</si>
  <si>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</si>
  <si>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</si>
  <si>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</si>
  <si>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</si>
  <si>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</si>
  <si>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</si>
  <si>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</si>
  <si>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</si>
  <si>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</si>
  <si>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</si>
  <si>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</si>
  <si>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</si>
  <si>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</si>
  <si>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</si>
  <si>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</si>
  <si>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</si>
  <si>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</si>
  <si>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</si>
  <si>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</si>
  <si>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</si>
  <si>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</si>
  <si>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</si>
  <si>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</si>
  <si>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</si>
  <si>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</si>
  <si>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</si>
  <si>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</si>
  <si>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</si>
  <si>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</si>
  <si>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</si>
  <si>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</si>
  <si>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</si>
  <si>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</si>
  <si>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</si>
  <si>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</si>
  <si>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</si>
  <si>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</si>
  <si>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</si>
  <si>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</si>
  <si>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</si>
  <si>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</si>
  <si>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</si>
  <si>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</si>
  <si>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</si>
  <si>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</si>
  <si>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</si>
  <si>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</si>
  <si>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</si>
  <si>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</si>
  <si>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</si>
  <si>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</si>
  <si>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</si>
  <si>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</si>
  <si>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</si>
  <si>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</si>
  <si>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</si>
  <si>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</si>
  <si>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</si>
  <si>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</si>
  <si>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</si>
  <si>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</si>
  <si>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</si>
  <si>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</si>
  <si>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</si>
  <si>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</si>
  <si>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</si>
  <si>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</si>
  <si>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</si>
  <si>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</si>
  <si>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</si>
  <si>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</si>
  <si>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</si>
  <si>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</si>
  <si>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</si>
  <si>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</si>
  <si>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</si>
  <si>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</si>
  <si>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</si>
  <si>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</si>
  <si>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</si>
  <si>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</si>
  <si>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</si>
  <si>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</si>
  <si>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</si>
  <si>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</si>
  <si>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</si>
  <si>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</si>
  <si>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</si>
  <si>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</si>
  <si>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</si>
  <si>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</si>
  <si>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</si>
  <si>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</si>
  <si>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</si>
  <si>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</si>
  <si>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</si>
  <si>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</si>
  <si>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</si>
  <si>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</si>
  <si>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</si>
  <si>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</si>
  <si>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</si>
  <si>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</si>
  <si>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</si>
  <si>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</si>
  <si>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</si>
  <si>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</si>
  <si>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</si>
  <si>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</si>
  <si>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</si>
  <si>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</si>
  <si>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</si>
  <si>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</si>
  <si>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</si>
  <si>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</si>
  <si>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</si>
  <si>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</si>
  <si>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</si>
  <si>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</si>
  <si>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</si>
  <si>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</si>
  <si>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</si>
  <si>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</si>
  <si>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</si>
  <si>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</si>
  <si>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</si>
  <si>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</si>
  <si>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</si>
  <si>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</si>
  <si>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</si>
  <si>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</si>
  <si>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</si>
  <si>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</si>
  <si>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</si>
  <si>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</si>
  <si>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</si>
  <si>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</si>
  <si>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</si>
  <si>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</si>
  <si>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</si>
  <si>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</si>
  <si>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</si>
  <si>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</si>
  <si>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</si>
  <si>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</si>
  <si>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</si>
  <si>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</si>
  <si>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</si>
  <si>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</si>
  <si>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</si>
  <si>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</si>
  <si>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</si>
  <si>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</si>
  <si>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</si>
  <si>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</si>
  <si>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</si>
  <si>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</si>
  <si>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</si>
  <si>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</si>
  <si>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</si>
  <si>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</si>
  <si>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</si>
  <si>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</si>
  <si>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</si>
  <si>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</si>
  <si>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</si>
  <si>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</si>
  <si>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</si>
  <si>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</si>
  <si>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</si>
  <si>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</si>
  <si>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</si>
  <si>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</si>
  <si>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</si>
  <si>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</si>
  <si>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</si>
  <si>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</si>
  <si>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</si>
  <si>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</si>
  <si>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</si>
  <si>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</si>
  <si>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</si>
  <si>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</si>
  <si>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</si>
  <si>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</si>
  <si>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</si>
  <si>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</si>
  <si>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</si>
  <si>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</si>
  <si>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</si>
  <si>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</si>
  <si>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</si>
  <si>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</si>
  <si>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</si>
  <si>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</si>
  <si>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</si>
  <si>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</si>
  <si>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</si>
  <si>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</si>
  <si>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</si>
  <si>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</si>
  <si>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</si>
  <si>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</si>
  <si>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</si>
  <si>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</si>
  <si>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</si>
  <si>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</si>
  <si>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</si>
  <si>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</si>
  <si>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</si>
  <si>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</si>
  <si>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</si>
  <si>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</si>
  <si>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</si>
  <si>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</si>
  <si>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</si>
  <si>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</si>
  <si>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</si>
  <si>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</si>
  <si>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</si>
  <si>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</si>
  <si>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</si>
  <si>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</si>
  <si>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</si>
  <si>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</si>
  <si>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</si>
  <si>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</si>
  <si>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</si>
  <si>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</si>
  <si>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</si>
  <si>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</si>
  <si>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</si>
  <si>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</si>
  <si>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</si>
  <si>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</si>
  <si>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</si>
  <si>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</si>
  <si>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</si>
  <si>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</si>
  <si>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</si>
  <si>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</si>
  <si>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</si>
  <si>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</si>
  <si>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</si>
  <si>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</si>
  <si>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</si>
  <si>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</si>
  <si>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</si>
  <si>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</si>
  <si>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</si>
  <si>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</si>
  <si>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</si>
  <si>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</si>
  <si>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</si>
  <si>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</si>
  <si>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</si>
  <si>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</si>
  <si>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</si>
  <si>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</si>
  <si>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</si>
  <si>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</si>
  <si>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</si>
  <si>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</si>
  <si>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</si>
  <si>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</si>
  <si>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</si>
  <si>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</si>
  <si>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</si>
  <si>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</si>
  <si>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</si>
  <si>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</si>
  <si>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</si>
  <si>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</si>
  <si>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</si>
  <si>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</si>
  <si>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</si>
  <si>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</si>
  <si>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</si>
  <si>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</si>
  <si>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</si>
  <si>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</si>
  <si>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</si>
  <si>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</si>
  <si>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</si>
  <si>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</si>
  <si>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</si>
  <si>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</si>
  <si>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</si>
  <si>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</si>
  <si>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</si>
  <si>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</si>
  <si>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</si>
  <si>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</si>
  <si>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</si>
  <si>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</si>
  <si>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</si>
  <si>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</si>
  <si>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</si>
  <si>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</si>
  <si>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</si>
  <si>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</si>
  <si>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</si>
  <si>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</si>
  <si>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</si>
  <si>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</si>
  <si>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</si>
  <si>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</si>
  <si>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</si>
  <si>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</si>
  <si>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</si>
  <si>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</si>
  <si>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</si>
  <si>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</si>
  <si>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</si>
  <si>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</si>
  <si>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</si>
  <si>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</si>
  <si>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</si>
  <si>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</si>
  <si>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</si>
  <si>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</si>
  <si>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</si>
  <si>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</si>
  <si>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</si>
  <si>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</si>
  <si>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</si>
  <si>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</si>
  <si>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</si>
  <si>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</si>
  <si>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</si>
  <si>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</si>
  <si>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</si>
  <si>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</si>
  <si>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</si>
  <si>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</si>
  <si>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</si>
  <si>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</si>
  <si>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</si>
  <si>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</si>
  <si>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</si>
  <si>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</si>
  <si>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</si>
  <si>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</si>
  <si>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</si>
  <si>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</si>
  <si>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</si>
  <si>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</si>
  <si>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</si>
  <si>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</si>
  <si>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</si>
  <si>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</si>
  <si>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</si>
  <si>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</si>
  <si>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</si>
  <si>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</si>
  <si>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</si>
  <si>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</si>
  <si>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</si>
  <si>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</si>
  <si>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</si>
  <si>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</si>
  <si>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</si>
  <si>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</si>
  <si>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</si>
  <si>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</si>
  <si>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</si>
  <si>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</si>
  <si>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</si>
  <si>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</si>
  <si>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</si>
  <si>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</si>
  <si>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</si>
  <si>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</si>
  <si>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</si>
  <si>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</si>
  <si>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</si>
  <si>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</si>
  <si>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</si>
  <si>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</si>
  <si>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</si>
  <si>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</si>
  <si>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</si>
  <si>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</si>
  <si>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</si>
  <si>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</si>
  <si>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</si>
  <si>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</si>
  <si>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</si>
  <si>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</si>
  <si>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</si>
  <si>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</si>
  <si>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</si>
  <si>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</si>
  <si>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</si>
  <si>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</si>
  <si>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</si>
  <si>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</si>
  <si>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</si>
  <si>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</si>
  <si>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</si>
  <si>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</si>
  <si>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</si>
  <si>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</si>
  <si>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</si>
  <si>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</si>
  <si>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</si>
  <si>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</si>
  <si>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</si>
  <si>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</si>
  <si>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</si>
  <si>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</si>
  <si>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</si>
  <si>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</si>
  <si>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</si>
  <si>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</si>
  <si>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</si>
  <si>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</si>
  <si>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</si>
  <si>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</si>
  <si>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</si>
  <si>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</si>
  <si>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</si>
  <si>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</si>
  <si>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</si>
  <si>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</si>
  <si>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</si>
  <si>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</si>
  <si>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</si>
  <si>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</si>
  <si>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</si>
  <si>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</si>
  <si>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</si>
  <si>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</si>
  <si>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</si>
  <si>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</si>
  <si>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</si>
  <si>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</si>
  <si>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</si>
  <si>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</si>
  <si>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</si>
  <si>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</si>
  <si>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</si>
  <si>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</si>
  <si>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</si>
  <si>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</si>
  <si>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</si>
  <si>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</si>
  <si>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</si>
  <si>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</si>
  <si>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</si>
  <si>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</si>
  <si>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</si>
  <si>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</si>
  <si>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</si>
  <si>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</si>
  <si>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</si>
  <si>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</si>
  <si>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</si>
  <si>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</si>
  <si>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</si>
  <si>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</si>
  <si>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</si>
  <si>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</si>
  <si>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</si>
  <si>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</si>
  <si>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</si>
  <si>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</si>
  <si>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</si>
  <si>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</si>
  <si>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</si>
  <si>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</si>
  <si>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</si>
  <si>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</si>
  <si>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</si>
  <si>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</si>
  <si>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</si>
  <si>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</si>
  <si>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</si>
  <si>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</si>
  <si>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</si>
  <si>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</si>
  <si>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</si>
  <si>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</si>
  <si>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</si>
  <si>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</si>
  <si>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</si>
  <si>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</si>
  <si>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</si>
  <si>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</si>
  <si>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</si>
  <si>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</si>
  <si>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</si>
  <si>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</si>
  <si>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</si>
  <si>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</si>
  <si>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</si>
  <si>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</si>
  <si>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</si>
  <si>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</si>
  <si>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</si>
  <si>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</si>
  <si>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</si>
  <si>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</si>
  <si>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</si>
  <si>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</si>
  <si>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</si>
  <si>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</si>
  <si>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</si>
  <si>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</si>
  <si>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</si>
  <si>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</si>
  <si>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</si>
  <si>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</si>
  <si>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</si>
  <si>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</si>
  <si>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</si>
  <si>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</si>
  <si>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</si>
  <si>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</si>
  <si>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</si>
  <si>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</si>
  <si>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</si>
  <si>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</si>
  <si>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</si>
  <si>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</si>
  <si>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</si>
  <si>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</si>
  <si>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</si>
  <si>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</si>
  <si>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</si>
  <si>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</si>
  <si>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</si>
  <si>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</si>
  <si>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</si>
  <si>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</si>
  <si>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</si>
  <si>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</si>
  <si>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</si>
  <si>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</si>
  <si>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</si>
  <si>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</si>
  <si>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</si>
  <si>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</si>
  <si>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</si>
  <si>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</si>
  <si>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</si>
  <si>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</si>
  <si>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</si>
  <si>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</si>
  <si>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</si>
  <si>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</si>
  <si>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</si>
  <si>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</si>
  <si>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</si>
  <si>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</si>
  <si>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</si>
  <si>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</si>
  <si>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</si>
  <si>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</si>
  <si>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</si>
  <si>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</si>
  <si>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</si>
  <si>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</si>
  <si>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</si>
  <si>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</si>
  <si>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</si>
  <si>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</si>
  <si>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</si>
  <si>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</si>
  <si>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</si>
  <si>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</si>
  <si>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</si>
  <si>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</si>
  <si>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</si>
  <si>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</si>
  <si>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</si>
  <si>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</si>
  <si>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</si>
  <si>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</si>
  <si>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</si>
  <si>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</si>
  <si>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</si>
  <si>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</si>
  <si>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</si>
  <si>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</si>
  <si>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</si>
  <si>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</si>
  <si>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</si>
  <si>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</si>
  <si>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</si>
  <si>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</si>
  <si>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</si>
  <si>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</si>
  <si>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</si>
  <si>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</si>
  <si>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</si>
  <si>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</si>
  <si>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</si>
  <si>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</si>
  <si>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</si>
  <si>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</si>
  <si>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</si>
  <si>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</si>
  <si>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</si>
  <si>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</si>
  <si>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</si>
  <si>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</si>
  <si>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</si>
  <si>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</si>
  <si>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</si>
  <si>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</si>
  <si>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</si>
  <si>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</si>
  <si>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</si>
  <si>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</si>
  <si>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</si>
  <si>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</si>
  <si>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</si>
  <si>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</si>
  <si>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</si>
  <si>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</si>
  <si>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</si>
  <si>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</si>
  <si>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</si>
  <si>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</si>
  <si>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</si>
  <si>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</si>
  <si>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</si>
  <si>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</si>
  <si>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</si>
  <si>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</si>
  <si>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</si>
  <si>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</si>
  <si>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</si>
  <si>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</si>
  <si>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</si>
  <si>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</si>
  <si>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</si>
  <si>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</si>
  <si>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</si>
  <si>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</si>
  <si>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</si>
  <si>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</si>
  <si>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</si>
  <si>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</si>
  <si>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</si>
  <si>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</si>
  <si>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</si>
  <si>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</si>
  <si>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</si>
  <si>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</si>
  <si>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</si>
  <si>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</si>
  <si>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</si>
  <si>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</si>
  <si>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</si>
  <si>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</si>
  <si>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</si>
  <si>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</si>
  <si>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</si>
  <si>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</si>
  <si>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</si>
  <si>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</si>
  <si>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</si>
  <si>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</si>
  <si>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</si>
  <si>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</si>
  <si>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</si>
  <si>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</si>
  <si>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</si>
  <si>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</si>
  <si>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</si>
  <si>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</si>
  <si>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</si>
  <si>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</si>
  <si>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</si>
  <si>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</si>
  <si>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</si>
  <si>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</si>
  <si>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</si>
  <si>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</si>
  <si>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</si>
  <si>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</si>
  <si>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</si>
  <si>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</si>
  <si>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</si>
  <si>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</si>
  <si>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</si>
  <si>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</si>
  <si>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</si>
  <si>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</si>
  <si>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</si>
  <si>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</si>
  <si>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</si>
  <si>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</si>
  <si>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</si>
  <si>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</si>
  <si>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</si>
  <si>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</si>
  <si>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</si>
  <si>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</si>
  <si>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</si>
  <si>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</si>
  <si>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</si>
  <si>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</si>
  <si>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</si>
  <si>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</si>
  <si>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</si>
  <si>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</si>
  <si>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</si>
  <si>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</si>
  <si>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</si>
  <si>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</si>
  <si>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</si>
  <si>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</si>
  <si>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</si>
  <si>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</si>
  <si>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</si>
  <si>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</si>
  <si>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</si>
  <si>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</si>
  <si>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</si>
  <si>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</si>
  <si>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</si>
  <si>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</si>
  <si>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</si>
  <si>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</si>
  <si>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</si>
  <si>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</si>
  <si>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</si>
  <si>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</si>
  <si>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</si>
  <si>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</si>
  <si>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</si>
  <si>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</si>
  <si>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</si>
  <si>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</si>
  <si>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</si>
  <si>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</si>
  <si>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</si>
  <si>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</si>
  <si>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</si>
  <si>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</si>
  <si>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</si>
  <si>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</si>
  <si>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</si>
  <si>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</si>
  <si>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</si>
  <si>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</si>
  <si>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</si>
  <si>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</si>
  <si>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</si>
  <si>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</si>
  <si>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</si>
  <si>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</si>
  <si>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</si>
  <si>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</si>
  <si>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</si>
  <si>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</si>
  <si>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</si>
  <si>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</si>
  <si>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</si>
  <si>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</si>
  <si>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</si>
  <si>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</si>
  <si>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</si>
  <si>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</si>
  <si>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</si>
  <si>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</si>
  <si>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</si>
  <si>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</si>
  <si>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</si>
  <si>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</si>
  <si>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</si>
  <si>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</si>
  <si>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</si>
  <si>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</si>
  <si>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</si>
  <si>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</si>
  <si>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</si>
  <si>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</si>
  <si>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</si>
  <si>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</si>
  <si>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</si>
  <si>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</si>
  <si>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</si>
  <si>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</si>
  <si>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</si>
  <si>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</si>
  <si>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</si>
  <si>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</si>
  <si>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</si>
  <si>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</si>
  <si>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</si>
  <si>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</si>
  <si>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</si>
  <si>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</si>
  <si>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</si>
  <si>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</si>
  <si>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</si>
  <si>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</si>
  <si>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</si>
  <si>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</si>
  <si>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</si>
  <si>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</si>
  <si>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</si>
  <si>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</si>
  <si>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</si>
  <si>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</si>
  <si>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</si>
  <si>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</si>
  <si>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</si>
  <si>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</si>
  <si>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</si>
  <si>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</si>
  <si>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</si>
  <si>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</si>
  <si>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</si>
  <si>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</si>
  <si>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</si>
  <si>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</si>
  <si>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</si>
  <si>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</si>
  <si>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</si>
  <si>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</si>
  <si>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</si>
  <si>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</si>
  <si>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</si>
  <si>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</si>
  <si>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</si>
  <si>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</si>
  <si>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</si>
  <si>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</si>
  <si>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</si>
  <si>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</si>
  <si>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</si>
  <si>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</si>
  <si>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</si>
  <si>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</si>
  <si>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</si>
  <si>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</si>
  <si>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</si>
  <si>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</si>
  <si>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</si>
  <si>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</si>
  <si>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</si>
  <si>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</si>
  <si>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</si>
  <si>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</si>
  <si>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</si>
  <si>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</si>
  <si>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</si>
  <si>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</si>
  <si>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</si>
  <si>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</si>
  <si>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</si>
  <si>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</si>
  <si>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</si>
  <si>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</si>
  <si>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</si>
  <si>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</si>
  <si>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</si>
  <si>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</si>
  <si>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</si>
  <si>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</si>
  <si>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</si>
  <si>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</si>
  <si>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</si>
  <si>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</si>
  <si>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</si>
  <si>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</si>
  <si>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</si>
  <si>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</si>
  <si>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</si>
  <si>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</si>
  <si>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</si>
  <si>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</si>
  <si>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</si>
  <si>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</si>
  <si>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</si>
  <si>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</si>
  <si>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</si>
  <si>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</si>
  <si>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</si>
  <si>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</si>
  <si>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</si>
  <si>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</si>
  <si>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</si>
  <si>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</si>
  <si>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</si>
  <si>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</si>
  <si>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</si>
  <si>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</si>
  <si>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</si>
  <si>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</si>
  <si>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</si>
  <si>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</si>
  <si>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</si>
  <si>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</si>
  <si>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</si>
  <si>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</si>
  <si>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</si>
  <si>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</si>
  <si>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</si>
  <si>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</si>
  <si>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</si>
  <si>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</si>
  <si>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</si>
  <si>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</si>
  <si>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</si>
  <si>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</si>
  <si>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</si>
  <si>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</si>
  <si>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</si>
  <si>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</si>
  <si>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</si>
  <si>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</si>
  <si>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</si>
  <si>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</si>
  <si>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</si>
  <si>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</si>
  <si>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</si>
  <si>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</si>
  <si>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</si>
  <si>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</si>
  <si>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</si>
  <si>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</si>
  <si>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</si>
  <si>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</si>
  <si>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</si>
  <si>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</si>
  <si>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</si>
  <si>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</si>
  <si>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</si>
  <si>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</si>
  <si>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</si>
  <si>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</si>
  <si>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</si>
  <si>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</si>
  <si>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</si>
  <si>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</si>
  <si>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</si>
  <si>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</si>
  <si>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</si>
  <si>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</si>
  <si>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</si>
  <si>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</si>
  <si>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</si>
  <si>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</si>
  <si>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</si>
  <si>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</si>
  <si>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</si>
  <si>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</si>
  <si>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</si>
  <si>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</si>
  <si>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</si>
  <si>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</si>
  <si>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</si>
  <si>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</si>
  <si>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</si>
  <si>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</si>
  <si>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</si>
  <si>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</si>
  <si>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</si>
  <si>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</si>
  <si>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</si>
  <si>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</si>
  <si>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</si>
  <si>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</si>
  <si>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</si>
  <si>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</si>
  <si>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</si>
  <si>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</si>
  <si>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</si>
  <si>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</si>
  <si>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</si>
  <si>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</si>
  <si>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</si>
  <si>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</si>
  <si>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</si>
  <si>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</si>
  <si>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</si>
  <si>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</si>
  <si>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</si>
  <si>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</si>
  <si>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</si>
  <si>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</si>
  <si>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</si>
  <si>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</si>
  <si>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</si>
  <si>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</si>
  <si>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</si>
  <si>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</si>
  <si>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</si>
  <si>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</si>
  <si>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</si>
  <si>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</si>
  <si>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</si>
  <si>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</si>
  <si>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</si>
  <si>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</si>
  <si>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</si>
  <si>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</si>
  <si>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</si>
  <si>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</si>
  <si>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</si>
  <si>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</si>
  <si>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</si>
  <si>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</si>
  <si>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</si>
  <si>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</si>
  <si>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</si>
  <si>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</si>
  <si>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</si>
  <si>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</si>
  <si>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</si>
  <si>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</si>
  <si>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</si>
  <si>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</si>
  <si>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</si>
  <si>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</si>
  <si>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</si>
  <si>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</si>
  <si>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</si>
  <si>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</si>
  <si>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</si>
  <si>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</si>
  <si>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</si>
  <si>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</si>
  <si>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</si>
  <si>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</si>
  <si>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</si>
  <si>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</si>
  <si>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</si>
  <si>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</si>
  <si>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</si>
  <si>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</si>
  <si>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</si>
  <si>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</si>
  <si>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</si>
  <si>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</si>
  <si>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</si>
  <si>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</si>
  <si>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</si>
  <si>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</si>
  <si>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</si>
  <si>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</si>
  <si>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</si>
  <si>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</si>
  <si>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</si>
  <si>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</si>
  <si>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</si>
  <si>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</si>
  <si>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</si>
  <si>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</si>
  <si>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</si>
  <si>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</si>
  <si>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</si>
  <si>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</si>
  <si>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</si>
  <si>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</si>
  <si>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</si>
  <si>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</si>
  <si>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</si>
  <si>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</si>
  <si>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</si>
  <si>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</si>
  <si>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</si>
  <si>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</si>
  <si>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</si>
  <si>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</si>
  <si>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</si>
  <si>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</si>
  <si>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</si>
  <si>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</si>
  <si>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</si>
  <si>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</si>
  <si>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</si>
  <si>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</si>
  <si>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</si>
  <si>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</si>
  <si>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</si>
  <si>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</si>
  <si>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</si>
  <si>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</si>
  <si>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</si>
  <si>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</si>
  <si>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</si>
  <si>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</si>
  <si>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</si>
  <si>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</si>
  <si>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</si>
  <si>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</si>
  <si>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</si>
  <si>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</si>
  <si>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</si>
  <si>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</si>
  <si>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</si>
  <si>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</si>
  <si>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</si>
  <si>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</si>
  <si>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</si>
  <si>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</si>
  <si>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</si>
  <si>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</si>
  <si>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</si>
  <si>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</si>
  <si>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</si>
  <si>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</si>
  <si>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</si>
  <si>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</si>
  <si>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</si>
  <si>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</si>
  <si>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</si>
  <si>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</si>
  <si>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</si>
  <si>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</si>
  <si>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</si>
  <si>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</si>
  <si>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</si>
  <si>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</si>
  <si>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</si>
  <si>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</si>
  <si>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</si>
  <si>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</si>
  <si>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</si>
  <si>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</si>
  <si>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</si>
  <si>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</si>
  <si>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</si>
  <si>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</si>
  <si>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</si>
  <si>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</si>
  <si>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</si>
  <si>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</si>
  <si>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</si>
  <si>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</si>
  <si>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</si>
  <si>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</si>
  <si>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</si>
  <si>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</si>
  <si>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</si>
  <si>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</si>
  <si>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</si>
  <si>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</si>
  <si>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</si>
  <si>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</si>
  <si>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</si>
  <si>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</si>
  <si>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</si>
  <si>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</si>
  <si>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</si>
  <si>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</si>
  <si>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</si>
  <si>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</si>
  <si>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</si>
  <si>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</si>
  <si>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</si>
  <si>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</si>
  <si>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</si>
  <si>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</si>
  <si>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</si>
  <si>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</si>
  <si>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</si>
  <si>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</si>
  <si>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</si>
  <si>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</si>
  <si>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</si>
  <si>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</si>
  <si>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</si>
  <si>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</si>
  <si>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</si>
  <si>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</si>
  <si>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</si>
  <si>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</si>
  <si>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</si>
  <si>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</si>
  <si>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</si>
  <si>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</si>
  <si>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</si>
  <si>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</si>
  <si>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</si>
  <si>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</si>
  <si>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</si>
  <si>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</si>
  <si>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</si>
  <si>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</si>
  <si>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</si>
  <si>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</si>
  <si>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</si>
  <si>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</si>
  <si>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</si>
  <si>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</si>
  <si>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</si>
  <si>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</si>
  <si>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</si>
  <si>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</si>
  <si>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</si>
  <si>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</si>
  <si>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</si>
  <si>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</si>
  <si>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</si>
  <si>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</si>
  <si>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</si>
  <si>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</si>
  <si>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</si>
  <si>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</si>
  <si>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</si>
  <si>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</si>
  <si>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</si>
  <si>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</si>
  <si>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</si>
  <si>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</si>
  <si>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</si>
  <si>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</si>
  <si>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</si>
  <si>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</si>
  <si>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</si>
  <si>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</si>
  <si>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</si>
  <si>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</si>
  <si>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</si>
  <si>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</si>
  <si>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</si>
  <si>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</si>
  <si>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</si>
  <si>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</si>
  <si>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</si>
  <si>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</si>
  <si>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</si>
  <si>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</si>
  <si>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</si>
  <si>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</si>
  <si>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</si>
  <si>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</si>
  <si>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</si>
  <si>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</si>
  <si>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</si>
  <si>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</si>
  <si>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</si>
  <si>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</si>
  <si>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</si>
  <si>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</si>
  <si>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</si>
  <si>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</si>
  <si>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</si>
  <si>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</si>
  <si>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</si>
  <si>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</si>
  <si>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</si>
  <si>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</si>
  <si>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</si>
  <si>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</si>
  <si>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</si>
  <si>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</si>
  <si>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</si>
  <si>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</si>
  <si>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</si>
  <si>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</si>
  <si>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</si>
  <si>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</si>
  <si>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</si>
  <si>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</si>
  <si>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</si>
  <si>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</si>
  <si>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</si>
  <si>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</si>
  <si>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</si>
  <si>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</si>
  <si>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</si>
  <si>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</si>
  <si>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</si>
  <si>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</si>
  <si>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</si>
  <si>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</si>
  <si>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</si>
  <si>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</si>
  <si>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</si>
  <si>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</si>
  <si>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</si>
  <si>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</si>
  <si>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</si>
  <si>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</si>
  <si>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</si>
  <si>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</si>
  <si>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</si>
  <si>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</si>
  <si>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</si>
  <si>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</si>
  <si>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</si>
  <si>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</si>
  <si>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</si>
  <si>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</si>
  <si>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</si>
  <si>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</si>
  <si>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</si>
  <si>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</si>
  <si>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</si>
  <si>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</si>
  <si>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</si>
  <si>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</si>
  <si>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</si>
  <si>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</si>
  <si>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</si>
  <si>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</si>
  <si>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</si>
  <si>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</si>
  <si>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</si>
  <si>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</si>
  <si>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</si>
  <si>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</si>
  <si>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</si>
  <si>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</si>
  <si>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</si>
  <si>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</si>
  <si>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</si>
  <si>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</si>
  <si>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</si>
  <si>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</si>
  <si>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</si>
  <si>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</si>
  <si>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</si>
  <si>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</si>
  <si>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</si>
  <si>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</si>
  <si>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</si>
  <si>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</si>
  <si>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</si>
  <si>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</si>
  <si>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</si>
  <si>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</si>
  <si>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</si>
  <si>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</si>
  <si>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</si>
  <si>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</si>
  <si>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</si>
  <si>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</si>
  <si>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</si>
  <si>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</si>
  <si>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</si>
  <si>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</si>
  <si>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</si>
  <si>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</si>
  <si>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</si>
  <si>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</si>
  <si>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</si>
  <si>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</si>
  <si>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</si>
  <si>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</si>
  <si>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</si>
  <si>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</si>
  <si>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</si>
  <si>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</si>
  <si>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</si>
  <si>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</si>
  <si>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</si>
  <si>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</si>
  <si>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</si>
  <si>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</si>
  <si>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</si>
  <si>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</si>
  <si>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</si>
  <si>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</si>
  <si>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</si>
  <si>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</si>
  <si>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</si>
  <si>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</si>
  <si>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</si>
  <si>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</si>
  <si>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</si>
  <si>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</si>
  <si>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</si>
  <si>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</si>
  <si>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</si>
  <si>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</si>
  <si>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</si>
  <si>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</si>
  <si>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</si>
  <si>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</si>
  <si>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</si>
  <si>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</si>
  <si>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</si>
  <si>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</si>
  <si>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</si>
  <si>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</si>
  <si>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</si>
  <si>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</si>
  <si>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</si>
  <si>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</si>
  <si>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</si>
  <si>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</si>
  <si>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</si>
  <si>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</si>
  <si>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</si>
  <si>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</si>
  <si>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</si>
  <si>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</si>
  <si>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</si>
  <si>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</si>
  <si>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</si>
  <si>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</si>
  <si>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</si>
  <si>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</si>
  <si>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</si>
  <si>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</si>
  <si>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</si>
  <si>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</si>
  <si>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</si>
  <si>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</si>
  <si>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</si>
  <si>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</si>
  <si>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</si>
  <si>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</si>
  <si>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</si>
  <si>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</si>
  <si>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</si>
  <si>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</si>
  <si>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</si>
  <si>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</si>
  <si>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</si>
  <si>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</si>
  <si>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</si>
  <si>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</si>
  <si>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</si>
  <si>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</si>
  <si>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</si>
  <si>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</si>
  <si>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</si>
  <si>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</si>
  <si>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</si>
  <si>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</si>
  <si>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</si>
  <si>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</si>
  <si>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</si>
  <si>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</si>
  <si>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</si>
  <si>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</si>
  <si>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</si>
  <si>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</si>
  <si>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</si>
  <si>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</si>
  <si>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</si>
  <si>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</si>
  <si>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</si>
  <si>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</si>
  <si>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</si>
  <si>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</si>
  <si>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</si>
  <si>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</si>
  <si>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</si>
  <si>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</si>
  <si>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</si>
  <si>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</si>
  <si>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</si>
  <si>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</si>
  <si>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</si>
  <si>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</si>
  <si>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</si>
  <si>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</si>
  <si>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</si>
  <si>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</si>
  <si>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</si>
  <si>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</si>
  <si>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</si>
  <si>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</si>
  <si>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</si>
  <si>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</si>
  <si>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</si>
  <si>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</si>
  <si>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</si>
  <si>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</si>
  <si>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</si>
  <si>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</si>
  <si>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</si>
  <si>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</si>
  <si>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</si>
  <si>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</si>
  <si>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</si>
  <si>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</si>
  <si>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</si>
  <si>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</si>
  <si>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</si>
  <si>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</si>
  <si>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</si>
  <si>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</si>
  <si>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</si>
  <si>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</si>
  <si>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</si>
  <si>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</si>
  <si>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</si>
  <si>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</si>
  <si>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</si>
  <si>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</si>
  <si>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</si>
  <si>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</si>
  <si>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</si>
  <si>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</si>
  <si>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</si>
  <si>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</si>
  <si>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</si>
  <si>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</si>
  <si>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</si>
  <si>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</si>
  <si>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</si>
  <si>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</si>
  <si>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</si>
  <si>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</si>
  <si>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</si>
  <si>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</si>
  <si>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</si>
  <si>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</si>
  <si>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</si>
  <si>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</si>
  <si>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</si>
  <si>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</si>
  <si>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</si>
  <si>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</si>
  <si>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</si>
  <si>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</si>
  <si>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</si>
  <si>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</si>
  <si>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</si>
  <si>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</si>
  <si>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</si>
  <si>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</si>
  <si>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</si>
  <si>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</si>
  <si>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</si>
  <si>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</si>
  <si>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</si>
  <si>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</si>
  <si>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</si>
  <si>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</si>
  <si>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</si>
  <si>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</si>
  <si>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</si>
  <si>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</si>
  <si>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</si>
  <si>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</si>
  <si>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</si>
  <si>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</si>
  <si>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</si>
  <si>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</si>
  <si>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</si>
  <si>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</si>
  <si>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</si>
  <si>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</si>
  <si>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</si>
  <si>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</si>
  <si>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</si>
  <si>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</si>
  <si>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</si>
  <si>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</si>
  <si>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</si>
  <si>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</si>
  <si>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</si>
  <si>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</si>
  <si>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</si>
  <si>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</si>
  <si>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</si>
  <si>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</si>
  <si>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</si>
  <si>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</si>
  <si>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</si>
  <si>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</si>
  <si>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</si>
  <si>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</si>
  <si>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</si>
  <si>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</si>
  <si>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</si>
  <si>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</si>
  <si>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</si>
  <si>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</si>
  <si>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</si>
  <si>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</si>
  <si>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</si>
  <si>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</si>
  <si>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</si>
  <si>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</si>
  <si>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</si>
  <si>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</si>
  <si>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</si>
  <si>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</si>
  <si>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</si>
  <si>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</si>
  <si>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</si>
  <si>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</si>
  <si>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</si>
  <si>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</si>
  <si>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</si>
  <si>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</si>
  <si>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</si>
  <si>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</si>
  <si>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</si>
  <si>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</si>
  <si>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</si>
  <si>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</si>
  <si>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</si>
  <si>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</si>
  <si>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</si>
  <si>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</si>
  <si>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</si>
  <si>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</si>
  <si>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</si>
  <si>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</si>
  <si>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</si>
  <si>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</si>
  <si>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</si>
  <si>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</si>
  <si>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</si>
  <si>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</si>
  <si>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</si>
  <si>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</si>
  <si>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</si>
  <si>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</si>
  <si>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</si>
  <si>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</si>
  <si>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</si>
  <si>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</si>
  <si>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</si>
  <si>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</si>
  <si>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</si>
  <si>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</si>
  <si>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</si>
  <si>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</si>
  <si>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</si>
  <si>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</si>
  <si>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</si>
  <si>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</si>
  <si>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</si>
  <si>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</si>
  <si>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</si>
  <si>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</si>
  <si>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</si>
  <si>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</si>
  <si>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</si>
  <si>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</si>
  <si>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</si>
  <si>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</si>
  <si>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</si>
  <si>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</si>
  <si>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</si>
  <si>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</si>
  <si>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</si>
  <si>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</si>
  <si>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</si>
  <si>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</si>
  <si>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</si>
  <si>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</si>
  <si>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</si>
  <si>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</si>
  <si>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</si>
  <si>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</si>
  <si>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</si>
  <si>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</si>
  <si>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</si>
  <si>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</si>
  <si>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</si>
  <si>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</si>
  <si>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</si>
  <si>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</si>
  <si>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</si>
  <si>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</si>
  <si>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</si>
  <si>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</si>
  <si>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</si>
  <si>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</si>
  <si>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</si>
  <si>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</si>
  <si>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</si>
  <si>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</si>
  <si>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</si>
  <si>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</si>
  <si>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</si>
  <si>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</si>
  <si>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</si>
  <si>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</si>
  <si>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</si>
  <si>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</si>
  <si>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</si>
  <si>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</si>
  <si>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</si>
  <si>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</si>
  <si>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</si>
  <si>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</si>
  <si>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</si>
  <si>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</si>
  <si>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</si>
  <si>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</si>
  <si>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</si>
  <si>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</si>
  <si>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</si>
  <si>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</si>
  <si>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</si>
  <si>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</si>
  <si>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</si>
  <si>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</si>
  <si>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</si>
  <si>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</si>
  <si>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</si>
  <si>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</si>
  <si>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</si>
  <si>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</si>
  <si>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</si>
  <si>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</si>
  <si>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</si>
  <si>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</si>
  <si>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</si>
  <si>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</si>
  <si>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</si>
  <si>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</si>
  <si>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</si>
  <si>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</si>
  <si>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</si>
  <si>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</si>
  <si>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</si>
  <si>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</si>
  <si>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</si>
  <si>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</si>
  <si>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</si>
  <si>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</si>
  <si>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</si>
  <si>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</si>
  <si>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</si>
  <si>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</si>
  <si>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</si>
  <si>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</si>
  <si>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</si>
  <si>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</si>
  <si>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</si>
  <si>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</si>
  <si>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</si>
  <si>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</si>
  <si>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</si>
  <si>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</si>
  <si>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</si>
  <si>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</si>
  <si>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</si>
  <si>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</si>
  <si>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</si>
  <si>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</si>
  <si>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</si>
  <si>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</si>
  <si>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</si>
  <si>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</si>
  <si>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</si>
  <si>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</si>
  <si>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</si>
  <si>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</si>
  <si>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</si>
  <si>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</si>
  <si>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</si>
  <si>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</si>
  <si>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</si>
  <si>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</si>
  <si>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</si>
  <si>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</si>
  <si>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</si>
  <si>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</si>
  <si>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</si>
  <si>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</si>
  <si>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</si>
  <si>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</si>
  <si>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</si>
  <si>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</si>
  <si>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</si>
  <si>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</si>
  <si>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</si>
  <si>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</si>
  <si>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</si>
  <si>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</si>
  <si>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</si>
  <si>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</si>
  <si>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</si>
  <si>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</si>
  <si>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</si>
  <si>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</si>
  <si>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</si>
  <si>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</si>
  <si>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</si>
  <si>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</si>
  <si>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</si>
  <si>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</si>
  <si>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</si>
  <si>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</si>
  <si>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</si>
  <si>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</si>
  <si>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</si>
  <si>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</si>
  <si>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</si>
  <si>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</si>
  <si>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</si>
  <si>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</si>
  <si>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</si>
  <si>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</si>
  <si>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</si>
  <si>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</si>
  <si>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</si>
  <si>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</si>
  <si>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</si>
  <si>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</si>
  <si>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</si>
  <si>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</si>
  <si>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</si>
  <si>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</si>
  <si>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</si>
  <si>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</si>
  <si>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</si>
  <si>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</si>
  <si>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</si>
  <si>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</si>
  <si>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</si>
  <si>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</si>
  <si>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</si>
  <si>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</si>
  <si>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</si>
  <si>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</si>
  <si>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</si>
  <si>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</si>
  <si>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</si>
  <si>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</si>
  <si>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</si>
  <si>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</si>
  <si>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</si>
  <si>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</si>
  <si>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</si>
  <si>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</si>
  <si>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</si>
  <si>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</si>
  <si>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</si>
  <si>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</si>
  <si>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</si>
  <si>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</si>
  <si>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</si>
  <si>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</si>
  <si>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</si>
  <si>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</si>
  <si>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</si>
  <si>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</si>
  <si>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</si>
  <si>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</si>
  <si>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</si>
  <si>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</si>
  <si>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</si>
  <si>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</si>
  <si>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</si>
  <si>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</si>
  <si>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</si>
  <si>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</si>
  <si>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</si>
  <si>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</si>
  <si>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</si>
  <si>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</si>
  <si>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</si>
  <si>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</si>
  <si>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</si>
  <si>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</si>
  <si>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</si>
  <si>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</si>
  <si>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</si>
  <si>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</si>
  <si>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</si>
  <si>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</si>
  <si>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</si>
  <si>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</si>
  <si>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</si>
  <si>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</si>
  <si>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</si>
  <si>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</si>
  <si>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</si>
  <si>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</si>
  <si>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</si>
  <si>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</si>
  <si>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</si>
  <si>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</si>
  <si>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</si>
  <si>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</si>
  <si>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</si>
  <si>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</si>
  <si>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</si>
  <si>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</si>
  <si>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</si>
  <si>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</si>
  <si>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</si>
  <si>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</si>
  <si>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</si>
  <si>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</si>
  <si>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</si>
  <si>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</si>
  <si>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</si>
  <si>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</si>
  <si>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</si>
  <si>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</si>
  <si>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</si>
  <si>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</si>
  <si>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</si>
  <si>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</si>
  <si>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</si>
  <si>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</si>
  <si>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</si>
  <si>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</si>
  <si>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</si>
  <si>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</si>
  <si>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</si>
  <si>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</si>
  <si>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</si>
  <si>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</si>
  <si>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</si>
  <si>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</si>
  <si>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</si>
  <si>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</si>
  <si>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</si>
  <si>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</si>
  <si>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</si>
  <si>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</si>
  <si>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</si>
  <si>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</si>
  <si>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</si>
  <si>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</si>
  <si>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</si>
  <si>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</si>
  <si>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</si>
  <si>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</si>
  <si>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</si>
  <si>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</si>
  <si>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</si>
  <si>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</si>
  <si>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</si>
  <si>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</si>
  <si>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</si>
  <si>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</si>
  <si>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</si>
  <si>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</si>
  <si>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</si>
  <si>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</si>
  <si>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</si>
  <si>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</si>
  <si>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</si>
  <si>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</si>
  <si>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</si>
  <si>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</si>
  <si>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</si>
  <si>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</si>
  <si>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</si>
  <si>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</si>
  <si>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</si>
  <si>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</si>
  <si>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</si>
  <si>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</si>
  <si>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</si>
  <si>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</si>
  <si>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</si>
  <si>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</si>
  <si>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</si>
  <si>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</si>
  <si>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</si>
  <si>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</si>
  <si>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</si>
  <si>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</si>
  <si>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</si>
  <si>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</si>
  <si>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</si>
  <si>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</si>
  <si>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</si>
  <si>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</si>
  <si>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</si>
  <si>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</si>
  <si>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</si>
  <si>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</si>
  <si>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</si>
  <si>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</si>
  <si>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</si>
  <si>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</si>
  <si>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</si>
  <si>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</si>
  <si>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</si>
  <si>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</si>
  <si>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</si>
  <si>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</si>
  <si>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</si>
  <si>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</si>
  <si>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</si>
  <si>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</si>
  <si>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</si>
  <si>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</si>
  <si>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</si>
  <si>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</si>
  <si>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</si>
  <si>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</si>
  <si>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</si>
  <si>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</si>
  <si>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</si>
  <si>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</si>
  <si>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</si>
  <si>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</si>
  <si>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</si>
  <si>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</si>
  <si>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</si>
  <si>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</si>
  <si>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</si>
  <si>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</si>
  <si>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</si>
  <si>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</si>
  <si>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</si>
  <si>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</si>
  <si>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</si>
  <si>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</si>
  <si>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</si>
  <si>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</si>
  <si>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</si>
  <si>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</si>
  <si>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</si>
  <si>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</si>
  <si>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</si>
  <si>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</si>
  <si>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</si>
  <si>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</si>
  <si>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</si>
  <si>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</si>
  <si>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</si>
  <si>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</si>
  <si>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</si>
  <si>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</si>
  <si>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</si>
  <si>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</si>
  <si>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</si>
  <si>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</si>
  <si>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</si>
  <si>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</si>
  <si>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</si>
  <si>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</si>
  <si>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</si>
  <si>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</si>
  <si>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</si>
  <si>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</si>
  <si>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</si>
  <si>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</si>
  <si>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</si>
  <si>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</si>
  <si>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</si>
  <si>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</si>
  <si>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</si>
  <si>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</si>
  <si>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</si>
  <si>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</si>
  <si>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</si>
  <si>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</si>
  <si>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</si>
  <si>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</si>
  <si>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</si>
  <si>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</si>
  <si>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</si>
  <si>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</si>
  <si>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</si>
  <si>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</si>
  <si>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</si>
  <si>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</si>
  <si>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</si>
  <si>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</si>
  <si>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</si>
  <si>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</si>
  <si>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</si>
  <si>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</si>
  <si>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</si>
  <si>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</si>
  <si>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</si>
  <si>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</si>
  <si>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</si>
  <si>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</si>
  <si>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</si>
  <si>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</si>
  <si>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</si>
  <si>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</si>
  <si>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</si>
  <si>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</si>
  <si>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</si>
  <si>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</si>
  <si>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</si>
  <si>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</si>
  <si>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</si>
  <si>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</si>
  <si>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</si>
  <si>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</si>
  <si>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</si>
  <si>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</si>
  <si>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</si>
  <si>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</si>
  <si>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</si>
  <si>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</si>
  <si>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</si>
  <si>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</si>
  <si>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</si>
  <si>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</si>
  <si>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</si>
  <si>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</si>
  <si>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</si>
  <si>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</si>
  <si>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</si>
  <si>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</si>
  <si>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</si>
  <si>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</si>
  <si>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</si>
  <si>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</si>
  <si>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</si>
  <si>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</si>
  <si>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</si>
  <si>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</si>
  <si>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</si>
  <si>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</si>
  <si>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</si>
  <si>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</si>
  <si>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</si>
  <si>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</si>
  <si>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</si>
  <si>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</si>
  <si>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</si>
  <si>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</si>
  <si>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</si>
  <si>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</si>
  <si>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</si>
  <si>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</si>
  <si>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</si>
  <si>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</si>
  <si>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</si>
  <si>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</si>
  <si>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</si>
  <si>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</si>
  <si>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</si>
  <si>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</si>
  <si>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</si>
  <si>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</si>
  <si>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</si>
  <si>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</si>
  <si>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</si>
  <si>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</si>
  <si>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</si>
  <si>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</si>
  <si>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</si>
  <si>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</si>
  <si>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</si>
  <si>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</si>
  <si>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</si>
  <si>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</si>
  <si>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</si>
  <si>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</si>
  <si>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</si>
  <si>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</si>
  <si>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</si>
  <si>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</si>
  <si>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</si>
  <si>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</si>
  <si>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</si>
  <si>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</si>
  <si>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</si>
  <si>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</si>
  <si>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</si>
  <si>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</si>
  <si>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</si>
  <si>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</si>
  <si>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</si>
  <si>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</si>
  <si>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</si>
  <si>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</si>
  <si>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</si>
  <si>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</si>
  <si>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</si>
  <si>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</si>
  <si>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</si>
  <si>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</si>
  <si>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</si>
  <si>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</si>
  <si>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</si>
  <si>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</si>
  <si>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</si>
  <si>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</si>
  <si>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</si>
  <si>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</si>
  <si>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</si>
  <si>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</si>
  <si>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</si>
  <si>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</si>
  <si>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</si>
  <si>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</si>
  <si>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</si>
  <si>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</si>
  <si>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</si>
  <si>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</si>
  <si>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</si>
  <si>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</si>
  <si>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</si>
  <si>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</si>
  <si>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</si>
  <si>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</si>
  <si>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</si>
  <si>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</si>
  <si>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</si>
  <si>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</si>
  <si>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</si>
  <si>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</si>
  <si>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</si>
  <si>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</si>
  <si>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</si>
  <si>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</si>
  <si>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</si>
  <si>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</si>
  <si>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</si>
  <si>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</si>
  <si>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</si>
  <si>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</si>
  <si>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</si>
  <si>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</si>
  <si>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</si>
  <si>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</si>
  <si>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</si>
  <si>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</si>
  <si>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</si>
  <si>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</si>
  <si>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</si>
  <si>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</si>
  <si>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</si>
  <si>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</si>
  <si>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</si>
  <si>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</si>
  <si>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</si>
  <si>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</si>
  <si>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</si>
  <si>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</si>
  <si>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</si>
  <si>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</si>
  <si>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</si>
  <si>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</si>
  <si>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</si>
  <si>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</si>
  <si>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</si>
  <si>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</si>
  <si>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</si>
  <si>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</si>
  <si>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</si>
  <si>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</si>
  <si>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</si>
  <si>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</si>
  <si>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</si>
  <si>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</si>
  <si>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</si>
  <si>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</si>
  <si>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</si>
  <si>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</si>
  <si>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</si>
  <si>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</si>
  <si>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</si>
  <si>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</si>
  <si>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</si>
  <si>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</si>
  <si>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</si>
  <si>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</si>
  <si>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</si>
  <si>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</si>
  <si>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</si>
  <si>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</si>
  <si>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</si>
  <si>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</si>
  <si>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</si>
  <si>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</si>
  <si>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</si>
  <si>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</si>
  <si>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</si>
  <si>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</si>
  <si>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</si>
  <si>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</si>
  <si>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</si>
  <si>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</si>
  <si>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</si>
  <si>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</si>
  <si>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</si>
  <si>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</si>
  <si>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</si>
  <si>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</si>
  <si>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</si>
  <si>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</si>
  <si>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</si>
  <si>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</si>
  <si>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</si>
  <si>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</si>
  <si>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</si>
  <si>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</si>
  <si>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</si>
  <si>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</si>
  <si>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</si>
  <si>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</si>
  <si>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</si>
  <si>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</si>
  <si>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</si>
  <si>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</si>
  <si>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</si>
  <si>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</si>
  <si>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</si>
  <si>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</si>
  <si>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</si>
  <si>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</si>
  <si>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</si>
  <si>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</si>
  <si>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</si>
  <si>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</si>
  <si>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</si>
  <si>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</si>
  <si>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</si>
  <si>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</si>
  <si>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</si>
  <si>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</si>
  <si>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</si>
  <si>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</si>
  <si>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</si>
  <si>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</si>
  <si>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</si>
  <si>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</si>
  <si>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</si>
  <si>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</si>
  <si>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</si>
  <si>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</si>
  <si>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</si>
  <si>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</si>
  <si>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</si>
  <si>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</si>
  <si>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</si>
  <si>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</si>
  <si>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</si>
  <si>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</si>
  <si>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</si>
  <si>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</si>
  <si>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</si>
  <si>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</si>
  <si>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</si>
  <si>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</si>
  <si>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</si>
  <si>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</si>
  <si>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</si>
  <si>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</si>
  <si>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</si>
  <si>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</si>
  <si>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</si>
  <si>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</si>
  <si>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</si>
  <si>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</si>
  <si>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</si>
  <si>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</si>
  <si>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</si>
  <si>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</si>
  <si>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</si>
  <si>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</si>
  <si>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</si>
  <si>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</si>
  <si>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</si>
  <si>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</si>
  <si>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</si>
  <si>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</si>
  <si>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</si>
  <si>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</si>
  <si>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</si>
  <si>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</si>
  <si>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</si>
  <si>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</si>
  <si>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</si>
  <si>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</si>
  <si>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</si>
  <si>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</si>
  <si>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</si>
  <si>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</si>
  <si>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</si>
  <si>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</si>
  <si>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</si>
  <si>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</si>
  <si>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</si>
  <si>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</si>
  <si>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</si>
  <si>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</si>
  <si>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</si>
  <si>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</si>
  <si>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</si>
  <si>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</si>
  <si>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</si>
  <si>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</si>
  <si>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</si>
  <si>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</si>
  <si>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</si>
  <si>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</si>
  <si>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</si>
  <si>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</si>
  <si>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</si>
  <si>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</si>
  <si>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10 e 11 de agosto de 2026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</si>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</sst>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" fontId="0" fillId="0" borderId="1" xfId="0" applyNumberForma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52" dataDxfId="51" totalsRowDxfId="50" totalsRowBorderDxfId="49">
  <autoFilter ref="B1:T684" xr:uid="{D1BD5F14-CD6F-4B62-85D2-128A9D3B5FF1}"/>
  <tableColumns count="19">
    <tableColumn id="2" xr3:uid="{19532738-24D5-4BD5-BE04-C19DCC5894A1}" name="Ano" dataDxfId="48" totalsRowDxfId="47"/>
    <tableColumn id="3" xr3:uid="{8DE0B36A-F0DC-47A1-A74E-F4BE63A4FB1D}" name="Status Evento" dataDxfId="46" totalsRowDxfId="45"/>
    <tableColumn id="4" xr3:uid="{C1159FBD-CCD0-4CA2-BB8C-598E3AB5DDD8}" name="Processo" dataDxfId="44" totalsRowDxfId="43"/>
    <tableColumn id="5" xr3:uid="{A32670A4-BE4F-480D-8DE9-8FF18024C829}" name="Curso" dataDxfId="42" totalsRowDxfId="41"/>
    <tableColumn id="8" xr3:uid="{905DEA0A-D099-47EA-972D-1012D71C7792}" name="Público-Alvo" dataDxfId="40" totalsRowDxfId="39"/>
    <tableColumn id="9" xr3:uid="{7DC0A0BE-8030-47CA-AF56-2C13C9FF7AE5}" name="Programa" dataDxfId="38" totalsRowDxfId="37"/>
    <tableColumn id="11" xr3:uid="{2B799ACD-69E4-46A5-9A4F-F7E3D7A47CE9}" name="Data TXT" dataDxfId="36" totalsRowDxfId="35"/>
    <tableColumn id="12" xr3:uid="{62016C67-3729-4C41-B72D-09D6616B7474}" name="Início" dataDxfId="34" totalsRowDxfId="33"/>
    <tableColumn id="13" xr3:uid="{E4F20518-0042-40C0-B590-B7616F2843A5}" name="Término" dataDxfId="32" totalsRowDxfId="31"/>
    <tableColumn id="14" xr3:uid="{4D6C4412-CFEE-4506-830E-F79FD008371B}" name="Modalidade" dataDxfId="30" totalsRowDxfId="29"/>
    <tableColumn id="15" xr3:uid="{12EC931A-E71B-4AEB-B20B-0F9EA63D0C71}" name="Valor instrutoria" dataDxfId="28" totalsRowDxfId="27" dataCellStyle="Moeda"/>
    <tableColumn id="17" xr3:uid="{8FCDFADA-4FA3-41E0-86FF-E623116BAFEB}" name="Nota Av. Reação" dataDxfId="26" totalsRowDxfId="25"/>
    <tableColumn id="19" xr3:uid="{316EB379-BB97-4F60-9566-576B25A26B0E}" name="Qtd Vagas" dataDxfId="24" totalsRowDxfId="23"/>
    <tableColumn id="20" xr3:uid="{59A9FB16-6726-411C-88B5-8165DD520DA3}" name="P. Servidores" dataDxfId="22" totalsRowDxfId="21"/>
    <tableColumn id="21" xr3:uid="{0246E091-ADCD-4F62-8F95-84B21E8A7BE1}" name="P. Jurisdicionados" dataDxfId="20" totalsRowDxfId="19"/>
    <tableColumn id="22" xr3:uid="{1B6DBD6D-C072-4600-81C1-69D6F4422D7D}" name="P. Sociedade" dataDxfId="18" totalsRowDxfId="17"/>
    <tableColumn id="23" xr3:uid="{109F7E4E-776C-4249-88BE-FEC3A375D7D9}" name="Total Part." dataDxfId="16" totalsRowDxfId="15"/>
    <tableColumn id="24" xr3:uid="{C67AA4C6-834C-4EBB-839B-EF0CDD50F649}" name="C.H." dataDxfId="14" totalsRowDxfId="13"/>
    <tableColumn id="26" xr3:uid="{973608F6-3E97-493C-AC61-980F73C13CD6}" name="Instrutor" dataDxfId="12" totalsRowDxfId="1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80" activePane="bottomLeft" state="frozen"/>
      <selection pane="bottomLeft" activeCell="A695" sqref="A695:XFD695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2103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 t="s">
        <v>2408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30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6">
        <v>11334.44</v>
      </c>
      <c r="M695" s="214"/>
      <c r="N695" s="215">
        <v>30</v>
      </c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25">
        <v>25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2114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2396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2401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2402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2403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2404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2405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2406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2400</v>
      </c>
      <c r="E720" s="288" t="s">
        <v>2407</v>
      </c>
      <c r="F720" s="220" t="s">
        <v>51</v>
      </c>
      <c r="G720" s="217" t="s">
        <v>59</v>
      </c>
      <c r="H720" s="286" t="s">
        <v>2397</v>
      </c>
      <c r="I720" s="286" t="s">
        <v>2397</v>
      </c>
      <c r="J720" s="286" t="s">
        <v>2397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2399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10" priority="8">
      <formula>TRIM(C2)="Realizado"</formula>
    </cfRule>
    <cfRule type="expression" dxfId="9" priority="9">
      <formula>TRIM(C2)="Cancelado"</formula>
    </cfRule>
    <cfRule type="expression" dxfId="8" priority="10">
      <formula>TRIM(C2)="Adiado"</formula>
    </cfRule>
    <cfRule type="expression" dxfId="7" priority="11">
      <formula>AND(TRIM(C2)="A realizar",ISODD(ROW(C2)))</formula>
    </cfRule>
  </conditionalFormatting>
  <conditionalFormatting sqref="L680">
    <cfRule type="containsBlanks" dxfId="6" priority="5">
      <formula>LEN(TRIM(L680))=0</formula>
    </cfRule>
  </conditionalFormatting>
  <conditionalFormatting sqref="L689:L690">
    <cfRule type="containsBlanks" dxfId="5" priority="3">
      <formula>LEN(TRIM(L689))=0</formula>
    </cfRule>
  </conditionalFormatting>
  <conditionalFormatting sqref="M1:M513 L1:L537 L678">
    <cfRule type="containsBlanks" dxfId="4" priority="6">
      <formula>LEN(TRIM(L1))=0</formula>
    </cfRule>
  </conditionalFormatting>
  <conditionalFormatting sqref="M517:M675 L539:L675 L676:M676">
    <cfRule type="containsBlanks" dxfId="3" priority="7">
      <formula>LEN(TRIM(L517))=0</formula>
    </cfRule>
  </conditionalFormatting>
  <conditionalFormatting sqref="L704">
    <cfRule type="containsBlanks" dxfId="2" priority="2">
      <formula>LEN(TRIM(L704))=0</formula>
    </cfRule>
  </conditionalFormatting>
  <conditionalFormatting sqref="L695">
    <cfRule type="containsBlanks" dxfId="1" priority="1">
      <formula>LEN(TRIM(L695))=0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2398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1" t="s">
        <v>2293</v>
      </c>
      <c r="B1" s="291"/>
      <c r="C1" s="291"/>
      <c r="D1" s="291"/>
      <c r="E1" s="291"/>
      <c r="F1" s="291"/>
      <c r="G1" s="291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2" t="s">
        <v>2294</v>
      </c>
      <c r="B4" s="293"/>
      <c r="D4" s="294" t="s">
        <v>2295</v>
      </c>
      <c r="E4" s="295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9" t="s">
        <v>2298</v>
      </c>
      <c r="B8" s="289"/>
      <c r="D8" s="289" t="s">
        <v>2299</v>
      </c>
      <c r="E8" s="289"/>
    </row>
    <row r="9" spans="1:7" ht="5.0999999999999996" customHeight="1" x14ac:dyDescent="0.25">
      <c r="A9" s="290"/>
      <c r="B9" s="290"/>
      <c r="D9" s="290"/>
      <c r="E9" s="290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89" t="s">
        <v>2308</v>
      </c>
      <c r="B30" s="289"/>
      <c r="C30" s="289"/>
      <c r="D30" s="289"/>
      <c r="E30" s="289"/>
    </row>
    <row r="31" spans="1:5" ht="5.0999999999999996" customHeight="1" x14ac:dyDescent="0.25">
      <c r="A31" s="290"/>
      <c r="B31" s="290"/>
      <c r="C31" s="290"/>
      <c r="D31" s="290"/>
      <c r="E31" s="290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8</v>
      </c>
      <c r="D38" s="119">
        <f t="shared" si="0"/>
        <v>14</v>
      </c>
      <c r="E38" s="120">
        <f t="shared" si="1"/>
        <v>0.22950819672131148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1</v>
      </c>
      <c r="D40" s="153">
        <f>B40+C40</f>
        <v>1</v>
      </c>
      <c r="E40" s="158">
        <f>D40/$D$45</f>
        <v>1.6393442622950821E-2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6" t="s">
        <v>2358</v>
      </c>
      <c r="B1" s="296"/>
      <c r="C1" s="296"/>
      <c r="D1" s="296"/>
      <c r="E1" s="296"/>
      <c r="F1" s="296"/>
      <c r="G1" s="296"/>
      <c r="H1" s="296"/>
    </row>
    <row r="2" spans="1:8" x14ac:dyDescent="0.25">
      <c r="A2" s="130" t="s">
        <v>2359</v>
      </c>
    </row>
    <row r="4" spans="1:8" ht="21.95" customHeight="1" x14ac:dyDescent="0.25">
      <c r="A4" s="297" t="s">
        <v>2360</v>
      </c>
      <c r="B4" s="298"/>
      <c r="D4" s="297" t="s">
        <v>2361</v>
      </c>
      <c r="E4" s="298"/>
      <c r="G4" s="297" t="s">
        <v>2362</v>
      </c>
      <c r="H4" s="298"/>
    </row>
    <row r="5" spans="1:8" ht="35.1" customHeight="1" x14ac:dyDescent="0.25">
      <c r="A5" s="301">
        <f>COUNTIF('Ações InCompany'!E:E,"*maratona*")</f>
        <v>13</v>
      </c>
      <c r="B5" s="300"/>
      <c r="D5" s="299">
        <f>SUM(H8:H100)</f>
        <v>1762</v>
      </c>
      <c r="E5" s="300"/>
      <c r="G5" s="299">
        <f>IFERROR(ROUND(D5/A5,0),"-")</f>
        <v>136</v>
      </c>
      <c r="H5" s="300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2" t="s">
        <v>2368</v>
      </c>
      <c r="B1" s="302"/>
      <c r="C1" s="302"/>
      <c r="D1" s="302"/>
      <c r="E1" s="302"/>
      <c r="F1" s="302"/>
    </row>
    <row r="2" spans="1:7" x14ac:dyDescent="0.25">
      <c r="A2" s="303" t="s">
        <v>2369</v>
      </c>
      <c r="B2" s="303"/>
      <c r="C2" s="303"/>
      <c r="D2" s="303"/>
      <c r="E2" s="303"/>
      <c r="F2" s="303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2026-07-16T19:25:03Z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