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23" documentId="13_ncr:1_{6A2CC3E2-FAFB-4D8F-B284-5E8FB5045DFE}" xr6:coauthVersionLast="47" xr6:coauthVersionMax="47" xr10:uidLastSave="{2D8A9C77-5F9C-4E06-A886-D6BA9AC27D67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B8" i="27" l="1"/>
  <c r="A8" i="27"/>
  <c r="L4" i="20"/>
  <c r="R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5" i="23" s="1" a="1"/>
  <c r="B57" i="23" l="1"/>
  <c r="C57" i="23"/>
  <c r="F57" i="23"/>
  <c r="D57" i="23"/>
  <c r="E57" i="23"/>
  <c r="A2" i="20"/>
  <c r="E105" i="23"/>
  <c r="F54" i="23"/>
  <c r="C16" i="23"/>
  <c r="B17" i="23"/>
  <c r="E51" i="23"/>
  <c r="D35" i="23"/>
  <c r="C18" i="23"/>
  <c r="C51" i="23"/>
  <c r="D30" i="23"/>
  <c r="D46" i="23"/>
  <c r="C12" i="23"/>
  <c r="C9" i="23"/>
  <c r="F50" i="23"/>
  <c r="D45" i="23"/>
  <c r="E52" i="23"/>
  <c r="B49" i="23"/>
  <c r="D47" i="23"/>
  <c r="D53" i="23"/>
  <c r="F32" i="23"/>
  <c r="D32" i="23"/>
  <c r="B41" i="23"/>
  <c r="C40" i="23"/>
  <c r="C52" i="23"/>
  <c r="F21" i="23"/>
  <c r="D55" i="23"/>
  <c r="B34" i="23"/>
  <c r="D28" i="23"/>
  <c r="F46" i="23"/>
  <c r="E34" i="23"/>
  <c r="C11" i="23"/>
  <c r="F18" i="23"/>
  <c r="D12" i="23"/>
  <c r="C25" i="23"/>
  <c r="E47" i="23"/>
  <c r="C21" i="23"/>
  <c r="D11" i="23"/>
  <c r="E46" i="23"/>
  <c r="F48" i="23"/>
  <c r="D52" i="23"/>
  <c r="C6" i="23"/>
  <c r="E49" i="23"/>
  <c r="F12" i="23"/>
  <c r="F35" i="23"/>
  <c r="E27" i="23"/>
  <c r="D39" i="23"/>
  <c r="D17" i="23"/>
  <c r="C39" i="23"/>
  <c r="C43" i="23"/>
  <c r="C7" i="23"/>
  <c r="D26" i="23"/>
  <c r="F45" i="23"/>
  <c r="B10" i="23"/>
  <c r="C56" i="23"/>
  <c r="C14" i="23"/>
  <c r="B25" i="23"/>
  <c r="F30" i="23"/>
  <c r="C46" i="23"/>
  <c r="D37" i="23"/>
  <c r="E50" i="23"/>
  <c r="D43" i="23"/>
  <c r="F31" i="23"/>
  <c r="B33" i="23"/>
  <c r="E30" i="23"/>
  <c r="F47" i="23"/>
  <c r="B55" i="23"/>
  <c r="D49" i="23"/>
  <c r="C15" i="23"/>
  <c r="F29" i="23"/>
  <c r="F15" i="23"/>
  <c r="B13" i="23"/>
  <c r="E18" i="23"/>
  <c r="E38" i="23"/>
  <c r="D21" i="23"/>
  <c r="D42" i="23"/>
  <c r="F7" i="23"/>
  <c r="B29" i="23"/>
  <c r="B39" i="23"/>
  <c r="F49" i="23"/>
  <c r="C33" i="23"/>
  <c r="E14" i="23"/>
  <c r="E44" i="23"/>
  <c r="B40" i="23"/>
  <c r="F19" i="23"/>
  <c r="D18" i="23"/>
  <c r="F38" i="23"/>
  <c r="F52" i="23"/>
  <c r="B24" i="23"/>
  <c r="C49" i="23"/>
  <c r="B27" i="23"/>
  <c r="F23" i="23"/>
  <c r="D36" i="23"/>
  <c r="C24" i="23"/>
  <c r="F11" i="23"/>
  <c r="D23" i="23"/>
  <c r="F25" i="23"/>
  <c r="C34" i="23"/>
  <c r="F13" i="23"/>
  <c r="D41" i="23"/>
  <c r="F43" i="23"/>
  <c r="E48" i="23"/>
  <c r="B23" i="23"/>
  <c r="B32" i="23"/>
  <c r="B54" i="23"/>
  <c r="E41" i="23"/>
  <c r="E9" i="23"/>
  <c r="F27" i="23"/>
  <c r="B7" i="23"/>
  <c r="F28" i="23"/>
  <c r="D22" i="23"/>
  <c r="B56" i="23"/>
  <c r="C42" i="23"/>
  <c r="C20" i="23"/>
  <c r="F34" i="23"/>
  <c r="B28" i="23"/>
  <c r="F39" i="23"/>
  <c r="E26" i="23"/>
  <c r="E16" i="23"/>
  <c r="D29" i="23"/>
  <c r="E20" i="23"/>
  <c r="D13" i="23"/>
  <c r="C22" i="23"/>
  <c r="C55" i="23"/>
  <c r="E43" i="23"/>
  <c r="E19" i="23"/>
  <c r="F6" i="23"/>
  <c r="E40" i="23"/>
  <c r="B11" i="23"/>
  <c r="C48" i="23"/>
  <c r="E54" i="23"/>
  <c r="F33" i="23"/>
  <c r="C28" i="23"/>
  <c r="B12" i="23"/>
  <c r="C32" i="23"/>
  <c r="C41" i="23"/>
  <c r="B6" i="23"/>
  <c r="E39" i="23"/>
  <c r="B53" i="23"/>
  <c r="B19" i="23"/>
  <c r="C38" i="23"/>
  <c r="C13" i="23"/>
  <c r="D44" i="23"/>
  <c r="B51" i="23"/>
  <c r="E25" i="23"/>
  <c r="B50" i="23"/>
  <c r="F14" i="23"/>
  <c r="E53" i="23"/>
  <c r="B38" i="23"/>
  <c r="E23" i="23"/>
  <c r="F56" i="23"/>
  <c r="C37" i="23"/>
  <c r="D8" i="23"/>
  <c r="D10" i="23"/>
  <c r="C27" i="23"/>
  <c r="B47" i="23"/>
  <c r="B52" i="23"/>
  <c r="B21" i="23"/>
  <c r="E35" i="23"/>
  <c r="E22" i="23"/>
  <c r="C50" i="23"/>
  <c r="D27" i="23"/>
  <c r="B36" i="23"/>
  <c r="F36" i="23"/>
  <c r="E42" i="23"/>
  <c r="C53" i="23"/>
  <c r="B15" i="23"/>
  <c r="E11" i="23"/>
  <c r="C10" i="23"/>
  <c r="E15" i="23"/>
  <c r="F24" i="23"/>
  <c r="D50" i="23"/>
  <c r="D6" i="23"/>
  <c r="D40" i="23"/>
  <c r="B26" i="23"/>
  <c r="B30" i="23"/>
  <c r="D34" i="23"/>
  <c r="B31" i="23"/>
  <c r="E29" i="23"/>
  <c r="E36" i="23"/>
  <c r="B18" i="23"/>
  <c r="F8" i="23"/>
  <c r="F51" i="23"/>
  <c r="F44" i="23"/>
  <c r="C47" i="23"/>
  <c r="B37" i="23"/>
  <c r="B44" i="23"/>
  <c r="D7" i="23"/>
  <c r="D20" i="23"/>
  <c r="D48" i="23"/>
  <c r="E21" i="23"/>
  <c r="D25" i="23"/>
  <c r="C54" i="23"/>
  <c r="F26" i="23"/>
  <c r="F17" i="23"/>
  <c r="F22" i="23"/>
  <c r="C26" i="23"/>
  <c r="C44" i="23"/>
  <c r="C23" i="23"/>
  <c r="D15" i="23"/>
  <c r="E13" i="23"/>
  <c r="E24" i="23"/>
  <c r="C45" i="23"/>
  <c r="E32" i="23"/>
  <c r="D54" i="23"/>
  <c r="B48" i="23"/>
  <c r="B45" i="23"/>
  <c r="C36" i="23"/>
  <c r="E56" i="23"/>
  <c r="D24" i="23"/>
  <c r="B42" i="23"/>
  <c r="D51" i="23"/>
  <c r="F16" i="23"/>
  <c r="D33" i="23"/>
  <c r="B14" i="23"/>
  <c r="F53" i="23"/>
  <c r="B20" i="23"/>
  <c r="F10" i="23"/>
  <c r="E8" i="23"/>
  <c r="E12" i="23"/>
  <c r="E7" i="23"/>
  <c r="D56" i="23"/>
  <c r="F20" i="23"/>
  <c r="F40" i="23"/>
  <c r="D9" i="23"/>
  <c r="D16" i="23"/>
  <c r="E37" i="23"/>
  <c r="F9" i="23"/>
  <c r="C17" i="23"/>
  <c r="E6" i="23"/>
  <c r="B43" i="23"/>
  <c r="F55" i="23"/>
  <c r="B22" i="23"/>
  <c r="E17" i="23"/>
  <c r="E31" i="23"/>
  <c r="B16" i="23"/>
  <c r="C29" i="23"/>
  <c r="B46" i="23"/>
  <c r="F41" i="23"/>
  <c r="F37" i="23"/>
  <c r="C8" i="23"/>
  <c r="B35" i="23"/>
  <c r="D38" i="23"/>
  <c r="D19" i="23"/>
  <c r="C30" i="23"/>
  <c r="D31" i="23"/>
  <c r="D14" i="23"/>
  <c r="C19" i="23"/>
  <c r="C31" i="23"/>
  <c r="F42" i="23"/>
  <c r="B8" i="23"/>
  <c r="E55" i="23"/>
  <c r="E45" i="23"/>
  <c r="E33" i="23"/>
  <c r="B9" i="23"/>
  <c r="E10" i="23"/>
  <c r="E28" i="23"/>
  <c r="C35" i="23"/>
  <c r="A5" i="23"/>
  <c r="E5" i="23" l="1"/>
  <c r="F5" i="23"/>
  <c r="F105" i="23" s="1"/>
  <c r="C5" i="23"/>
  <c r="C105" i="23" s="1"/>
  <c r="G5" i="23"/>
  <c r="D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<sst xmlns="http://schemas.openxmlformats.org/spreadsheetml/2006/main" count="7305" uniqueCount="3210">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</sst>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41" activePane="bottomLeft" state="frozen"/>
      <selection pane="bottomLeft" activeCell="G665" sqref="G665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 t="s">
        <v>2979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2991</v>
      </c>
      <c r="B737" s="183">
        <v>2026</v>
      </c>
      <c r="C737" s="183" t="s">
        <v>2697</v>
      </c>
      <c r="D737" s="183" t="s">
        <v>2992</v>
      </c>
      <c r="E737" s="180" t="s">
        <v>2993</v>
      </c>
      <c r="F737" s="185"/>
      <c r="G737" s="186" t="s">
        <v>79</v>
      </c>
      <c r="H737" s="191" t="s">
        <v>2994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2995</v>
      </c>
      <c r="B738" s="183">
        <v>2026</v>
      </c>
      <c r="C738" s="183" t="s">
        <v>2697</v>
      </c>
      <c r="D738" s="183" t="s">
        <v>2996</v>
      </c>
      <c r="E738" s="180" t="s">
        <v>2997</v>
      </c>
      <c r="F738" s="185" t="s">
        <v>69</v>
      </c>
      <c r="G738" s="186" t="s">
        <v>2694</v>
      </c>
      <c r="H738" s="191" t="s">
        <v>2998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2999</v>
      </c>
    </row>
    <row r="739" spans="1:20" ht="15" x14ac:dyDescent="0.25">
      <c r="A739" s="191" t="s">
        <v>3000</v>
      </c>
      <c r="B739" s="183">
        <v>2026</v>
      </c>
      <c r="C739" s="183" t="s">
        <v>2697</v>
      </c>
      <c r="D739" s="183" t="s">
        <v>3001</v>
      </c>
      <c r="E739" s="180" t="s">
        <v>3002</v>
      </c>
      <c r="F739" s="185" t="s">
        <v>24</v>
      </c>
      <c r="G739" s="186" t="s">
        <v>2700</v>
      </c>
      <c r="H739" s="175" t="s">
        <v>3003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3004</v>
      </c>
      <c r="B740" s="183">
        <v>2026</v>
      </c>
      <c r="C740" s="183" t="s">
        <v>2697</v>
      </c>
      <c r="D740" s="183" t="s">
        <v>3005</v>
      </c>
      <c r="E740" s="180" t="s">
        <v>3006</v>
      </c>
      <c r="F740" s="185" t="s">
        <v>24</v>
      </c>
      <c r="G740" s="186" t="s">
        <v>2700</v>
      </c>
      <c r="H740" s="191" t="s">
        <v>3007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3008</v>
      </c>
      <c r="B741" s="183">
        <v>2026</v>
      </c>
      <c r="C741" s="183" t="s">
        <v>2697</v>
      </c>
      <c r="D741" s="183" t="s">
        <v>3009</v>
      </c>
      <c r="E741" s="180" t="s">
        <v>3010</v>
      </c>
      <c r="F741" s="185" t="s">
        <v>24</v>
      </c>
      <c r="G741" s="186" t="s">
        <v>2700</v>
      </c>
      <c r="H741" s="191" t="s">
        <v>3011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3012</v>
      </c>
      <c r="B742" s="183">
        <v>2026</v>
      </c>
      <c r="C742" s="183" t="s">
        <v>2697</v>
      </c>
      <c r="D742" s="183" t="s">
        <v>3009</v>
      </c>
      <c r="E742" s="184" t="s">
        <v>3013</v>
      </c>
      <c r="F742" s="185" t="s">
        <v>24</v>
      </c>
      <c r="G742" s="186" t="s">
        <v>2700</v>
      </c>
      <c r="H742" s="191" t="s">
        <v>3014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2001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3015</v>
      </c>
      <c r="H1" s="213" t="s">
        <v>3016</v>
      </c>
    </row>
    <row r="2" spans="1:8" x14ac:dyDescent="0.25">
      <c r="H2" s="212" t="s">
        <v>3017</v>
      </c>
    </row>
    <row r="3" spans="1:8" x14ac:dyDescent="0.25">
      <c r="A3" t="s">
        <v>0</v>
      </c>
      <c r="B3" t="s">
        <v>19</v>
      </c>
      <c r="C3" t="s">
        <v>3018</v>
      </c>
      <c r="D3" t="s">
        <v>3019</v>
      </c>
      <c r="E3" t="s">
        <v>3020</v>
      </c>
      <c r="H3" s="212" t="s">
        <v>3021</v>
      </c>
    </row>
    <row r="4" spans="1:8" x14ac:dyDescent="0.25">
      <c r="A4">
        <v>1</v>
      </c>
      <c r="B4" t="s">
        <v>3022</v>
      </c>
      <c r="D4" t="s">
        <v>3023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3024</v>
      </c>
    </row>
    <row r="5" spans="1:8" x14ac:dyDescent="0.25">
      <c r="A5">
        <v>2</v>
      </c>
      <c r="B5" t="s">
        <v>2507</v>
      </c>
      <c r="D5" t="s">
        <v>3023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3025</v>
      </c>
    </row>
    <row r="6" spans="1:8" x14ac:dyDescent="0.25">
      <c r="A6">
        <v>3</v>
      </c>
      <c r="B6" t="s">
        <v>1030</v>
      </c>
      <c r="D6" t="s">
        <v>3023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3026</v>
      </c>
      <c r="D7" t="s">
        <v>3023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3027</v>
      </c>
    </row>
    <row r="8" spans="1:8" x14ac:dyDescent="0.25">
      <c r="A8">
        <v>5</v>
      </c>
      <c r="B8" t="s">
        <v>3028</v>
      </c>
      <c r="D8" t="s">
        <v>3023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3023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3023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3023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3023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3023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3023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3023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3023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3023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3023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3023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3023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3023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3023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3029</v>
      </c>
      <c r="D23" t="s">
        <v>3023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3023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3030</v>
      </c>
      <c r="D25" t="s">
        <v>3023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3031</v>
      </c>
      <c r="D26" t="s">
        <v>3023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3023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3023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3032</v>
      </c>
      <c r="D29" t="s">
        <v>3023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3023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3023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3023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3033</v>
      </c>
      <c r="D33" t="s">
        <v>3023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3034</v>
      </c>
      <c r="D34" t="s">
        <v>3023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3023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3023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3023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3035</v>
      </c>
      <c r="D38" t="s">
        <v>3023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3036</v>
      </c>
      <c r="D39" t="s">
        <v>3023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3023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3037</v>
      </c>
      <c r="D41" t="s">
        <v>3023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3023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3023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3038</v>
      </c>
      <c r="D44" t="s">
        <v>3023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3023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3023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3023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3023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3039</v>
      </c>
      <c r="D49" t="s">
        <v>3023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3023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3040</v>
      </c>
      <c r="D51" t="s">
        <v>3023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3023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3023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3041</v>
      </c>
      <c r="D54" t="s">
        <v>3023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3023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3023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3023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57</v>
      </c>
      <c r="B58" t="s">
        <v>3042</v>
      </c>
      <c r="D58" t="s">
        <v>3023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58</v>
      </c>
      <c r="B59" t="s">
        <v>1880</v>
      </c>
      <c r="D59" t="s">
        <v>3023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59</v>
      </c>
      <c r="B60" t="s">
        <v>2089</v>
      </c>
      <c r="D60" t="s">
        <v>3023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60</v>
      </c>
      <c r="B61" t="s">
        <v>2021</v>
      </c>
      <c r="D61" t="s">
        <v>3023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61</v>
      </c>
      <c r="B62" t="s">
        <v>3043</v>
      </c>
      <c r="D62" t="s">
        <v>3023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62</v>
      </c>
      <c r="B63" t="s">
        <v>3044</v>
      </c>
      <c r="D63" t="s">
        <v>3023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63</v>
      </c>
      <c r="B64" t="s">
        <v>3045</v>
      </c>
      <c r="D64" t="s">
        <v>3023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64</v>
      </c>
      <c r="B65" t="s">
        <v>3046</v>
      </c>
      <c r="D65" t="s">
        <v>3023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65</v>
      </c>
      <c r="B66" t="s">
        <v>2797</v>
      </c>
      <c r="D66" t="s">
        <v>3023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66</v>
      </c>
      <c r="B67" t="s">
        <v>2556</v>
      </c>
      <c r="D67" t="s">
        <v>3023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67</v>
      </c>
      <c r="B68" t="s">
        <v>3047</v>
      </c>
      <c r="D68" t="s">
        <v>3023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68</v>
      </c>
      <c r="B69" t="s">
        <v>3048</v>
      </c>
      <c r="D69" t="s">
        <v>3023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69</v>
      </c>
      <c r="B70" t="s">
        <v>2457</v>
      </c>
      <c r="D70" t="s">
        <v>3023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70</v>
      </c>
      <c r="B71" t="s">
        <v>3049</v>
      </c>
      <c r="D71" t="s">
        <v>3023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71</v>
      </c>
      <c r="B72" t="s">
        <v>2670</v>
      </c>
      <c r="D72" t="s">
        <v>3023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72</v>
      </c>
      <c r="B73" t="s">
        <v>2322</v>
      </c>
      <c r="D73" t="s">
        <v>3023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73</v>
      </c>
      <c r="B74" t="s">
        <v>2301</v>
      </c>
      <c r="D74" t="s">
        <v>3023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74</v>
      </c>
      <c r="B75" t="s">
        <v>3050</v>
      </c>
      <c r="D75" t="s">
        <v>3023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75</v>
      </c>
      <c r="B76" t="s">
        <v>115</v>
      </c>
      <c r="D76" t="s">
        <v>3023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76</v>
      </c>
      <c r="B77" t="s">
        <v>942</v>
      </c>
      <c r="D77" t="s">
        <v>3023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77</v>
      </c>
      <c r="B78" t="s">
        <v>803</v>
      </c>
      <c r="D78" t="s">
        <v>3023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78</v>
      </c>
      <c r="B79" t="s">
        <v>425</v>
      </c>
      <c r="D79" t="s">
        <v>3023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79</v>
      </c>
      <c r="B80" t="s">
        <v>3051</v>
      </c>
      <c r="D80" t="s">
        <v>3023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80</v>
      </c>
      <c r="B81" t="s">
        <v>3052</v>
      </c>
      <c r="D81" t="s">
        <v>3023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81</v>
      </c>
      <c r="B82" t="s">
        <v>3053</v>
      </c>
      <c r="D82" t="s">
        <v>3023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82</v>
      </c>
      <c r="B83" t="s">
        <v>3054</v>
      </c>
      <c r="D83" t="s">
        <v>3023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83</v>
      </c>
      <c r="B84" t="s">
        <v>2482</v>
      </c>
      <c r="D84" t="s">
        <v>3023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84</v>
      </c>
      <c r="B85" t="s">
        <v>3055</v>
      </c>
      <c r="D85" t="s">
        <v>3023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85</v>
      </c>
      <c r="B86" t="s">
        <v>2578</v>
      </c>
      <c r="D86" t="s">
        <v>3023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86</v>
      </c>
      <c r="B87" t="s">
        <v>3056</v>
      </c>
      <c r="D87" t="s">
        <v>3023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87</v>
      </c>
      <c r="B88" t="s">
        <v>3057</v>
      </c>
      <c r="D88" t="s">
        <v>3023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88</v>
      </c>
      <c r="B89" t="s">
        <v>3058</v>
      </c>
      <c r="D89" t="s">
        <v>3023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89</v>
      </c>
      <c r="B90" t="s">
        <v>3059</v>
      </c>
      <c r="D90" t="s">
        <v>3023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90</v>
      </c>
      <c r="B91" t="s">
        <v>3060</v>
      </c>
      <c r="D91" t="s">
        <v>3023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91</v>
      </c>
      <c r="B92" t="s">
        <v>3061</v>
      </c>
      <c r="D92" t="s">
        <v>3023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92</v>
      </c>
      <c r="B93" t="s">
        <v>3062</v>
      </c>
      <c r="D93" t="s">
        <v>3023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93</v>
      </c>
      <c r="B94" t="s">
        <v>3063</v>
      </c>
      <c r="D94" t="s">
        <v>3023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94</v>
      </c>
      <c r="B95" t="s">
        <v>3064</v>
      </c>
      <c r="D95" t="s">
        <v>3023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95</v>
      </c>
      <c r="B96" t="s">
        <v>2921</v>
      </c>
      <c r="D96" t="s">
        <v>3023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96</v>
      </c>
      <c r="B97" t="s">
        <v>3065</v>
      </c>
      <c r="D97" t="s">
        <v>3023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97</v>
      </c>
      <c r="B98" t="s">
        <v>2913</v>
      </c>
      <c r="D98" t="s">
        <v>3023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98</v>
      </c>
      <c r="B99" t="s">
        <v>3066</v>
      </c>
      <c r="D99" t="s">
        <v>3023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99</v>
      </c>
      <c r="B100" t="s">
        <v>3067</v>
      </c>
      <c r="D100" t="s">
        <v>3023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100</v>
      </c>
      <c r="B101" t="s">
        <v>3068</v>
      </c>
      <c r="D101" t="s">
        <v>3023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101</v>
      </c>
      <c r="B102" t="s">
        <v>3069</v>
      </c>
      <c r="D102" t="s">
        <v>3023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102</v>
      </c>
      <c r="B103" t="s">
        <v>2715</v>
      </c>
      <c r="D103" t="s">
        <v>3023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103</v>
      </c>
      <c r="B104" t="s">
        <v>3070</v>
      </c>
      <c r="D104" t="s">
        <v>3023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104</v>
      </c>
      <c r="B105" t="s">
        <v>3071</v>
      </c>
      <c r="D105" t="s">
        <v>3023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105</v>
      </c>
      <c r="B106" t="s">
        <v>3072</v>
      </c>
      <c r="D106" t="s">
        <v>3023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106</v>
      </c>
      <c r="B107" t="s">
        <v>2868</v>
      </c>
      <c r="D107" t="s">
        <v>3023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107</v>
      </c>
      <c r="B108" t="s">
        <v>2873</v>
      </c>
      <c r="D108" t="s">
        <v>3023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8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0:B5010" xr:uid="{925DC1AF-F4AC-41EC-B8FF-405E79928C52}">
      <formula1>COUNTIF($B$4:$B$5010,B300)&lt;=1</formula1>
    </dataValidation>
    <dataValidation type="list" allowBlank="1" showInputMessage="1" showErrorMessage="1" sqref="C4:C5010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299" xr:uid="{B5101473-17B5-44AC-A6D8-A704A18D3D58}">
      <formula1>COUNTIF($B$4:$B$299,B4)&lt;=1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3073</v>
      </c>
      <c r="C1" s="19" t="s">
        <v>3074</v>
      </c>
      <c r="D1" s="19" t="s">
        <v>4</v>
      </c>
      <c r="E1" s="19" t="s">
        <v>3075</v>
      </c>
      <c r="F1" s="19" t="s">
        <v>19</v>
      </c>
      <c r="G1" s="19" t="s">
        <v>3076</v>
      </c>
      <c r="H1" s="19" t="s">
        <v>3077</v>
      </c>
      <c r="I1" s="19" t="s">
        <v>3078</v>
      </c>
      <c r="J1" s="19" t="s">
        <v>3079</v>
      </c>
      <c r="L1" s="112" t="s">
        <v>3080</v>
      </c>
      <c r="M1" s="23">
        <v>2026</v>
      </c>
      <c r="U1" s="80" t="s">
        <v>3081</v>
      </c>
      <c r="V1" s="79"/>
      <c r="X1" s="78" t="s">
        <v>3082</v>
      </c>
      <c r="Y1" s="27"/>
      <c r="Z1" s="27"/>
      <c r="AA1" s="27"/>
      <c r="AC1" s="100" t="s">
        <v>3083</v>
      </c>
    </row>
    <row r="2" spans="1:31" x14ac:dyDescent="0.25">
      <c r="A2" s="21" cm="1">
        <f t="array" aca="1" ref="A2:J12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3084</v>
      </c>
      <c r="M2" s="107" t="s">
        <v>2929</v>
      </c>
      <c r="X2" s="114" t="s">
        <v>3073</v>
      </c>
      <c r="Y2" s="114" t="s">
        <v>19</v>
      </c>
      <c r="Z2" s="114" t="s">
        <v>3085</v>
      </c>
      <c r="AA2" s="114" t="s">
        <v>3086</v>
      </c>
      <c r="AC2" s="115" t="s">
        <v>1</v>
      </c>
      <c r="AD2" s="115" t="s">
        <v>3087</v>
      </c>
      <c r="AE2" s="115" t="s">
        <v>3088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3089</v>
      </c>
      <c r="M3" s="113" t="s">
        <v>3090</v>
      </c>
      <c r="N3" s="113" t="s">
        <v>3091</v>
      </c>
      <c r="O3" s="113" t="s">
        <v>3092</v>
      </c>
      <c r="P3" s="113" t="s">
        <v>3093</v>
      </c>
      <c r="Q3" s="113" t="s">
        <v>3094</v>
      </c>
      <c r="R3" s="113" t="s">
        <v>3095</v>
      </c>
      <c r="S3" s="113" t="s">
        <v>3096</v>
      </c>
      <c r="T3" s="113" t="s">
        <v>3097</v>
      </c>
      <c r="X3" t="s">
        <v>2838</v>
      </c>
      <c r="Y3" t="s">
        <v>3036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3098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3036</v>
      </c>
      <c r="Z6">
        <v>1</v>
      </c>
      <c r="AA6">
        <v>0</v>
      </c>
      <c r="AC6" s="97">
        <v>2026</v>
      </c>
      <c r="AD6" s="18" t="s">
        <v>3099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3030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3048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3030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3048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3030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3048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3036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3036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3071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3067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3049</v>
      </c>
      <c r="Z33">
        <v>4</v>
      </c>
      <c r="AA33">
        <v>0.6</v>
      </c>
      <c r="AC33" s="99"/>
      <c r="AD33" s="116" t="s">
        <v>3100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3050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3041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3058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3057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3069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3066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3068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3065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3101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3072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3070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3057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3064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3063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3062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121</v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123</v>
      </c>
      <c r="T64">
        <f ca="1"/>
        <v>121</v>
      </c>
      <c r="X64" t="s">
        <v>2702</v>
      </c>
      <c r="Y64" t="s">
        <v>3054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125</v>
      </c>
      <c r="T65">
        <f ca="1"/>
        <v>123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125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3052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3036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3041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3055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3059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3056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3060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e Responsabilidade Fiscal (IESB)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e Responsabilidade Fiscal (IESB)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2026-084</v>
      </c>
      <c r="C122" t="str">
        <f ca="1"/>
        <v>A realizar</v>
      </c>
      <c r="D122" t="str">
        <f ca="1"/>
        <v>Oficina EmentAI: o seu assistente de IA na elaboração de ementas jurisprudenciais</v>
      </c>
      <c r="E122">
        <f ca="1"/>
        <v>4</v>
      </c>
      <c r="F122" t="str">
        <f ca="1"/>
        <v>Caio Filipe</v>
      </c>
      <c r="G122">
        <f ca="1"/>
        <v>1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2026-085</v>
      </c>
      <c r="C123" t="str">
        <f ca="1"/>
        <v>A realizar</v>
      </c>
      <c r="D123" t="str">
        <f ca="1"/>
        <v xml:space="preserve">Introdução à Engenharia de Prompt – T5 </v>
      </c>
      <c r="E123">
        <f ca="1"/>
        <v>8</v>
      </c>
      <c r="F123" t="str">
        <f ca="1"/>
        <v>Arthur Wú</v>
      </c>
      <c r="G123">
        <f ca="1"/>
        <v>2</v>
      </c>
      <c r="H123">
        <f ca="1"/>
        <v>8</v>
      </c>
      <c r="I123">
        <f ca="1"/>
        <v>2.4</v>
      </c>
      <c r="J123">
        <f ca="1"/>
        <v>10.4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2026-085</v>
      </c>
      <c r="C124" t="str">
        <f ca="1"/>
        <v>A realizar</v>
      </c>
      <c r="D124" t="str">
        <f ca="1"/>
        <v xml:space="preserve">Introdução à Engenharia de Prompt – T5 </v>
      </c>
      <c r="E124">
        <f ca="1"/>
        <v>8</v>
      </c>
      <c r="F124" t="str">
        <f ca="1"/>
        <v>Gustavo Takahashi</v>
      </c>
      <c r="G124">
        <f ca="1"/>
        <v>2</v>
      </c>
      <c r="H124">
        <f ca="1"/>
        <v>8</v>
      </c>
      <c r="I124">
        <f ca="1"/>
        <v>2.4</v>
      </c>
      <c r="J124">
        <f ca="1"/>
        <v>10.4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2026-086</v>
      </c>
      <c r="C125" t="str">
        <f ca="1"/>
        <v>A realizar</v>
      </c>
      <c r="D125" t="str">
        <f ca="1"/>
        <v>Introdução à Engenharia de Prompt – T6</v>
      </c>
      <c r="E125">
        <f ca="1"/>
        <v>8</v>
      </c>
      <c r="F125" t="str">
        <f ca="1"/>
        <v>Arthur Wú</v>
      </c>
      <c r="G125">
        <f ca="1"/>
        <v>2</v>
      </c>
      <c r="H125">
        <f ca="1"/>
        <v>8</v>
      </c>
      <c r="I125">
        <f ca="1"/>
        <v>2.4</v>
      </c>
      <c r="J125">
        <f ca="1"/>
        <v>10.4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2026-086</v>
      </c>
      <c r="C126" t="str">
        <f ca="1"/>
        <v>A realizar</v>
      </c>
      <c r="D126" t="str">
        <f ca="1"/>
        <v>Introdução à Engenharia de Prompt – T6</v>
      </c>
      <c r="E126">
        <f ca="1"/>
        <v>8</v>
      </c>
      <c r="F126" t="str">
        <f ca="1"/>
        <v>Gustavo Takahashi</v>
      </c>
      <c r="G126">
        <f ca="1"/>
        <v>2</v>
      </c>
      <c r="H126">
        <f ca="1"/>
        <v>8</v>
      </c>
      <c r="I126">
        <f ca="1"/>
        <v>2.4</v>
      </c>
      <c r="J126">
        <f ca="1"/>
        <v>10.4</v>
      </c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3102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3103</v>
      </c>
      <c r="B4" s="232"/>
      <c r="D4" s="233" t="s">
        <v>3104</v>
      </c>
      <c r="E4" s="234"/>
      <c r="G4" s="45" t="s">
        <v>3105</v>
      </c>
    </row>
    <row r="5" spans="1:7" ht="54.95" customHeight="1" thickBot="1" x14ac:dyDescent="0.75">
      <c r="A5" s="35">
        <f>COUNTIF('Ações InCompany'!B:B,2026)</f>
        <v>86</v>
      </c>
      <c r="B5" s="36" t="s">
        <v>3106</v>
      </c>
      <c r="D5" s="43">
        <f>COUNTIFS('Ações InCompany'!B:B,2026,'Ações InCompany'!C:C,"Realizado")</f>
        <v>53</v>
      </c>
      <c r="E5" s="44" t="s">
        <v>3106</v>
      </c>
      <c r="G5" s="46">
        <f>COUNTIFS('Ações InCompany'!B:B,2026,'Ações InCompany'!C:C,"A realizar")</f>
        <v>29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3107</v>
      </c>
      <c r="B8" s="228"/>
      <c r="D8" s="228" t="s">
        <v>3108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3109</v>
      </c>
      <c r="D10" s="28" t="s">
        <v>3110</v>
      </c>
      <c r="E10" s="28" t="s">
        <v>3111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3112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3113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3114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3115</v>
      </c>
      <c r="B14" s="34">
        <f>SUM(B11:B13)</f>
        <v>51</v>
      </c>
      <c r="D14" s="33" t="s">
        <v>3116</v>
      </c>
      <c r="E14" s="34">
        <f>SUM(E11:E13)</f>
        <v>2814</v>
      </c>
    </row>
    <row r="30" spans="1:5" ht="17.25" x14ac:dyDescent="0.3">
      <c r="A30" s="228" t="s">
        <v>3117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3118</v>
      </c>
      <c r="C32" s="28" t="s">
        <v>3119</v>
      </c>
      <c r="D32" s="28" t="s">
        <v>3120</v>
      </c>
      <c r="E32" s="28" t="s">
        <v>3121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 x14ac:dyDescent="0.25">
      <c r="A42" s="75" t="s">
        <v>3122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 x14ac:dyDescent="0.25">
      <c r="A44" s="67" t="s">
        <v>3123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3115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 x14ac:dyDescent="0.25">
      <c r="A2" s="12" t="s">
        <v>3129</v>
      </c>
      <c r="B2" s="12" t="s">
        <v>3130</v>
      </c>
      <c r="C2" s="12" t="s">
        <v>1736</v>
      </c>
      <c r="D2" s="12" t="s">
        <v>3131</v>
      </c>
      <c r="E2" s="12" t="s">
        <v>3132</v>
      </c>
    </row>
    <row r="3" spans="1:5" ht="18" customHeight="1" x14ac:dyDescent="0.25">
      <c r="A3" s="12" t="s">
        <v>3129</v>
      </c>
      <c r="B3" s="12" t="s">
        <v>3130</v>
      </c>
      <c r="C3" s="14" t="s">
        <v>25</v>
      </c>
      <c r="D3" s="12" t="s">
        <v>3133</v>
      </c>
      <c r="E3" s="12" t="s">
        <v>3134</v>
      </c>
    </row>
    <row r="4" spans="1:5" ht="18" customHeight="1" x14ac:dyDescent="0.25">
      <c r="A4" s="12" t="s">
        <v>3129</v>
      </c>
      <c r="B4" s="12" t="s">
        <v>3130</v>
      </c>
      <c r="C4" s="12" t="s">
        <v>75</v>
      </c>
      <c r="D4" s="12" t="s">
        <v>3131</v>
      </c>
      <c r="E4" s="12" t="s">
        <v>3135</v>
      </c>
    </row>
    <row r="5" spans="1:5" ht="18" customHeight="1" x14ac:dyDescent="0.25">
      <c r="A5" s="12" t="s">
        <v>3129</v>
      </c>
      <c r="B5" s="12" t="s">
        <v>3130</v>
      </c>
      <c r="C5" s="12" t="s">
        <v>79</v>
      </c>
      <c r="D5" s="12" t="s">
        <v>3136</v>
      </c>
      <c r="E5" s="12" t="s">
        <v>3137</v>
      </c>
    </row>
    <row r="6" spans="1:5" ht="18" customHeight="1" x14ac:dyDescent="0.25">
      <c r="A6" s="12" t="s">
        <v>3129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 x14ac:dyDescent="0.25">
      <c r="A7" s="12" t="s">
        <v>3129</v>
      </c>
      <c r="B7" s="12" t="s">
        <v>3140</v>
      </c>
      <c r="C7" s="12" t="s">
        <v>36</v>
      </c>
      <c r="D7" s="12" t="s">
        <v>3141</v>
      </c>
      <c r="E7" s="12" t="s">
        <v>3142</v>
      </c>
    </row>
    <row r="8" spans="1:5" ht="18" customHeight="1" x14ac:dyDescent="0.25">
      <c r="A8" s="12" t="s">
        <v>3129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 x14ac:dyDescent="0.25">
      <c r="A9" s="12" t="s">
        <v>3129</v>
      </c>
      <c r="B9" s="12" t="s">
        <v>3145</v>
      </c>
      <c r="C9" s="12" t="s">
        <v>464</v>
      </c>
      <c r="D9" s="12" t="s">
        <v>3146</v>
      </c>
      <c r="E9" s="12" t="s">
        <v>3147</v>
      </c>
    </row>
    <row r="10" spans="1:5" ht="18" customHeight="1" x14ac:dyDescent="0.25">
      <c r="A10" s="12" t="s">
        <v>3129</v>
      </c>
      <c r="B10" s="12" t="s">
        <v>3145</v>
      </c>
      <c r="C10" s="12" t="s">
        <v>206</v>
      </c>
      <c r="D10" s="12" t="s">
        <v>24</v>
      </c>
      <c r="E10" s="12" t="s">
        <v>3148</v>
      </c>
    </row>
    <row r="11" spans="1:5" ht="18" customHeight="1" x14ac:dyDescent="0.25">
      <c r="A11" s="12" t="s">
        <v>3129</v>
      </c>
      <c r="B11" s="12" t="s">
        <v>3145</v>
      </c>
      <c r="C11" s="12" t="s">
        <v>371</v>
      </c>
      <c r="D11" s="12" t="s">
        <v>24</v>
      </c>
      <c r="E11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3150</v>
      </c>
      <c r="B1" s="5" t="s">
        <v>10</v>
      </c>
      <c r="C1" s="15" t="s">
        <v>3151</v>
      </c>
      <c r="D1" s="15" t="s">
        <v>3074</v>
      </c>
    </row>
    <row r="2" spans="1:4" ht="21" customHeight="1" x14ac:dyDescent="0.25">
      <c r="A2" s="103" t="s">
        <v>24</v>
      </c>
      <c r="B2" s="103" t="s">
        <v>38</v>
      </c>
      <c r="C2" s="12" t="s">
        <v>3152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3153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 x14ac:dyDescent="0.25">
      <c r="A2" s="12" t="s">
        <v>3155</v>
      </c>
      <c r="B2" s="12" t="s">
        <v>3130</v>
      </c>
      <c r="C2" s="14" t="s">
        <v>25</v>
      </c>
      <c r="D2" s="12" t="s">
        <v>3131</v>
      </c>
      <c r="E2" s="17" t="s">
        <v>3156</v>
      </c>
    </row>
    <row r="3" spans="1:5" ht="18" customHeight="1" x14ac:dyDescent="0.25">
      <c r="A3" s="12" t="s">
        <v>3155</v>
      </c>
      <c r="B3" s="12" t="s">
        <v>3130</v>
      </c>
      <c r="C3" s="12" t="s">
        <v>75</v>
      </c>
      <c r="D3" s="12" t="s">
        <v>3133</v>
      </c>
      <c r="E3" s="12" t="s">
        <v>3157</v>
      </c>
    </row>
    <row r="4" spans="1:5" ht="18" customHeight="1" x14ac:dyDescent="0.25">
      <c r="A4" s="12" t="s">
        <v>3155</v>
      </c>
      <c r="B4" s="12" t="s">
        <v>3130</v>
      </c>
      <c r="C4" s="12" t="s">
        <v>79</v>
      </c>
      <c r="D4" s="12" t="s">
        <v>3136</v>
      </c>
      <c r="E4" s="12" t="s">
        <v>3158</v>
      </c>
    </row>
    <row r="5" spans="1:5" ht="27.75" customHeight="1" x14ac:dyDescent="0.25">
      <c r="A5" s="12" t="s">
        <v>3155</v>
      </c>
      <c r="B5" s="12" t="s">
        <v>3130</v>
      </c>
      <c r="C5" s="12" t="s">
        <v>2694</v>
      </c>
      <c r="D5" s="17" t="s">
        <v>3159</v>
      </c>
      <c r="E5" s="12" t="s">
        <v>3160</v>
      </c>
    </row>
    <row r="6" spans="1:5" ht="18" customHeight="1" x14ac:dyDescent="0.25">
      <c r="A6" s="12" t="s">
        <v>3155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 x14ac:dyDescent="0.25">
      <c r="A7" s="12" t="s">
        <v>3155</v>
      </c>
      <c r="B7" s="12" t="s">
        <v>3140</v>
      </c>
      <c r="C7" s="12" t="s">
        <v>2700</v>
      </c>
      <c r="D7" s="12" t="s">
        <v>3161</v>
      </c>
      <c r="E7" s="12" t="s">
        <v>3162</v>
      </c>
    </row>
    <row r="8" spans="1:5" ht="18" customHeight="1" x14ac:dyDescent="0.25">
      <c r="A8" s="12" t="s">
        <v>3155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 x14ac:dyDescent="0.25">
      <c r="A9" s="12" t="s">
        <v>3155</v>
      </c>
      <c r="B9" s="12" t="s">
        <v>3140</v>
      </c>
      <c r="C9" s="12" t="s">
        <v>2795</v>
      </c>
      <c r="D9" s="12" t="s">
        <v>3163</v>
      </c>
      <c r="E9" s="17" t="s">
        <v>3164</v>
      </c>
    </row>
    <row r="10" spans="1:5" ht="18" customHeight="1" x14ac:dyDescent="0.25">
      <c r="A10" s="12" t="s">
        <v>3155</v>
      </c>
      <c r="B10" s="12" t="s">
        <v>3165</v>
      </c>
      <c r="C10" s="12" t="s">
        <v>3122</v>
      </c>
      <c r="D10" s="12" t="s">
        <v>3166</v>
      </c>
      <c r="E10" s="17" t="s">
        <v>3167</v>
      </c>
    </row>
    <row r="11" spans="1:5" ht="18" customHeight="1" x14ac:dyDescent="0.25">
      <c r="A11" s="12" t="s">
        <v>3155</v>
      </c>
      <c r="B11" s="12" t="s">
        <v>3165</v>
      </c>
      <c r="C11" s="12" t="s">
        <v>206</v>
      </c>
      <c r="D11" s="12" t="s">
        <v>24</v>
      </c>
      <c r="E11" s="12" t="s">
        <v>3148</v>
      </c>
    </row>
    <row r="12" spans="1:5" ht="18" customHeight="1" x14ac:dyDescent="0.25">
      <c r="A12" s="12" t="s">
        <v>3155</v>
      </c>
      <c r="B12" s="12" t="s">
        <v>3165</v>
      </c>
      <c r="C12" s="12" t="s">
        <v>371</v>
      </c>
      <c r="D12" s="12" t="s">
        <v>24</v>
      </c>
      <c r="E12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3168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3169</v>
      </c>
    </row>
    <row r="4" spans="1:8" ht="21.95" customHeight="1" x14ac:dyDescent="0.25">
      <c r="A4" s="236" t="s">
        <v>3170</v>
      </c>
      <c r="B4" s="237"/>
      <c r="D4" s="236" t="s">
        <v>3171</v>
      </c>
      <c r="E4" s="237"/>
      <c r="G4" s="236" t="s">
        <v>3172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3173</v>
      </c>
      <c r="B7" s="62" t="s">
        <v>3174</v>
      </c>
      <c r="C7" s="62" t="s">
        <v>1</v>
      </c>
      <c r="D7" s="62" t="s">
        <v>3175</v>
      </c>
      <c r="E7" s="62" t="s">
        <v>3176</v>
      </c>
      <c r="F7" s="62" t="s">
        <v>3074</v>
      </c>
      <c r="G7" s="62" t="s">
        <v>5</v>
      </c>
      <c r="H7" s="62" t="s">
        <v>3177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3178</v>
      </c>
      <c r="B1" s="241"/>
      <c r="C1" s="241"/>
      <c r="D1" s="241"/>
      <c r="E1" s="241"/>
      <c r="F1" s="241"/>
    </row>
    <row r="2" spans="1:7" x14ac:dyDescent="0.25">
      <c r="A2" s="242" t="s">
        <v>3179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3077</v>
      </c>
      <c r="C4" s="25" t="s">
        <v>3078</v>
      </c>
      <c r="D4" s="25" t="s">
        <v>3180</v>
      </c>
      <c r="E4" s="25" t="s">
        <v>3079</v>
      </c>
      <c r="F4" s="25" t="s">
        <v>3181</v>
      </c>
    </row>
    <row r="5" spans="1:7" x14ac:dyDescent="0.25">
      <c r="A5" t="str" cm="1">
        <f t="array" aca="1" ref="A5:A57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21</v>
      </c>
      <c r="C25" s="26">
        <f ca="1">IF($A25="","",SUMIFS('GECC 2026'!I$2:I$200,'GECC 2026'!F$2:F$200,$A25))</f>
        <v>6.3000000000000007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27.299999999999997</v>
      </c>
      <c r="F25" s="24">
        <f ca="1">IF($A25="","",COUNTIFS('GECC 2026'!F$2:F$200,$A25))</f>
        <v>6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Leonardo de Melo</v>
      </c>
      <c r="B37" s="26">
        <f ca="1">IF($A37="","",SUMIFS('GECC 2026'!H$2:H$200,'GECC 2026'!F$2:F$200,$A37))</f>
        <v>0</v>
      </c>
      <c r="C37" s="26">
        <f ca="1">IF($A37="","",SUMIFS('GECC 2026'!I$2:I$200,'GECC 2026'!F$2:F$200,$A37))</f>
        <v>0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0</v>
      </c>
      <c r="F37" s="24">
        <f ca="1">IF($A37="","",COUNTIFS('GECC 2026'!F$2:F$200,$A37))</f>
        <v>2</v>
      </c>
    </row>
    <row r="38" spans="1:6" x14ac:dyDescent="0.25">
      <c r="A38" t="str">
        <f ca="1"/>
        <v>Leonardo José Alves Leal Neri</v>
      </c>
      <c r="B38" s="26">
        <f ca="1">IF($A38="","",SUMIFS('GECC 2026'!H$2:H$200,'GECC 2026'!F$2:F$200,$A38))</f>
        <v>40</v>
      </c>
      <c r="C38" s="26">
        <f ca="1">IF($A38="","",SUMIFS('GECC 2026'!I$2:I$200,'GECC 2026'!F$2:F$200,$A38))</f>
        <v>12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52</v>
      </c>
      <c r="F38" s="24">
        <f ca="1">IF($A38="","",COUNTIFS('GECC 2026'!F$2:F$200,$A38))</f>
        <v>2</v>
      </c>
    </row>
    <row r="39" spans="1:6" x14ac:dyDescent="0.25">
      <c r="A39" t="str">
        <f ca="1"/>
        <v>Luciana Alvim</v>
      </c>
      <c r="B39" s="26">
        <f ca="1">IF($A39="","",SUMIFS('GECC 2026'!H$2:H$200,'GECC 2026'!F$2:F$200,$A39))</f>
        <v>72</v>
      </c>
      <c r="C39" s="26">
        <f ca="1">IF($A39="","",SUMIFS('GECC 2026'!I$2:I$200,'GECC 2026'!F$2:F$200,$A39))</f>
        <v>77.599999999999994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149.6</v>
      </c>
      <c r="F39" s="24">
        <f ca="1">IF($A39="","",COUNTIFS('GECC 2026'!F$2:F$200,$A39))</f>
        <v>7</v>
      </c>
    </row>
    <row r="40" spans="1:6" x14ac:dyDescent="0.25">
      <c r="A40" t="str">
        <f ca="1"/>
        <v>Marcelo Bálbio Moraes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Marcelo Silva Santana</v>
      </c>
      <c r="B41" s="26">
        <f ca="1">IF($A41="","",SUMIFS('GECC 2026'!H$2:H$200,'GECC 2026'!F$2:F$200,$A41))</f>
        <v>12</v>
      </c>
      <c r="C41" s="26">
        <f ca="1">IF($A41="","",SUMIFS('GECC 2026'!I$2:I$200,'GECC 2026'!F$2:F$200,$A41))</f>
        <v>1.44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13.440000000000001</v>
      </c>
      <c r="F41" s="24">
        <f ca="1">IF($A41="","",COUNTIFS('GECC 2026'!F$2:F$200,$A41))</f>
        <v>2</v>
      </c>
    </row>
    <row r="42" spans="1:6" x14ac:dyDescent="0.25">
      <c r="A42" t="str">
        <f ca="1"/>
        <v>Mauri Siqueira Montessi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Michel Martins de Morais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16</v>
      </c>
      <c r="E43" s="93">
        <f ca="1">IF($A43="","",SUMIFS('GECC 2026'!J$2:J$200,'GECC 2026'!F$2:F$200,$A43)+SUMIFS('GECC 2026'!$AE$3:$AE$32,'GECC 2026'!$AD$3:$AD$32,$A43))</f>
        <v>16</v>
      </c>
      <c r="F43" s="24">
        <f ca="1">IF($A43="","",COUNTIFS('GECC 2026'!F$2:F$200,$A43))</f>
        <v>0</v>
      </c>
    </row>
    <row r="44" spans="1:6" x14ac:dyDescent="0.25">
      <c r="A44" t="str">
        <f ca="1"/>
        <v>Paulo José Góes Daltro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0</v>
      </c>
      <c r="F44" s="24">
        <f ca="1">IF($A44="","",COUNTIFS('GECC 2026'!F$2:F$200,$A44))</f>
        <v>2</v>
      </c>
    </row>
    <row r="45" spans="1:6" x14ac:dyDescent="0.25">
      <c r="A45" t="str">
        <f ca="1"/>
        <v>Priscila Nolasco de Oliveira</v>
      </c>
      <c r="B45" s="26">
        <f ca="1">IF($A45="","",SUMIFS('GECC 2026'!H$2:H$200,'GECC 2026'!F$2:F$200,$A45))</f>
        <v>12</v>
      </c>
      <c r="C45" s="26">
        <f ca="1">IF($A45="","",SUMIFS('GECC 2026'!I$2:I$200,'GECC 2026'!F$2:F$200,$A45))</f>
        <v>3.5999999999999996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15.600000000000001</v>
      </c>
      <c r="F45" s="24">
        <f ca="1">IF($A45="","",COUNTIFS('GECC 2026'!F$2:F$200,$A45))</f>
        <v>3</v>
      </c>
    </row>
    <row r="46" spans="1:6" x14ac:dyDescent="0.25">
      <c r="A46" t="str">
        <f ca="1"/>
        <v>Reinaldo Alencar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Renan Dias da Silva</v>
      </c>
      <c r="B47" s="26">
        <f ca="1">IF($A47="","",SUMIFS('GECC 2026'!H$2:H$200,'GECC 2026'!F$2:F$200,$A47))</f>
        <v>4</v>
      </c>
      <c r="C47" s="26">
        <f ca="1">IF($A47="","",SUMIFS('GECC 2026'!I$2:I$200,'GECC 2026'!F$2:F$200,$A47))</f>
        <v>1.2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5.2</v>
      </c>
      <c r="F47" s="24">
        <f ca="1">IF($A47="","",COUNTIFS('GECC 2026'!F$2:F$200,$A47))</f>
        <v>1</v>
      </c>
    </row>
    <row r="48" spans="1:6" x14ac:dyDescent="0.25">
      <c r="A48" t="str">
        <f ca="1"/>
        <v>Rogério Ribeiro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Rômulo Miranda Alvim</v>
      </c>
      <c r="B49" s="26">
        <f ca="1">IF($A49="","",SUMIFS('GECC 2026'!H$2:H$200,'GECC 2026'!F$2:F$200,$A49))</f>
        <v>24</v>
      </c>
      <c r="C49" s="26">
        <f ca="1">IF($A49="","",SUMIFS('GECC 2026'!I$2:I$200,'GECC 2026'!F$2:F$200,$A49))</f>
        <v>3.6</v>
      </c>
      <c r="D49" s="101">
        <f ca="1">IF($A49="","",SUMIFS('GECC 2026'!$AE$3:$AE$32,'GECC 2026'!$AD$3:$AD$32,$A49))</f>
        <v>16</v>
      </c>
      <c r="E49" s="93">
        <f ca="1">IF($A49="","",SUMIFS('GECC 2026'!J$2:J$200,'GECC 2026'!F$2:F$200,$A49)+SUMIFS('GECC 2026'!$AE$3:$AE$32,'GECC 2026'!$AD$3:$AD$32,$A49))</f>
        <v>43.6</v>
      </c>
      <c r="F49" s="24">
        <f ca="1">IF($A49="","",COUNTIFS('GECC 2026'!F$2:F$200,$A49))</f>
        <v>2</v>
      </c>
    </row>
    <row r="50" spans="1:6" x14ac:dyDescent="0.25">
      <c r="A50" t="str">
        <f ca="1"/>
        <v>Sara Cristina Lins Ramos</v>
      </c>
      <c r="B50" s="26">
        <f ca="1">IF($A50="","",SUMIFS('GECC 2026'!H$2:H$200,'GECC 2026'!F$2:F$200,$A50))</f>
        <v>8</v>
      </c>
      <c r="C50" s="26">
        <f ca="1">IF($A50="","",SUMIFS('GECC 2026'!I$2:I$200,'GECC 2026'!F$2:F$200,$A50))</f>
        <v>2.4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10.4</v>
      </c>
      <c r="F50" s="24">
        <f ca="1">IF($A50="","",COUNTIFS('GECC 2026'!F$2:F$200,$A50))</f>
        <v>1</v>
      </c>
    </row>
    <row r="51" spans="1:6" x14ac:dyDescent="0.25">
      <c r="A51" t="str">
        <f ca="1"/>
        <v>Servidores, colaboradores e estagiários do TCDF</v>
      </c>
      <c r="B51" s="26">
        <f ca="1">IF($A51="","",SUMIFS('GECC 2026'!H$2:H$200,'GECC 2026'!F$2:F$200,$A51))</f>
        <v>0</v>
      </c>
      <c r="C51" s="26">
        <f ca="1">IF($A51="","",SUMIFS('GECC 2026'!I$2:I$200,'GECC 2026'!F$2:F$200,$A51))</f>
        <v>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0</v>
      </c>
      <c r="F51" s="24">
        <f ca="1">IF($A51="","",COUNTIFS('GECC 2026'!F$2:F$200,$A51))</f>
        <v>1</v>
      </c>
    </row>
    <row r="52" spans="1:6" x14ac:dyDescent="0.25">
      <c r="A52" t="str">
        <f ca="1"/>
        <v>Silvia Lima Damasceno Carvalho</v>
      </c>
      <c r="B52" s="26">
        <f ca="1">IF($A52="","",SUMIFS('GECC 2026'!H$2:H$200,'GECC 2026'!F$2:F$200,$A52))</f>
        <v>21</v>
      </c>
      <c r="C52" s="26">
        <f ca="1">IF($A52="","",SUMIFS('GECC 2026'!I$2:I$200,'GECC 2026'!F$2:F$200,$A52))</f>
        <v>6.3000000000000007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27.299999999999997</v>
      </c>
      <c r="F52" s="24">
        <f ca="1">IF($A52="","",COUNTIFS('GECC 2026'!F$2:F$200,$A52))</f>
        <v>6</v>
      </c>
    </row>
    <row r="53" spans="1:6" x14ac:dyDescent="0.25">
      <c r="A53" t="str">
        <f ca="1"/>
        <v>Tarsila Firmino Ely</v>
      </c>
      <c r="B53" s="26">
        <f ca="1">IF($A53="","",SUMIFS('GECC 2026'!H$2:H$200,'GECC 2026'!F$2:F$200,$A53))</f>
        <v>88</v>
      </c>
      <c r="C53" s="26">
        <f ca="1">IF($A53="","",SUMIFS('GECC 2026'!I$2:I$200,'GECC 2026'!F$2:F$200,$A53))</f>
        <v>83.6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171.6</v>
      </c>
      <c r="F53" s="24">
        <f ca="1">IF($A53="","",COUNTIFS('GECC 2026'!F$2:F$200,$A53))</f>
        <v>7</v>
      </c>
    </row>
    <row r="54" spans="1:6" x14ac:dyDescent="0.25">
      <c r="A54" t="str">
        <f ca="1"/>
        <v>Thiago Magalhães de Oliveira</v>
      </c>
      <c r="B54" s="26">
        <f ca="1">IF($A54="","",SUMIFS('GECC 2026'!H$2:H$200,'GECC 2026'!F$2:F$200,$A54))</f>
        <v>4</v>
      </c>
      <c r="C54" s="26">
        <f ca="1">IF($A54="","",SUMIFS('GECC 2026'!I$2:I$200,'GECC 2026'!F$2:F$200,$A54))</f>
        <v>1.2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5.2</v>
      </c>
      <c r="F54" s="24">
        <f ca="1">IF($A54="","",COUNTIFS('GECC 2026'!F$2:F$200,$A54))</f>
        <v>1</v>
      </c>
    </row>
    <row r="55" spans="1:6" x14ac:dyDescent="0.25">
      <c r="A55" t="str">
        <f ca="1"/>
        <v>Túllio Herbeth Teixeira Moraes</v>
      </c>
      <c r="B55" s="26">
        <f ca="1">IF($A55="","",SUMIFS('GECC 2026'!H$2:H$200,'GECC 2026'!F$2:F$200,$A55))</f>
        <v>9</v>
      </c>
      <c r="C55" s="26">
        <f ca="1">IF($A55="","",SUMIFS('GECC 2026'!I$2:I$200,'GECC 2026'!F$2:F$200,$A55))</f>
        <v>2.6999999999999997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11.7</v>
      </c>
      <c r="F55" s="24">
        <f ca="1">IF($A55="","",COUNTIFS('GECC 2026'!F$2:F$200,$A55))</f>
        <v>3</v>
      </c>
    </row>
    <row r="56" spans="1:6" x14ac:dyDescent="0.25">
      <c r="A56" t="str">
        <f ca="1"/>
        <v>Valéria Feitoza</v>
      </c>
      <c r="B56" s="26">
        <f ca="1">IF($A56="","",SUMIFS('GECC 2026'!H$2:H$200,'GECC 2026'!F$2:F$200,$A56))</f>
        <v>2</v>
      </c>
      <c r="C56" s="26">
        <f ca="1">IF($A56="","",SUMIFS('GECC 2026'!I$2:I$200,'GECC 2026'!F$2:F$200,$A56))</f>
        <v>0.6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2.6</v>
      </c>
      <c r="F56" s="24">
        <f ca="1">IF($A56="","",COUNTIFS('GECC 2026'!F$2:F$200,$A56))</f>
        <v>2</v>
      </c>
    </row>
    <row r="57" spans="1:6" x14ac:dyDescent="0.25">
      <c r="A57" t="str">
        <f ca="1"/>
        <v>Wibys Pereira</v>
      </c>
      <c r="B57" s="26">
        <f ca="1">IF($A57="","",SUMIFS('GECC 2026'!H$2:H$200,'GECC 2026'!F$2:F$200,$A57))</f>
        <v>4</v>
      </c>
      <c r="C57" s="26">
        <f ca="1">IF($A57="","",SUMIFS('GECC 2026'!I$2:I$200,'GECC 2026'!F$2:F$200,$A57))</f>
        <v>1.2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5.2</v>
      </c>
      <c r="F57" s="24">
        <f ca="1">IF($A57="","",COUNTIFS('GECC 2026'!F$2:F$200,$A57))</f>
        <v>1</v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3116</v>
      </c>
      <c r="B105" s="95">
        <f ca="1">SUM(B5:B100)</f>
        <v>773</v>
      </c>
      <c r="C105" s="95">
        <f ca="1">SUM(C5:C100)</f>
        <v>352.23999999999995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3182</v>
      </c>
      <c r="B1" s="123" t="s">
        <v>3183</v>
      </c>
      <c r="C1" s="123" t="s">
        <v>3184</v>
      </c>
      <c r="D1" s="123" t="s">
        <v>3185</v>
      </c>
      <c r="E1" s="123" t="s">
        <v>3186</v>
      </c>
      <c r="F1" s="123" t="s">
        <v>3187</v>
      </c>
      <c r="G1" s="123" t="s">
        <v>10</v>
      </c>
      <c r="H1" s="123" t="s">
        <v>3188</v>
      </c>
      <c r="I1" s="123" t="s">
        <v>3189</v>
      </c>
      <c r="J1" s="123" t="s">
        <v>3190</v>
      </c>
      <c r="K1" s="123" t="s">
        <v>3191</v>
      </c>
      <c r="L1" s="123" t="s">
        <v>3192</v>
      </c>
      <c r="N1" s="124" t="s">
        <v>3193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3194</v>
      </c>
      <c r="L2" t="str">
        <f>IF(K2="","",IFERROR(INDEX(Tabela2[Curso],MATCH(K2,Tabela2[ID],0)),""))</f>
        <v/>
      </c>
      <c r="N2" s="123" t="s">
        <v>3073</v>
      </c>
      <c r="O2" s="123" t="s">
        <v>4</v>
      </c>
      <c r="P2" s="123" t="s">
        <v>3195</v>
      </c>
      <c r="Q2" s="123" t="s">
        <v>3196</v>
      </c>
      <c r="R2" s="123" t="s">
        <v>3197</v>
      </c>
      <c r="S2" s="123" t="s">
        <v>3198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3194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3194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3194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3194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3194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3194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3194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3194</v>
      </c>
      <c r="L10" t="str">
        <f>IF(K10="","",IFERROR(INDEX(Tabela2[Curso],MATCH(K10,Tabela2[ID],0)),""))</f>
        <v/>
      </c>
      <c r="N10" s="122" t="s">
        <v>3199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3194</v>
      </c>
      <c r="L11" t="str">
        <f>IF(K11="","",IFERROR(INDEX(Tabela2[Curso],MATCH(K11,Tabela2[ID],0)),""))</f>
        <v/>
      </c>
      <c r="N11" s="125" t="s">
        <v>3200</v>
      </c>
      <c r="O11" s="125" t="s">
        <v>3201</v>
      </c>
      <c r="P11" s="125" t="s">
        <v>3202</v>
      </c>
      <c r="Q11" s="125" t="s">
        <v>3185</v>
      </c>
      <c r="R11" s="125" t="s">
        <v>3186</v>
      </c>
      <c r="S11" s="125" t="s">
        <v>3203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3194</v>
      </c>
      <c r="L12" t="str">
        <f>IF(K12="","",IFERROR(INDEX(Tabela2[Curso],MATCH(K12,Tabela2[ID],0)),""))</f>
        <v/>
      </c>
      <c r="N12" t="s">
        <v>3204</v>
      </c>
      <c r="O12" t="s">
        <v>2755</v>
      </c>
      <c r="P12" t="s">
        <v>3205</v>
      </c>
      <c r="Q12">
        <v>0</v>
      </c>
      <c r="R12">
        <v>0</v>
      </c>
      <c r="S12" t="s">
        <v>3206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3194</v>
      </c>
      <c r="L13" t="str">
        <f>IF(K13="","",IFERROR(INDEX(Tabela2[Curso],MATCH(K13,Tabela2[ID],0)),""))</f>
        <v/>
      </c>
      <c r="N13" t="s">
        <v>3207</v>
      </c>
      <c r="O13" t="s">
        <v>2686</v>
      </c>
      <c r="P13" t="s">
        <v>3208</v>
      </c>
      <c r="Q13">
        <v>0</v>
      </c>
      <c r="R13">
        <v>0</v>
      </c>
      <c r="S13" t="s">
        <v>3209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3194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3194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3194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3194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3194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3194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3194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3194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3194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3194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3194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3194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3194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3194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3194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3194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3194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3194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3194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3194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3194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3194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3194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3194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3194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3194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3194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3194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3194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3194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3194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3194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3194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3194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3194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3194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3194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3194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3194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3194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3194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3194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3194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3194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3194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3194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3194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3194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3194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3194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3194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3194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2026-08-27T17:58:56Z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