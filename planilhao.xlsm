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792" documentId="13_ncr:1_{6A2CC3E2-FAFB-4D8F-B284-5E8FB5045DFE}" xr6:coauthVersionLast="47" xr6:coauthVersionMax="47" xr10:uidLastSave="{520B3E92-08DC-412E-832A-126FBE214B15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s="1" a="1"/>
  <c r="E105" i="23" l="1"/>
  <c r="A5" i="23" a="1"/>
  <c r="C65" i="23" l="1"/>
  <c r="B65" i="23"/>
  <c r="D65" i="23"/>
  <c r="E65" i="23"/>
  <c r="F65" i="23"/>
  <c r="C64" i="23"/>
  <c r="D64" i="23"/>
  <c r="B64" i="23"/>
  <c r="E64" i="23"/>
  <c r="F64" i="23"/>
  <c r="D63" i="23"/>
  <c r="E63" i="23"/>
  <c r="C63" i="23"/>
  <c r="B63" i="23"/>
  <c r="F63" i="23"/>
  <c r="F5" i="23"/>
  <c r="B5" i="23"/>
  <c r="B53" i="23"/>
  <c r="B45" i="23"/>
  <c r="B15" i="23"/>
  <c r="F15" i="23"/>
  <c r="F39" i="23"/>
  <c r="E60" i="23"/>
  <c r="B18" i="23"/>
  <c r="D34" i="23"/>
  <c r="E27" i="23"/>
  <c r="F32" i="23"/>
  <c r="C12" i="23"/>
  <c r="F38" i="23"/>
  <c r="C34" i="23"/>
  <c r="F60" i="23"/>
  <c r="D54" i="23"/>
  <c r="B41" i="23"/>
  <c r="F9" i="23"/>
  <c r="F33" i="23"/>
  <c r="D51" i="23"/>
  <c r="F46" i="23"/>
  <c r="F12" i="23"/>
  <c r="E21" i="23"/>
  <c r="F21" i="23"/>
  <c r="D27" i="23"/>
  <c r="D46" i="23"/>
  <c r="B31" i="23"/>
  <c r="D53" i="23"/>
  <c r="E52" i="23"/>
  <c r="E31" i="23"/>
  <c r="C38" i="23"/>
  <c r="E7" i="23"/>
  <c r="C35" i="23"/>
  <c r="B22" i="23"/>
  <c r="D8" i="23"/>
  <c r="C59" i="23"/>
  <c r="C30" i="23"/>
  <c r="E14" i="23"/>
  <c r="D33" i="23"/>
  <c r="D29" i="23"/>
  <c r="C6" i="23"/>
  <c r="E19" i="23"/>
  <c r="B54" i="23"/>
  <c r="D31" i="23"/>
  <c r="B40" i="23"/>
  <c r="B51" i="23"/>
  <c r="F43" i="23"/>
  <c r="D28" i="23"/>
  <c r="E57" i="23"/>
  <c r="D17" i="23"/>
  <c r="C52" i="23"/>
  <c r="F58" i="23"/>
  <c r="E39" i="23"/>
  <c r="E43" i="23"/>
  <c r="C40" i="23"/>
  <c r="F31" i="23"/>
  <c r="D37" i="23"/>
  <c r="B44" i="23"/>
  <c r="B26" i="23"/>
  <c r="E56" i="23"/>
  <c r="C10" i="23"/>
  <c r="E16" i="23"/>
  <c r="D19" i="23"/>
  <c r="E58" i="23"/>
  <c r="F22" i="23"/>
  <c r="E54" i="23"/>
  <c r="C58" i="23"/>
  <c r="B8" i="23"/>
  <c r="B37" i="23"/>
  <c r="E61" i="23"/>
  <c r="D61" i="23"/>
  <c r="D24" i="23"/>
  <c r="C43" i="23"/>
  <c r="D16" i="23"/>
  <c r="B20" i="23"/>
  <c r="C48" i="23"/>
  <c r="D25" i="23"/>
  <c r="D26" i="23"/>
  <c r="B55" i="23"/>
  <c r="C33" i="23"/>
  <c r="C9" i="23"/>
  <c r="C53" i="23"/>
  <c r="E51" i="23"/>
  <c r="E15" i="23"/>
  <c r="C39" i="23"/>
  <c r="E34" i="23"/>
  <c r="C25" i="23"/>
  <c r="E6" i="23"/>
  <c r="C55" i="23"/>
  <c r="D60" i="23"/>
  <c r="D44" i="23"/>
  <c r="D47" i="23"/>
  <c r="F19" i="23"/>
  <c r="B36" i="23"/>
  <c r="F20" i="23"/>
  <c r="E44" i="23"/>
  <c r="C15" i="23"/>
  <c r="D13" i="23"/>
  <c r="B59" i="23"/>
  <c r="C42" i="23"/>
  <c r="D10" i="23"/>
  <c r="F29" i="23"/>
  <c r="E38" i="23"/>
  <c r="D52" i="23"/>
  <c r="F57" i="23"/>
  <c r="B35" i="23"/>
  <c r="B49" i="23"/>
  <c r="F42" i="23"/>
  <c r="F8" i="23"/>
  <c r="F54" i="23"/>
  <c r="C14" i="23"/>
  <c r="F28" i="23"/>
  <c r="D43" i="23"/>
  <c r="E10" i="23"/>
  <c r="C47" i="23"/>
  <c r="D12" i="23"/>
  <c r="C56" i="23"/>
  <c r="C29" i="23"/>
  <c r="E33" i="23"/>
  <c r="E32" i="23"/>
  <c r="D14" i="23"/>
  <c r="C50" i="23"/>
  <c r="F36" i="23"/>
  <c r="C28" i="23"/>
  <c r="C45" i="23"/>
  <c r="C51" i="23"/>
  <c r="F37" i="23"/>
  <c r="F44" i="23"/>
  <c r="C41" i="23"/>
  <c r="D6" i="23"/>
  <c r="E28" i="23"/>
  <c r="B23" i="23"/>
  <c r="F35" i="23"/>
  <c r="C46" i="23"/>
  <c r="F53" i="23"/>
  <c r="E46" i="23"/>
  <c r="B60" i="23"/>
  <c r="E26" i="23"/>
  <c r="D41" i="23"/>
  <c r="E24" i="23"/>
  <c r="F27" i="23"/>
  <c r="E13" i="23"/>
  <c r="B48" i="23"/>
  <c r="C24" i="23"/>
  <c r="E42" i="23"/>
  <c r="C20" i="23"/>
  <c r="E18" i="23"/>
  <c r="F62" i="23"/>
  <c r="C62" i="23"/>
  <c r="D62" i="23"/>
  <c r="F49" i="23"/>
  <c r="B43" i="23"/>
  <c r="C60" i="23"/>
  <c r="D11" i="23"/>
  <c r="E55" i="23"/>
  <c r="D18" i="23"/>
  <c r="F55" i="23"/>
  <c r="B14" i="23"/>
  <c r="D48" i="23"/>
  <c r="D57" i="23"/>
  <c r="F47" i="23"/>
  <c r="B12" i="23"/>
  <c r="D22" i="23"/>
  <c r="F16" i="23"/>
  <c r="B13" i="23"/>
  <c r="C57" i="23"/>
  <c r="B42" i="23"/>
  <c r="E45" i="23"/>
  <c r="C23" i="23"/>
  <c r="C32" i="23"/>
  <c r="F51" i="23"/>
  <c r="E35" i="23"/>
  <c r="F59" i="23"/>
  <c r="F52" i="23"/>
  <c r="C13" i="23"/>
  <c r="E17" i="23"/>
  <c r="D15" i="23"/>
  <c r="C49" i="23"/>
  <c r="C26" i="23"/>
  <c r="E9" i="23"/>
  <c r="E40" i="23"/>
  <c r="B7" i="23"/>
  <c r="E59" i="23"/>
  <c r="D23" i="23"/>
  <c r="B16" i="23"/>
  <c r="D7" i="23"/>
  <c r="D55" i="23"/>
  <c r="D21" i="23"/>
  <c r="E48" i="23"/>
  <c r="D50" i="23"/>
  <c r="B9" i="23"/>
  <c r="B21" i="23"/>
  <c r="C7" i="23"/>
  <c r="B33" i="23"/>
  <c r="E20" i="23"/>
  <c r="F6" i="23"/>
  <c r="E37" i="23"/>
  <c r="D58" i="23"/>
  <c r="D42" i="23"/>
  <c r="E30" i="23"/>
  <c r="B6" i="23"/>
  <c r="B24" i="23"/>
  <c r="D56" i="23"/>
  <c r="E53" i="23"/>
  <c r="B62" i="23"/>
  <c r="E62" i="23"/>
  <c r="D35" i="23"/>
  <c r="F7" i="23"/>
  <c r="B10" i="23"/>
  <c r="C27" i="23"/>
  <c r="B61" i="23"/>
  <c r="B46" i="23"/>
  <c r="E23" i="23"/>
  <c r="C18" i="23"/>
  <c r="F48" i="23"/>
  <c r="F56" i="23"/>
  <c r="B38" i="23"/>
  <c r="C36" i="23"/>
  <c r="B28" i="23"/>
  <c r="B39" i="23"/>
  <c r="D32" i="23"/>
  <c r="C8" i="23"/>
  <c r="E50" i="23"/>
  <c r="E8" i="23"/>
  <c r="C16" i="23"/>
  <c r="C37" i="23"/>
  <c r="B19" i="23"/>
  <c r="D39" i="23"/>
  <c r="E11" i="23"/>
  <c r="E36" i="23"/>
  <c r="D20" i="23"/>
  <c r="D36" i="23"/>
  <c r="D59" i="23"/>
  <c r="C19" i="23"/>
  <c r="F23" i="23"/>
  <c r="B50" i="23"/>
  <c r="B52" i="23"/>
  <c r="F50" i="23"/>
  <c r="E29" i="23"/>
  <c r="F10" i="23"/>
  <c r="F17" i="23"/>
  <c r="B32" i="23"/>
  <c r="F24" i="23"/>
  <c r="F34" i="23"/>
  <c r="F25" i="23"/>
  <c r="E49" i="23"/>
  <c r="F14" i="23"/>
  <c r="E22" i="23"/>
  <c r="B30" i="23"/>
  <c r="E47" i="23"/>
  <c r="D30" i="23"/>
  <c r="C31" i="23"/>
  <c r="B25" i="23"/>
  <c r="F40" i="23"/>
  <c r="D45" i="23"/>
  <c r="F61" i="23"/>
  <c r="F11" i="23"/>
  <c r="B58" i="23"/>
  <c r="D49" i="23"/>
  <c r="B47" i="23"/>
  <c r="B27" i="23"/>
  <c r="B11" i="23"/>
  <c r="F26" i="23"/>
  <c r="E12" i="23"/>
  <c r="F45" i="23"/>
  <c r="D38" i="23"/>
  <c r="F13" i="23"/>
  <c r="F18" i="23"/>
  <c r="C5" i="23"/>
  <c r="G5" i="23"/>
  <c r="D5" i="23"/>
  <c r="E5" i="23"/>
  <c r="C17" i="23"/>
  <c r="C22" i="23"/>
  <c r="B29" i="23"/>
  <c r="F41" i="23"/>
  <c r="C21" i="23"/>
  <c r="C61" i="23"/>
  <c r="C11" i="23"/>
  <c r="B57" i="23"/>
  <c r="C54" i="23"/>
  <c r="B17" i="23"/>
  <c r="D40" i="23"/>
  <c r="C44" i="23"/>
  <c r="F30" i="23"/>
  <c r="E25" i="23"/>
  <c r="B56" i="23"/>
  <c r="D9" i="23"/>
  <c r="E41" i="23"/>
  <c r="B34" i="23"/>
  <c r="F105" i="23" l="1"/>
  <c r="B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<sst xmlns="http://schemas.openxmlformats.org/spreadsheetml/2006/main" count="7407" uniqueCount="3260">
  <si>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</si>
  <si>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</si>
  <si>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</si>
  <si>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</si>
  <si>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</si>
  <si>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</si>
  <si>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</si>
  <si>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</si>
  <si>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</si>
  <si>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</si>
  <si>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</si>
  <si>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</si>
  <si>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</si>
  <si>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</si>
  <si>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</si>
  <si>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</si>
  <si>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</si>
  <si>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</si>
  <si>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</si>
  <si>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</si>
  <si>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</si>
  <si>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</si>
  <si>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</si>
  <si>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</si>
  <si>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</si>
  <si>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</si>
  <si>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</si>
  <si>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</si>
  <si>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</si>
  <si>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</si>
  <si>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</si>
  <si>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</si>
  <si>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</si>
  <si>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</si>
  <si>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</si>
  <si>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</si>
  <si>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</si>
  <si>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</si>
  <si>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</si>
  <si>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</si>
  <si>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</si>
  <si>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</si>
  <si>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</si>
  <si>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</si>
  <si>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</si>
  <si>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</si>
  <si>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</si>
  <si>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</si>
  <si>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</si>
  <si>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</si>
  <si>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</si>
  <si>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</si>
  <si>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</si>
  <si>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</si>
  <si>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</si>
  <si>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</si>
  <si>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</si>
  <si>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</si>
  <si>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</si>
  <si>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</si>
  <si>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</si>
  <si>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</si>
  <si>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</si>
  <si>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</si>
  <si>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</si>
  <si>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</si>
  <si>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</si>
  <si>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</si>
  <si>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</si>
  <si>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</si>
  <si>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</si>
  <si>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</si>
  <si>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</si>
  <si>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</si>
  <si>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</si>
  <si>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</si>
  <si>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</si>
  <si>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</si>
  <si>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</si>
  <si>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</si>
  <si>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</si>
  <si>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</si>
  <si>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</si>
  <si>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</si>
  <si>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</si>
  <si>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</si>
  <si>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</si>
  <si>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</si>
  <si>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</si>
  <si>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</si>
  <si>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</si>
  <si>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</si>
  <si>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</si>
  <si>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</si>
  <si>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</si>
  <si>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</si>
  <si>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</si>
  <si>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</si>
  <si>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</si>
  <si>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</si>
  <si>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</si>
  <si>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</si>
  <si>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</si>
  <si>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</si>
  <si>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</si>
  <si>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</si>
  <si>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</si>
  <si>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</si>
  <si>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</si>
  <si>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</si>
  <si>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</si>
  <si>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</si>
  <si>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</si>
  <si>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</si>
  <si>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</si>
  <si>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</si>
  <si>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</si>
  <si>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</si>
  <si>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</si>
  <si>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</si>
  <si>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</si>
  <si>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</si>
  <si>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</si>
  <si>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</si>
  <si>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</si>
  <si>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</si>
  <si>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</si>
  <si>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</si>
  <si>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</si>
  <si>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</si>
  <si>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</si>
  <si>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</si>
  <si>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</si>
  <si>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</si>
  <si>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</si>
  <si>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</si>
  <si>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</si>
  <si>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</si>
  <si>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</si>
  <si>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</si>
  <si>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</si>
  <si>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</si>
  <si>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</si>
  <si>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</si>
  <si>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</si>
  <si>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</si>
  <si>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</si>
  <si>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</si>
  <si>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</si>
  <si>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</si>
  <si>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</si>
  <si>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</si>
  <si>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</si>
  <si>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</si>
  <si>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</si>
  <si>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</si>
  <si>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</si>
  <si>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</si>
  <si>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</si>
  <si>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</si>
  <si>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</si>
  <si>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</si>
  <si>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</si>
  <si>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</si>
  <si>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</si>
  <si>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</si>
  <si>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</si>
  <si>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</si>
  <si>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</si>
  <si>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</si>
  <si>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</si>
  <si>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</si>
  <si>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</si>
  <si>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</si>
  <si>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</si>
  <si>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</si>
  <si>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</si>
  <si>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</si>
  <si>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</si>
  <si>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</si>
  <si>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</si>
  <si>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</si>
  <si>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</si>
  <si>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</si>
  <si>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</si>
  <si>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</si>
  <si>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</si>
  <si>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</si>
  <si>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</si>
  <si>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</si>
  <si>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</si>
  <si>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</si>
  <si>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</si>
  <si>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</si>
  <si>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</si>
  <si>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</si>
  <si>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</si>
  <si>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</si>
  <si>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</si>
  <si>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</si>
  <si>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</si>
  <si>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</si>
  <si>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</si>
  <si>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</si>
  <si>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</si>
  <si>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</si>
  <si>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</si>
  <si>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</si>
  <si>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</si>
  <si>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</si>
  <si>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</si>
  <si>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</si>
  <si>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</si>
  <si>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</si>
  <si>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</si>
  <si>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</si>
  <si>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</si>
  <si>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</si>
  <si>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</si>
  <si>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</si>
  <si>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</si>
  <si>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</si>
  <si>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</si>
  <si>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</si>
  <si>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</si>
  <si>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</si>
  <si>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</si>
  <si>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</si>
  <si>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</si>
  <si>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</si>
  <si>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</si>
  <si>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</si>
  <si>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</si>
  <si>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</si>
  <si>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</si>
  <si>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</si>
  <si>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</si>
  <si>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</si>
  <si>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</si>
  <si>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</si>
  <si>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</si>
  <si>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</si>
  <si>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</si>
  <si>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</si>
  <si>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</si>
  <si>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</si>
  <si>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</si>
  <si>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</si>
  <si>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</si>
  <si>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</si>
  <si>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</si>
  <si>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</si>
  <si>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</si>
  <si>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</si>
  <si>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</si>
  <si>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</si>
  <si>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</si>
  <si>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</si>
  <si>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</si>
  <si>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</si>
  <si>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</si>
  <si>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</si>
  <si>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</si>
  <si>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</si>
  <si>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</si>
  <si>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</si>
  <si>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</si>
  <si>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</si>
  <si>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</si>
  <si>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</si>
  <si>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</si>
  <si>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</si>
  <si>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</si>
  <si>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</si>
  <si>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</si>
  <si>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</si>
  <si>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</si>
  <si>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</si>
  <si>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</si>
  <si>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</si>
  <si>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</si>
  <si>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</si>
  <si>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</si>
  <si>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</si>
  <si>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</si>
  <si>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</si>
  <si>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</si>
  <si>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</si>
  <si>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</si>
  <si>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</si>
  <si>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</si>
  <si>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</si>
  <si>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</si>
  <si>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</si>
  <si>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</si>
  <si>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</si>
  <si>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</si>
  <si>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</si>
  <si>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</si>
  <si>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</si>
  <si>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</si>
  <si>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</si>
  <si>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</si>
  <si>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</si>
  <si>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</si>
  <si>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</si>
  <si>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</si>
  <si>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</si>
  <si>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</si>
  <si>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</si>
  <si>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</si>
  <si>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</si>
  <si>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</si>
  <si>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</si>
  <si>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</si>
  <si>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</si>
  <si>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</si>
  <si>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</si>
  <si>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</si>
  <si>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</si>
  <si>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</si>
  <si>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</si>
  <si>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</si>
  <si>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</si>
  <si>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</si>
  <si>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</si>
  <si>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</si>
  <si>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</si>
  <si>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</si>
  <si>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</si>
  <si>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</si>
  <si>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</si>
  <si>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</si>
  <si>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</si>
  <si>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</si>
  <si>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</si>
  <si>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</si>
  <si>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</si>
  <si>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</si>
  <si>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</si>
  <si>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</si>
  <si>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</si>
  <si>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</si>
  <si>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</si>
  <si>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</si>
  <si>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</si>
  <si>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</si>
  <si>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</si>
  <si>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</si>
  <si>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</si>
  <si>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</si>
  <si>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</si>
  <si>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</si>
  <si>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</si>
  <si>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</si>
  <si>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</si>
  <si>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</si>
  <si>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</si>
  <si>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</si>
  <si>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</si>
  <si>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</si>
  <si>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</si>
  <si>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</si>
  <si>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</si>
  <si>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</si>
  <si>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</si>
  <si>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</si>
  <si>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</si>
  <si>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</si>
  <si>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</si>
  <si>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</si>
  <si>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</si>
  <si>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</si>
  <si>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</si>
  <si>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</si>
  <si>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</si>
  <si>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</si>
  <si>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</si>
  <si>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</si>
  <si>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</si>
  <si>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</si>
  <si>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</si>
  <si>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</si>
  <si>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</si>
  <si>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</si>
  <si>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</si>
  <si>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</si>
  <si>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</si>
  <si>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</si>
  <si>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</si>
  <si>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</si>
  <si>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</si>
  <si>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</si>
  <si>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</si>
  <si>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</si>
  <si>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</si>
  <si>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</si>
  <si>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</si>
  <si>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</si>
  <si>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</si>
  <si>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</si>
  <si>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</si>
  <si>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</si>
  <si>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</si>
  <si>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</si>
  <si>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</si>
  <si>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</si>
  <si>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</si>
  <si>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</si>
  <si>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</si>
  <si>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</si>
  <si>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</si>
  <si>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</si>
  <si>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</si>
  <si>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</si>
  <si>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</si>
  <si>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</si>
  <si>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</si>
  <si>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</si>
  <si>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</si>
  <si>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</si>
  <si>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</si>
  <si>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</si>
  <si>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</si>
  <si>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</si>
  <si>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</si>
  <si>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</si>
  <si>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</si>
  <si>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</si>
  <si>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</si>
  <si>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</si>
  <si>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</si>
  <si>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</si>
  <si>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</si>
  <si>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</si>
  <si>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</si>
  <si>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</si>
  <si>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</si>
  <si>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</si>
  <si>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</si>
  <si>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</si>
  <si>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</si>
  <si>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</si>
  <si>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</si>
  <si>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</si>
  <si>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</si>
  <si>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</si>
  <si>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</si>
  <si>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</si>
  <si>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</si>
  <si>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</si>
  <si>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</si>
  <si>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</si>
  <si>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</si>
  <si>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</si>
  <si>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</si>
  <si>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</si>
  <si>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</si>
  <si>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</si>
  <si>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</si>
  <si>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</si>
  <si>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</si>
  <si>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</si>
  <si>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</si>
  <si>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</si>
  <si>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</si>
  <si>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</si>
  <si>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</si>
  <si>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</si>
  <si>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</si>
  <si>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</si>
  <si>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</si>
  <si>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</si>
  <si>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</si>
  <si>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</si>
  <si>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</si>
  <si>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</si>
  <si>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</si>
  <si>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</si>
  <si>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</si>
  <si>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</si>
  <si>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</si>
  <si>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</si>
  <si>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</si>
  <si>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</si>
  <si>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</si>
  <si>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</si>
  <si>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</si>
  <si>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</si>
  <si>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</si>
  <si>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</si>
  <si>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</si>
  <si>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</si>
  <si>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</si>
  <si>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</si>
  <si>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</si>
  <si>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</si>
  <si>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</si>
  <si>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</si>
  <si>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</si>
  <si>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</si>
  <si>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</si>
  <si>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</si>
  <si>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</si>
  <si>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</si>
  <si>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</si>
  <si>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</si>
  <si>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</si>
  <si>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</si>
  <si>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</si>
  <si>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</si>
  <si>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</si>
  <si>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</si>
  <si>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</si>
  <si>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</si>
  <si>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</si>
  <si>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</si>
  <si>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</si>
  <si>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</si>
  <si>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</si>
  <si>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</si>
  <si>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</si>
  <si>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</si>
  <si>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</si>
  <si>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</si>
  <si>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</si>
  <si>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</si>
  <si>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</si>
  <si>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</si>
  <si>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</si>
  <si>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</si>
  <si>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</si>
  <si>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</si>
  <si>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</si>
  <si>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</si>
  <si>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</si>
  <si>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</si>
  <si>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</si>
  <si>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</si>
  <si>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</si>
  <si>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</si>
  <si>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</si>
  <si>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</si>
  <si>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</si>
  <si>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</si>
  <si>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</si>
  <si>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</si>
  <si>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</si>
  <si>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</si>
  <si>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</si>
  <si>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</si>
  <si>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</si>
  <si>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</si>
  <si>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</si>
  <si>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</si>
  <si>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</si>
  <si>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</si>
  <si>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</si>
  <si>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</si>
  <si>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</si>
  <si>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</si>
  <si>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</si>
  <si>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</si>
  <si>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</si>
  <si>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</si>
  <si>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</si>
  <si>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</si>
  <si>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</si>
  <si>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</si>
  <si>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</si>
  <si>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</si>
  <si>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</si>
  <si>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</si>
  <si>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</si>
  <si>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</si>
  <si>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</si>
  <si>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</si>
  <si>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</si>
  <si>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</si>
  <si>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</si>
  <si>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</si>
  <si>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</si>
  <si>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</si>
  <si>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</si>
  <si>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</si>
  <si>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</si>
  <si>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</si>
  <si>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</si>
  <si>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</si>
  <si>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</si>
  <si>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</si>
  <si>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</si>
  <si>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</si>
  <si>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</si>
  <si>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</si>
  <si>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</si>
  <si>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</si>
  <si>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</si>
  <si>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</si>
  <si>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</si>
  <si>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</si>
  <si>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</si>
  <si>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</si>
  <si>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</si>
  <si>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</si>
  <si>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</si>
  <si>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</si>
  <si>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</si>
  <si>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</si>
  <si>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</si>
  <si>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</si>
  <si>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</si>
  <si>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</si>
  <si>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</si>
  <si>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</si>
  <si>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</si>
  <si>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</si>
  <si>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</si>
  <si>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</si>
  <si>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</si>
  <si>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</si>
  <si>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</si>
  <si>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</si>
  <si>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</si>
  <si>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</si>
  <si>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</si>
  <si>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</si>
  <si>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</si>
  <si>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</si>
  <si>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</si>
  <si>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</si>
  <si>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</si>
  <si>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</si>
  <si>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</si>
  <si>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</si>
  <si>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</si>
  <si>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</si>
  <si>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</si>
  <si>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</si>
  <si>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</si>
  <si>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</si>
  <si>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</si>
  <si>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</si>
  <si>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</si>
  <si>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</si>
  <si>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</si>
  <si>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</si>
  <si>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</si>
  <si>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</si>
  <si>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</si>
  <si>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</si>
  <si>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</si>
  <si>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</si>
  <si>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</si>
  <si>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</si>
  <si>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</si>
  <si>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</si>
  <si>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</si>
  <si>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</si>
  <si>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</si>
  <si>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</si>
  <si>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</si>
  <si>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</si>
  <si>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</si>
  <si>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</si>
  <si>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</si>
  <si>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</si>
  <si>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</si>
  <si>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</si>
  <si>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</si>
  <si>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</si>
  <si>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</si>
  <si>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</si>
  <si>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</si>
  <si>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</si>
  <si>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</si>
  <si>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</si>
  <si>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</si>
  <si>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</si>
  <si>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</si>
  <si>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</si>
  <si>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</si>
  <si>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</si>
  <si>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</si>
  <si>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</si>
  <si>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</si>
  <si>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</si>
  <si>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</si>
  <si>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</si>
  <si>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</si>
  <si>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</si>
  <si>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</si>
  <si>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</si>
  <si>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</si>
  <si>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</si>
  <si>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</si>
  <si>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</si>
  <si>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</si>
  <si>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</si>
  <si>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</si>
  <si>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</si>
  <si>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</si>
  <si>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</si>
  <si>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</si>
  <si>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</si>
  <si>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</si>
  <si>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</si>
  <si>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</si>
  <si>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</si>
  <si>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</si>
  <si>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</si>
  <si>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</si>
  <si>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</si>
  <si>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</si>
  <si>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</si>
  <si>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</si>
  <si>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</si>
  <si>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</si>
  <si>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</si>
  <si>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</si>
  <si>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</si>
  <si>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</si>
  <si>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</si>
  <si>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</si>
  <si>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</si>
  <si>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</si>
  <si>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</si>
  <si>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</si>
  <si>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</si>
  <si>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</si>
  <si>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</si>
  <si>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</si>
  <si>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</si>
  <si>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</si>
  <si>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</si>
  <si>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</si>
  <si>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</si>
  <si>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</si>
  <si>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</si>
  <si>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</si>
  <si>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</si>
  <si>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</si>
  <si>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</si>
  <si>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</si>
  <si>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</si>
  <si>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</si>
  <si>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</si>
  <si>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</si>
  <si>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</si>
  <si>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</si>
  <si>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</si>
  <si>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</si>
  <si>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</si>
  <si>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</si>
  <si>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</si>
  <si>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</si>
  <si>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</si>
  <si>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</si>
  <si>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</si>
  <si>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</si>
  <si>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</si>
  <si>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</si>
  <si>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</si>
  <si>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</si>
  <si>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</si>
  <si>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</si>
  <si>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</si>
  <si>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</si>
  <si>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</si>
  <si>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</si>
  <si>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</si>
  <si>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</si>
  <si>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</si>
  <si>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</si>
  <si>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</si>
  <si>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</si>
  <si>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</si>
  <si>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</si>
  <si>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</si>
  <si>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</si>
  <si>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</si>
  <si>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</si>
  <si>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</si>
  <si>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</si>
  <si>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</si>
  <si>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</si>
  <si>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</si>
  <si>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</si>
  <si>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</si>
  <si>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</si>
  <si>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</si>
  <si>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</si>
  <si>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</si>
  <si>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</si>
  <si>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</si>
  <si>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</si>
  <si>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</si>
  <si>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</si>
  <si>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</si>
  <si>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</si>
  <si>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</si>
  <si>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</si>
  <si>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</si>
  <si>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</si>
  <si>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</si>
  <si>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</si>
  <si>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</si>
  <si>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</si>
  <si>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</si>
  <si>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</si>
  <si>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</si>
  <si>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</si>
  <si>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</si>
  <si>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</si>
  <si>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</si>
  <si>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</si>
  <si>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</si>
  <si>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</si>
  <si>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</si>
  <si>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</si>
  <si>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</si>
  <si>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</si>
  <si>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</si>
  <si>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</si>
  <si>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</si>
  <si>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</si>
  <si>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</si>
  <si>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</si>
  <si>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</si>
  <si>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</si>
  <si>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</si>
  <si>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</si>
  <si>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</si>
  <si>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</si>
  <si>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</si>
  <si>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</si>
  <si>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</si>
  <si>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</si>
  <si>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</si>
  <si>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</si>
  <si>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</si>
  <si>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</si>
  <si>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</si>
  <si>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</si>
  <si>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</si>
  <si>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</si>
  <si>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</si>
  <si>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</si>
  <si>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</si>
  <si>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</si>
  <si>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</si>
  <si>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</si>
  <si>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</si>
  <si>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</si>
  <si>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</si>
  <si>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</si>
  <si>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</si>
  <si>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</si>
  <si>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</si>
  <si>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</si>
  <si>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</si>
  <si>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</si>
  <si>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</si>
  <si>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</si>
  <si>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</si>
  <si>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</si>
  <si>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</si>
  <si>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</si>
  <si>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</si>
  <si>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</si>
  <si>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</si>
  <si>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</si>
  <si>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</si>
  <si>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</si>
  <si>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</si>
  <si>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</si>
  <si>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</si>
  <si>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</si>
  <si>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</si>
  <si>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</si>
  <si>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</si>
  <si>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</si>
  <si>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</si>
  <si>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</si>
  <si>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</si>
  <si>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</si>
  <si>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</si>
  <si>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</si>
  <si>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</si>
  <si>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</si>
  <si>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</si>
  <si>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</si>
  <si>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</si>
  <si>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</si>
  <si>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</si>
  <si>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</si>
  <si>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</si>
  <si>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</si>
  <si>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</si>
  <si>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</si>
  <si>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</si>
  <si>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</si>
  <si>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</si>
  <si>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</si>
  <si>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</si>
  <si>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</si>
  <si>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</si>
  <si>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</si>
  <si>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</si>
  <si>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</si>
  <si>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</si>
  <si>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</si>
  <si>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</si>
  <si>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</si>
  <si>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</si>
  <si>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</si>
  <si>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</si>
  <si>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</si>
  <si>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</si>
  <si>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</si>
  <si>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</si>
  <si>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</si>
  <si>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</si>
  <si>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</si>
  <si>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</si>
  <si>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</si>
  <si>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</si>
  <si>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</si>
  <si>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</si>
  <si>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</si>
  <si>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</si>
  <si>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</si>
  <si>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</si>
  <si>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</si>
  <si>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</si>
  <si>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</si>
  <si>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</si>
  <si>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</si>
  <si>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</si>
  <si>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</si>
  <si>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</si>
  <si>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</si>
  <si>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</si>
  <si>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</si>
  <si>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</si>
  <si>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</si>
  <si>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</si>
  <si>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</si>
  <si>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</si>
  <si>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</si>
  <si>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</si>
  <si>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</si>
  <si>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</si>
  <si>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</si>
  <si>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</si>
  <si>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</si>
  <si>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</si>
  <si>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</si>
  <si>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</si>
  <si>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</si>
  <si>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</si>
  <si>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</si>
  <si>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</si>
  <si>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</si>
  <si>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</si>
  <si>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</si>
  <si>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</si>
  <si>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</si>
  <si>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</si>
  <si>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</si>
  <si>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</si>
  <si>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</si>
  <si>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</si>
  <si>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</si>
  <si>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</si>
  <si>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</si>
  <si>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</si>
  <si>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</si>
  <si>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</si>
  <si>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</si>
  <si>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</si>
  <si>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</si>
  <si>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</si>
  <si>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</si>
  <si>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</si>
  <si>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</si>
  <si>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</si>
  <si>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</si>
  <si>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</si>
  <si>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</si>
  <si>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</si>
  <si>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</si>
  <si>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</si>
  <si>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</si>
  <si>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</si>
  <si>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</si>
  <si>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</si>
  <si>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</si>
  <si>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</si>
  <si>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</si>
  <si>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</si>
  <si>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</si>
  <si>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</si>
  <si>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</si>
  <si>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</si>
  <si>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</si>
  <si>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</si>
  <si>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</si>
  <si>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</si>
  <si>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</si>
  <si>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</si>
  <si>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</si>
  <si>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</si>
  <si>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</si>
  <si>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</si>
  <si>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</si>
  <si>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</si>
  <si>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</si>
  <si>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</si>
  <si>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</si>
  <si>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</si>
  <si>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</si>
  <si>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</si>
  <si>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</si>
  <si>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</si>
  <si>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</si>
  <si>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</si>
  <si>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</si>
  <si>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</si>
  <si>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</si>
  <si>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</si>
  <si>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</si>
  <si>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</si>
  <si>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</si>
  <si>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</si>
  <si>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</si>
  <si>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</si>
  <si>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</si>
  <si>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</si>
  <si>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</si>
  <si>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</si>
  <si>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</si>
  <si>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</si>
  <si>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</si>
  <si>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</si>
  <si>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</si>
  <si>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</si>
  <si>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</si>
  <si>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</si>
  <si>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</si>
  <si>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</si>
  <si>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</si>
  <si>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</si>
  <si>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</si>
  <si>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</si>
  <si>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</si>
  <si>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</si>
  <si>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</si>
  <si>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</si>
  <si>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</si>
  <si>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</si>
  <si>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</si>
  <si>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</si>
  <si>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</si>
  <si>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</si>
  <si>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</si>
  <si>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</si>
  <si>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</si>
  <si>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</si>
  <si>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</si>
  <si>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</si>
  <si>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</si>
  <si>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</si>
  <si>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</si>
  <si>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</si>
  <si>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</si>
  <si>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</si>
  <si>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</si>
  <si>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</si>
  <si>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</si>
  <si>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</si>
  <si>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</si>
  <si>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</si>
  <si>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</si>
  <si>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</si>
  <si>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</si>
  <si>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</si>
  <si>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</si>
  <si>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</si>
  <si>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</si>
  <si>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</si>
  <si>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</si>
  <si>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</si>
  <si>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</si>
  <si>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</si>
  <si>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</si>
  <si>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</si>
  <si>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</si>
  <si>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</si>
  <si>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</si>
  <si>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</si>
  <si>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</si>
  <si>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</si>
  <si>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</si>
  <si>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</si>
  <si>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</si>
  <si>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</si>
  <si>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</si>
  <si>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</si>
  <si>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</si>
  <si>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</si>
  <si>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</si>
  <si>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</si>
  <si>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</si>
  <si>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</si>
  <si>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</si>
  <si>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</si>
  <si>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</si>
  <si>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</si>
  <si>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</si>
  <si>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</si>
  <si>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</si>
  <si>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</si>
  <si>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</si>
  <si>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</si>
  <si>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</si>
  <si>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</si>
  <si>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</si>
  <si>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</si>
  <si>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</si>
  <si>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</si>
  <si>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</si>
  <si>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</si>
  <si>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</si>
  <si>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</si>
  <si>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</si>
  <si>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</si>
  <si>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</si>
  <si>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</si>
  <si>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</si>
  <si>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</si>
  <si>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</si>
  <si>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</si>
  <si>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</si>
  <si>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</si>
  <si>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</si>
  <si>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</si>
  <si>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</si>
  <si>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</si>
  <si>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</si>
  <si>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</si>
  <si>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</si>
  <si>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</si>
  <si>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</si>
  <si>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</si>
  <si>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</si>
  <si>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</si>
  <si>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</si>
  <si>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</si>
  <si>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</si>
  <si>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</si>
  <si>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</si>
  <si>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</si>
  <si>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</si>
  <si>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</si>
  <si>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</si>
  <si>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</si>
  <si>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</si>
  <si>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</si>
  <si>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</si>
  <si>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</si>
  <si>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</si>
  <si>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</si>
  <si>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</si>
  <si>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</si>
  <si>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</si>
  <si>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</si>
  <si>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</si>
  <si>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</si>
  <si>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</si>
  <si>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</si>
  <si>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</si>
  <si>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</si>
  <si>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</si>
  <si>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</si>
  <si>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</si>
  <si>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</si>
  <si>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</si>
  <si>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</si>
  <si>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</si>
  <si>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</si>
  <si>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</si>
  <si>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</si>
  <si>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</si>
  <si>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</si>
  <si>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</si>
  <si>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</si>
  <si>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</si>
  <si>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</si>
  <si>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</si>
  <si>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</si>
  <si>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</si>
  <si>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</si>
  <si>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</si>
  <si>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</si>
  <si>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</si>
  <si>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</si>
  <si>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</si>
  <si>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</si>
  <si>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</si>
  <si>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</si>
  <si>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</si>
  <si>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</si>
  <si>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</si>
  <si>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</si>
  <si>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</si>
  <si>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</si>
  <si>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</si>
  <si>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</si>
  <si>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</si>
  <si>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</si>
  <si>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</si>
  <si>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</si>
  <si>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</si>
  <si>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</si>
  <si>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</si>
  <si>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</si>
  <si>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</si>
  <si>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</si>
  <si>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</si>
  <si>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</si>
  <si>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</si>
  <si>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</si>
  <si>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</si>
  <si>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</si>
  <si>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</si>
  <si>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</si>
  <si>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</si>
  <si>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</si>
  <si>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</si>
  <si>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</si>
  <si>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</si>
  <si>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</si>
  <si>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</si>
  <si>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</si>
  <si>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</si>
  <si>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</si>
  <si>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</si>
  <si>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</si>
  <si>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</si>
  <si>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</si>
  <si>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</si>
  <si>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</si>
  <si>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</si>
  <si>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</si>
  <si>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</si>
  <si>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</si>
  <si>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</si>
  <si>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</si>
  <si>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</si>
  <si>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</si>
  <si>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</si>
  <si>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</si>
  <si>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</si>
  <si>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</si>
  <si>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</si>
  <si>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</si>
  <si>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</si>
  <si>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</si>
  <si>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</si>
  <si>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</si>
  <si>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</si>
  <si>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</si>
  <si>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</si>
  <si>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</si>
  <si>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</si>
  <si>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</si>
  <si>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</si>
  <si>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</si>
  <si>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</si>
  <si>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</si>
  <si>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</si>
  <si>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</si>
  <si>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</si>
  <si>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</si>
  <si>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</si>
  <si>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</si>
  <si>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</si>
  <si>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</si>
  <si>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</si>
  <si>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</si>
  <si>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</si>
  <si>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</si>
  <si>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</si>
  <si>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</si>
  <si>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</si>
  <si>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</si>
  <si>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</si>
  <si>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</si>
  <si>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</si>
  <si>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</si>
  <si>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</si>
  <si>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</si>
  <si>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</si>
  <si>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</si>
  <si>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</si>
  <si>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</si>
  <si>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</si>
  <si>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</si>
  <si>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</si>
  <si>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</si>
  <si>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</si>
  <si>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</si>
  <si>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</si>
  <si>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</si>
  <si>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</si>
  <si>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</si>
  <si>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</si>
  <si>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</si>
  <si>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</si>
  <si>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</si>
  <si>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</si>
  <si>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</si>
  <si>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</si>
  <si>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</si>
  <si>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</si>
  <si>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</si>
  <si>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</si>
  <si>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</si>
  <si>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</si>
  <si>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</si>
  <si>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</si>
  <si>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</si>
  <si>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</si>
  <si>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</si>
  <si>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</si>
  <si>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</si>
  <si>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</si>
  <si>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</si>
  <si>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</si>
  <si>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</si>
  <si>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</si>
  <si>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</si>
  <si>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</si>
  <si>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</si>
  <si>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</si>
  <si>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</si>
  <si>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</si>
  <si>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</si>
  <si>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</si>
  <si>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</si>
  <si>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</si>
  <si>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</si>
  <si>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</si>
  <si>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</si>
  <si>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</si>
  <si>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</si>
  <si>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</si>
  <si>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</si>
  <si>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</si>
  <si>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</si>
  <si>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</si>
  <si>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</si>
  <si>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</si>
  <si>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</si>
  <si>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</si>
  <si>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</si>
  <si>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</si>
  <si>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</si>
  <si>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</si>
  <si>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</si>
  <si>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</si>
  <si>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</si>
  <si>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</si>
  <si>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</si>
  <si>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</si>
  <si>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</si>
  <si>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</si>
  <si>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</si>
  <si>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</si>
  <si>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</si>
  <si>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</si>
  <si>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</si>
  <si>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</si>
  <si>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</si>
  <si>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</si>
  <si>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</si>
  <si>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</si>
  <si>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</si>
  <si>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</si>
  <si>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</si>
  <si>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</si>
  <si>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</si>
  <si>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</si>
  <si>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</si>
  <si>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</si>
  <si>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</si>
  <si>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</si>
  <si>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</si>
  <si>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</si>
  <si>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</si>
  <si>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</si>
  <si>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</si>
  <si>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</si>
  <si>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</si>
  <si>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</si>
  <si>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</si>
  <si>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</si>
  <si>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</si>
  <si>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</si>
  <si>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</si>
  <si>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</si>
  <si>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</si>
  <si>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</si>
  <si>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</si>
  <si>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</si>
  <si>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</si>
  <si>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</si>
  <si>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</si>
  <si>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</si>
  <si>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</si>
  <si>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</si>
  <si>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</si>
  <si>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</si>
  <si>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</si>
  <si>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</si>
  <si>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</si>
  <si>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</si>
  <si>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</si>
  <si>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</si>
  <si>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</si>
  <si>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</si>
  <si>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</si>
  <si>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</si>
  <si>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</si>
  <si>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</si>
  <si>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</si>
  <si>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</si>
  <si>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</si>
  <si>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</si>
  <si>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</si>
  <si>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</si>
  <si>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</si>
  <si>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</si>
  <si>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</si>
  <si>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</si>
  <si>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</si>
  <si>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</si>
  <si>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</si>
  <si>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</si>
  <si>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</si>
  <si>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</si>
  <si>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</si>
  <si>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</si>
  <si>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</si>
  <si>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</si>
  <si>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</si>
  <si>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</si>
  <si>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</si>
  <si>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</si>
  <si>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</si>
  <si>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</si>
  <si>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</si>
  <si>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</si>
  <si>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</si>
  <si>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</si>
  <si>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</si>
  <si>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</si>
  <si>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</si>
  <si>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</si>
  <si>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</si>
  <si>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</si>
  <si>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</si>
  <si>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</si>
  <si>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</si>
  <si>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</si>
  <si>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</si>
  <si>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</si>
  <si>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</si>
  <si>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</si>
  <si>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</si>
  <si>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</si>
  <si>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</si>
  <si>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</si>
  <si>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</si>
  <si>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</si>
  <si>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</si>
  <si>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</si>
  <si>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</si>
  <si>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</si>
  <si>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</si>
  <si>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</si>
  <si>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</si>
  <si>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</si>
  <si>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</si>
  <si>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</si>
  <si>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</si>
  <si>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</si>
  <si>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</si>
  <si>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</si>
  <si>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</si>
  <si>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</si>
  <si>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</si>
  <si>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</si>
  <si>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</si>
  <si>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</si>
  <si>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</si>
  <si>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</si>
  <si>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</si>
  <si>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</si>
  <si>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</si>
  <si>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</si>
  <si>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</si>
  <si>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</si>
  <si>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</si>
  <si>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</si>
  <si>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</si>
  <si>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</si>
  <si>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</si>
  <si>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</si>
  <si>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</si>
  <si>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</si>
  <si>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</si>
  <si>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</si>
  <si>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</si>
  <si>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</si>
  <si>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</si>
  <si>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</si>
  <si>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</si>
  <si>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</si>
  <si>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</si>
  <si>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</si>
  <si>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</si>
  <si>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</si>
  <si>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</si>
  <si>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</si>
  <si>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</si>
  <si>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</si>
  <si>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</si>
  <si>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</si>
  <si>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</si>
  <si>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</si>
  <si>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</si>
  <si>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</si>
  <si>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</si>
  <si>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</si>
  <si>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</si>
  <si>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</si>
  <si>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</si>
  <si>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</si>
  <si>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</si>
  <si>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</si>
  <si>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</si>
  <si>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</si>
  <si>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</si>
  <si>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</si>
  <si>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</si>
  <si>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</si>
  <si>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</si>
  <si>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</si>
  <si>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</si>
  <si>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</si>
  <si>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</si>
  <si>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</si>
  <si>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</si>
  <si>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</si>
  <si>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</si>
  <si>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</si>
  <si>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</si>
  <si>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</si>
  <si>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</si>
  <si>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</si>
  <si>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</si>
  <si>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</si>
  <si>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</si>
  <si>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</si>
  <si>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</si>
  <si>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</si>
  <si>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</si>
  <si>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</si>
  <si>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</si>
  <si>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</si>
  <si>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</si>
  <si>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</si>
  <si>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</si>
  <si>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</si>
  <si>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</si>
  <si>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</si>
  <si>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</si>
  <si>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</si>
  <si>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</si>
  <si>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</si>
  <si>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</si>
  <si>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</si>
  <si>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</si>
  <si>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</si>
  <si>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</si>
  <si>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</si>
  <si>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</si>
  <si>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</si>
  <si>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</si>
  <si>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</si>
  <si>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</si>
  <si>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</si>
  <si>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</si>
  <si>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</si>
  <si>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</si>
  <si>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</si>
  <si>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</si>
  <si>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</si>
  <si>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</si>
  <si>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</si>
  <si>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</si>
  <si>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</si>
  <si>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</si>
  <si>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</si>
  <si>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</si>
  <si>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</si>
  <si>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</si>
  <si>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</si>
  <si>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</si>
  <si>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</si>
  <si>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</si>
  <si>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</si>
  <si>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</si>
  <si>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</si>
  <si>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</si>
  <si>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</si>
  <si>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</si>
  <si>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</si>
  <si>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</si>
  <si>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</si>
  <si>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</si>
  <si>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</si>
  <si>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</si>
  <si>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</si>
  <si>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</si>
  <si>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</si>
  <si>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</si>
  <si>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</si>
  <si>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</si>
  <si>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</si>
  <si>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</si>
  <si>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</si>
  <si>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</si>
  <si>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</si>
  <si>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</si>
  <si>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</si>
  <si>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</si>
  <si>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</si>
  <si>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</si>
  <si>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</si>
  <si>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</si>
  <si>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</si>
  <si>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</si>
  <si>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</si>
  <si>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</si>
  <si>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</si>
  <si>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</si>
  <si>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</si>
  <si>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</si>
  <si>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</si>
  <si>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</si>
  <si>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</si>
  <si>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</si>
  <si>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</si>
  <si>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</si>
  <si>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</si>
  <si>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</si>
  <si>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</si>
  <si>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</si>
  <si>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</si>
  <si>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</si>
  <si>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</si>
  <si>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</si>
  <si>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</si>
  <si>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</si>
  <si>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</si>
  <si>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</si>
  <si>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</si>
  <si>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</si>
  <si>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</si>
  <si>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</si>
  <si>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</si>
  <si>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</si>
  <si>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</si>
  <si>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</si>
  <si>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</si>
  <si>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</si>
  <si>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</si>
  <si>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</si>
  <si>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</si>
  <si>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</si>
  <si>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</si>
  <si>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</si>
  <si>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</si>
  <si>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</si>
  <si>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</si>
  <si>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</si>
  <si>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</si>
  <si>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</si>
  <si>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</si>
  <si>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</si>
  <si>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</si>
  <si>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</si>
  <si>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</si>
  <si>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</si>
  <si>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</si>
  <si>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</si>
  <si>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</si>
  <si>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</si>
  <si>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</si>
  <si>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</si>
  <si>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</si>
  <si>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</si>
  <si>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</si>
  <si>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</si>
  <si>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</si>
  <si>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</si>
  <si>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</si>
  <si>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</si>
  <si>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</si>
  <si>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</si>
  <si>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</si>
  <si>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</si>
  <si>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</si>
  <si>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</si>
  <si>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</si>
  <si>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</si>
  <si>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</si>
  <si>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</si>
  <si>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</si>
  <si>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</si>
  <si>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</si>
  <si>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</si>
  <si>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</si>
  <si>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</si>
  <si>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</si>
  <si>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</si>
  <si>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</si>
  <si>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</si>
  <si>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</si>
  <si>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</si>
  <si>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</si>
  <si>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</si>
  <si>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</si>
  <si>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</si>
  <si>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</si>
  <si>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</si>
  <si>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</si>
  <si>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</si>
  <si>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</si>
  <si>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</si>
  <si>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</si>
  <si>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</si>
  <si>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</si>
  <si>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</si>
  <si>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</si>
  <si>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</si>
  <si>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</si>
  <si>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</si>
  <si>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</si>
  <si>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</si>
  <si>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</si>
  <si>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</si>
  <si>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</si>
  <si>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</si>
  <si>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</si>
  <si>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</si>
  <si>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</si>
  <si>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</si>
  <si>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</si>
  <si>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</si>
  <si>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</si>
  <si>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</si>
  <si>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</si>
  <si>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</si>
  <si>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</si>
  <si>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</si>
  <si>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</si>
  <si>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</si>
  <si>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</si>
  <si>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</si>
  <si>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</si>
  <si>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</si>
  <si>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</si>
  <si>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</si>
  <si>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</si>
  <si>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</si>
  <si>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</si>
  <si>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</si>
  <si>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</si>
  <si>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</si>
  <si>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</si>
  <si>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</si>
  <si>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</si>
  <si>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</si>
  <si>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</si>
  <si>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</si>
  <si>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</si>
  <si>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</si>
  <si>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</si>
  <si>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</si>
  <si>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</si>
  <si>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</si>
  <si>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</si>
  <si>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</si>
  <si>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</si>
  <si>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</si>
  <si>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</si>
  <si>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</si>
  <si>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</si>
  <si>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</si>
  <si>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</si>
  <si>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</si>
  <si>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</si>
  <si>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</si>
  <si>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</si>
  <si>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</si>
  <si>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</si>
  <si>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</si>
  <si>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</si>
  <si>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</si>
  <si>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</si>
  <si>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</si>
  <si>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</si>
  <si>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</si>
  <si>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</si>
  <si>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</si>
  <si>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</si>
  <si>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</si>
  <si>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</si>
  <si>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</si>
  <si>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</si>
  <si>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</si>
  <si>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</si>
  <si>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</si>
  <si>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</si>
  <si>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</si>
  <si>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</si>
  <si>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</si>
  <si>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</si>
  <si>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</si>
  <si>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</si>
  <si>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</si>
  <si>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</si>
  <si>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</si>
  <si>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</si>
  <si>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</si>
  <si>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</si>
  <si>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</si>
  <si>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</si>
  <si>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</si>
  <si>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</si>
  <si>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</si>
  <si>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</si>
  <si>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</si>
  <si>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</si>
  <si>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</si>
  <si>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</si>
  <si>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</si>
  <si>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</si>
  <si>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</si>
  <si>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</si>
  <si>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</si>
  <si>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</si>
  <si>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</si>
  <si>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</si>
  <si>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</si>
  <si>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</si>
  <si>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</si>
  <si>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</si>
  <si>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</si>
  <si>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</si>
  <si>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</si>
  <si>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</si>
  <si>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</si>
  <si>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</si>
  <si>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</si>
  <si>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</si>
  <si>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</si>
  <si>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</si>
  <si>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</si>
  <si>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</si>
  <si>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</si>
  <si>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</si>
  <si>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</si>
  <si>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</si>
  <si>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</si>
  <si>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</si>
  <si>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</si>
  <si>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</si>
  <si>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</si>
  <si>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</si>
  <si>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</si>
  <si>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</si>
  <si>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</si>
  <si>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</si>
  <si>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</si>
  <si>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</si>
  <si>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</si>
  <si>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</si>
  <si>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</si>
  <si>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</si>
  <si>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</si>
  <si>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</si>
  <si>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</si>
  <si>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</si>
  <si>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</si>
  <si>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</si>
  <si>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</si>
  <si>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</si>
  <si>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</si>
  <si>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</si>
  <si>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</si>
  <si>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</si>
  <si>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</si>
  <si>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</si>
  <si>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</si>
  <si>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</si>
  <si>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</si>
  <si>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</si>
  <si>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</si>
  <si>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</si>
  <si>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</si>
  <si>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</si>
  <si>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</si>
  <si>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</si>
  <si>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</si>
  <si>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</si>
  <si>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</si>
  <si>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</si>
  <si>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</si>
  <si>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</si>
  <si>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</si>
  <si>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</si>
  <si>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</si>
  <si>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</si>
  <si>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</si>
  <si>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</si>
  <si>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</si>
  <si>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</si>
  <si>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</si>
  <si>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</si>
  <si>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</si>
  <si>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</si>
  <si>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</si>
  <si>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</si>
  <si>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</si>
  <si>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</si>
  <si>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</si>
  <si>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</si>
  <si>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</si>
  <si>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</si>
  <si>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</si>
  <si>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</si>
  <si>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</si>
  <si>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</si>
  <si>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</si>
  <si>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</si>
  <si>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</si>
  <si>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</si>
  <si>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</si>
  <si>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</si>
  <si>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</si>
  <si>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</si>
  <si>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</si>
  <si>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</si>
  <si>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</si>
  <si>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</si>
  <si>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</si>
  <si>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</si>
  <si>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</si>
  <si>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</si>
  <si>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</si>
  <si>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</si>
  <si>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</si>
  <si>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</si>
  <si>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</si>
  <si>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</si>
  <si>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</si>
  <si>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</si>
  <si>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</si>
  <si>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</si>
  <si>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</si>
  <si>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</si>
  <si>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</si>
  <si>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</si>
  <si>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</si>
  <si>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</si>
  <si>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</si>
  <si>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</si>
  <si>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</si>
  <si>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</si>
  <si>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</si>
  <si>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</si>
  <si>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</si>
  <si>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</si>
  <si>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</si>
  <si>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</si>
  <si>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</si>
  <si>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</si>
  <si>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</si>
  <si>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</si>
  <si>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</si>
  <si>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</si>
  <si>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</si>
  <si>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</si>
  <si>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</si>
  <si>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</si>
  <si>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</si>
  <si>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</si>
  <si>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</si>
  <si>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</si>
  <si>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</si>
  <si>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</si>
  <si>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</si>
  <si>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</si>
  <si>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</si>
  <si>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</si>
  <si>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</si>
  <si>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</si>
  <si>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</si>
  <si>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</si>
  <si>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</si>
  <si>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</si>
  <si>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</si>
  <si>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</si>
  <si>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</si>
  <si>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</si>
  <si>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</si>
  <si>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</si>
  <si>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</si>
  <si>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</si>
  <si>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</si>
  <si>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</si>
  <si>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</si>
  <si>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</si>
  <si>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</si>
  <si>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</si>
  <si>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</si>
  <si>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</si>
  <si>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</si>
  <si>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</si>
  <si>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</si>
  <si>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</si>
  <si>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</si>
  <si>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</si>
  <si>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</si>
  <si>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</si>
  <si>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</si>
  <si>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</si>
  <si>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</si>
  <si>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</si>
  <si>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</si>
  <si>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</si>
  <si>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</si>
  <si>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</si>
  <si>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</si>
  <si>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</si>
  <si>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</si>
  <si>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</si>
  <si>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</si>
  <si>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</si>
  <si>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</si>
  <si>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</si>
  <si>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</si>
  <si>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</si>
  <si>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</si>
  <si>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</si>
  <si>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</si>
  <si>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</si>
  <si>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</si>
  <si>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</si>
  <si>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</si>
  <si>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</si>
  <si>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</si>
  <si>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</si>
  <si>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</si>
  <si>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</si>
  <si>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</si>
  <si>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</si>
  <si>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</si>
  <si>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</si>
  <si>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</si>
  <si>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</si>
  <si>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</si>
  <si>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</si>
  <si>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</si>
  <si>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</si>
  <si>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</si>
  <si>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</si>
  <si>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</si>
  <si>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</si>
  <si>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</si>
  <si>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</si>
  <si>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</si>
  <si>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</si>
  <si>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</si>
  <si>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</si>
  <si>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</si>
  <si>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</si>
  <si>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</si>
  <si>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</si>
  <si>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</si>
  <si>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</si>
  <si>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</si>
  <si>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</si>
  <si>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</si>
  <si>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</si>
  <si>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</si>
  <si>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</si>
  <si>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</si>
  <si>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</si>
  <si>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</si>
  <si>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</si>
  <si>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</si>
  <si>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</si>
  <si>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</si>
  <si>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</si>
  <si>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</si>
  <si>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</si>
  <si>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</si>
  <si>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</si>
  <si>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</si>
  <si>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</si>
  <si>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</si>
  <si>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</si>
  <si>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</si>
  <si>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</si>
  <si>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</si>
  <si>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</si>
  <si>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</si>
  <si>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</si>
  <si>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</si>
  <si>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</si>
  <si>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</si>
  <si>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</si>
  <si>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</si>
  <si>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</si>
  <si>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</si>
  <si>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</si>
  <si>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</si>
  <si>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</si>
  <si>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</si>
  <si>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</si>
  <si>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</si>
  <si>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</si>
  <si>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</si>
  <si>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</si>
  <si>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</si>
  <si>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</si>
  <si>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</si>
  <si>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</si>
  <si>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</si>
  <si>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</si>
  <si>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</si>
  <si>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</si>
  <si>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</si>
  <si>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</si>
  <si>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</si>
  <si>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</si>
  <si>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</si>
  <si>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</si>
  <si>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</si>
  <si>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</si>
  <si>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</si>
  <si>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</si>
  <si>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</si>
  <si>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</si>
  <si>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</si>
  <si>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</si>
  <si>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</si>
  <si>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</si>
  <si>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</si>
  <si>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</si>
  <si>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</si>
  <si>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</si>
  <si>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</si>
  <si>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</si>
  <si>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</si>
  <si>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</si>
  <si>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</si>
  <si>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</si>
  <si>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</si>
  <si>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</si>
  <si>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</si>
  <si>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</si>
  <si>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</si>
  <si>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</si>
  <si>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</si>
  <si>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</si>
  <si>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</si>
  <si>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</si>
  <si>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</si>
  <si>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</si>
  <si>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</si>
  <si>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</si>
  <si>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</si>
  <si>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</si>
  <si>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</si>
  <si>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</si>
  <si>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</si>
  <si>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</si>
  <si>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</si>
  <si>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</si>
  <si>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</si>
  <si>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</si>
  <si>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</si>
  <si>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</si>
  <si>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</si>
  <si>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</si>
  <si>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</si>
  <si>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</si>
  <si>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</si>
  <si>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</si>
  <si>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</si>
  <si>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</si>
  <si>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</si>
  <si>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</si>
  <si>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</si>
  <si>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</si>
  <si>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</si>
  <si>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</si>
  <si>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</si>
  <si>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</si>
  <si>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</si>
  <si>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</si>
  <si>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</si>
  <si>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</si>
  <si>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</si>
  <si>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</si>
  <si>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</si>
  <si>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</si>
  <si>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</si>
  <si>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</si>
  <si>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</si>
  <si>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</si>
  <si>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</si>
  <si>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</si>
  <si>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</si>
  <si>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</si>
  <si>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</si>
  <si>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</si>
  <si>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</si>
  <si>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</si>
  <si>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</si>
  <si>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</si>
  <si>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</si>
  <si>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</si>
  <si>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</si>
  <si>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</si>
  <si>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</si>
  <si>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</si>
  <si>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</si>
  <si>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</si>
  <si>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</si>
  <si>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</si>
  <si>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</si>
  <si>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</si>
  <si>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</si>
  <si>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</si>
  <si>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</si>
  <si>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</si>
  <si>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</si>
  <si>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</si>
  <si>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</si>
  <si>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</si>
  <si>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</si>
  <si>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</si>
  <si>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</si>
  <si>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</si>
  <si>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</si>
  <si>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</si>
  <si>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</si>
  <si>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</si>
  <si>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</si>
  <si>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</si>
  <si>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</si>
  <si>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</si>
  <si>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</si>
  <si>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</si>
  <si>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</si>
  <si>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</si>
  <si>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</si>
  <si>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</si>
  <si>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</si>
  <si>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</si>
  <si>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</si>
  <si>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</si>
  <si>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</si>
  <si>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</si>
  <si>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</si>
  <si>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</si>
  <si>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</si>
  <si>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</si>
  <si>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</si>
  <si>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</si>
  <si>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</si>
  <si>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</si>
  <si>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</si>
  <si>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</si>
  <si>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</si>
  <si>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</si>
  <si>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</si>
  <si>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</si>
  <si>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</si>
  <si>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</si>
  <si>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</si>
  <si>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</si>
  <si>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</si>
  <si>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</si>
  <si>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</si>
  <si>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</si>
  <si>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</si>
  <si>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</si>
  <si>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</si>
  <si>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</si>
  <si>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</si>
  <si>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</si>
  <si>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</si>
  <si>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</si>
  <si>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</si>
  <si>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</si>
  <si>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</si>
  <si>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</si>
  <si>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</si>
  <si>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</si>
  <si>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</si>
  <si>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</si>
  <si>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</si>
  <si>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</si>
  <si>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</si>
  <si>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</si>
  <si>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</si>
  <si>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</si>
  <si>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</si>
  <si>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</si>
  <si>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</si>
  <si>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</si>
  <si>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</si>
  <si>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</si>
  <si>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</si>
  <si>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</si>
  <si>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</si>
  <si>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</si>
  <si>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</si>
  <si>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</si>
  <si>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</si>
  <si>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</si>
  <si>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</si>
  <si>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</si>
  <si>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</si>
  <si>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</si>
  <si>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</si>
  <si>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</si>
  <si>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</si>
  <si>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</si>
  <si>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</si>
  <si>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</si>
  <si>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</si>
  <si>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</si>
  <si>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</si>
  <si>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</si>
  <si>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</si>
  <si>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</si>
  <si>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</si>
  <si>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</si>
  <si>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</si>
  <si>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</si>
  <si>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</si>
  <si>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</si>
  <si>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</si>
  <si>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</si>
  <si>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</si>
  <si>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</si>
  <si>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</si>
  <si>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</si>
  <si>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</si>
  <si>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</si>
  <si>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</si>
  <si>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</si>
  <si>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</si>
  <si>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</si>
  <si>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</si>
  <si>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</si>
  <si>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</si>
  <si>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</si>
  <si>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</si>
  <si>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</si>
  <si>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</si>
  <si>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</si>
  <si>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</si>
  <si>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</si>
  <si>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</si>
  <si>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</si>
  <si>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</si>
  <si>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</si>
  <si>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</si>
  <si>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</si>
  <si>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</si>
  <si>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</si>
  <si>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</si>
  <si>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</si>
  <si>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</si>
  <si>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</si>
  <si>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</si>
  <si>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</si>
  <si>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</si>
  <si>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</si>
  <si>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</si>
  <si>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</si>
  <si>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</si>
  <si>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</si>
  <si>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</si>
  <si>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</si>
  <si>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</si>
  <si>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</si>
  <si>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</si>
  <si>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</si>
  <si>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</si>
  <si>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</si>
  <si>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</si>
  <si>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</si>
  <si>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</si>
  <si>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</si>
  <si>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</si>
  <si>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</si>
  <si>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</si>
  <si>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</si>
  <si>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</si>
  <si>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</si>
  <si>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</si>
  <si>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</si>
  <si>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</si>
  <si>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</si>
  <si>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</si>
  <si>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</si>
  <si>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</si>
  <si>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</si>
  <si>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</si>
  <si>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</si>
  <si>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</si>
  <si>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</si>
  <si>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</si>
  <si>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</si>
  <si>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</si>
  <si>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</si>
  <si>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</si>
  <si>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</si>
  <si>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</si>
  <si>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</si>
  <si>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</si>
  <si>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</si>
  <si>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</si>
  <si>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</si>
  <si>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</si>
  <si>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</si>
  <si>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</si>
  <si>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</si>
  <si>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</si>
  <si>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</si>
  <si>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</si>
  <si>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</si>
  <si>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</si>
  <si>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</si>
  <si>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</si>
  <si>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</si>
  <si>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</si>
  <si>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</si>
  <si>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</si>
  <si>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</si>
  <si>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</si>
  <si>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</si>
  <si>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</si>
  <si>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</si>
  <si>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</si>
  <si>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</si>
  <si>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</si>
  <si>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</si>
  <si>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</si>
  <si>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</si>
  <si>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</si>
  <si>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</si>
  <si>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</si>
  <si>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</si>
  <si>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</si>
  <si>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</si>
  <si>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</si>
  <si>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</si>
  <si>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</si>
  <si>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</si>
  <si>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</si>
  <si>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</si>
  <si>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</si>
  <si>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</si>
  <si>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</si>
  <si>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</si>
  <si>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</si>
  <si>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</si>
  <si>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</si>
  <si>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</si>
  <si>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</si>
  <si>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</si>
  <si>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</si>
  <si>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</si>
  <si>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</si>
  <si>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</si>
  <si>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</si>
  <si>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</si>
  <si>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</si>
  <si>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</si>
  <si>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</si>
  <si>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</si>
  <si>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</si>
  <si>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</si>
  <si>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</si>
  <si>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</si>
  <si>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</si>
  <si>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</si>
  <si>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</si>
  <si>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</si>
  <si>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</si>
  <si>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</si>
  <si>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</si>
  <si>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</si>
  <si>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</si>
  <si>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</si>
  <si>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</si>
  <si>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</si>
  <si>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</si>
  <si>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</si>
  <si>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</si>
  <si>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</si>
  <si>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</si>
  <si>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</si>
  <si>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</si>
  <si>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</si>
  <si>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</si>
  <si>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</si>
  <si>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</si>
  <si>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</si>
  <si>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</si>
  <si>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</si>
  <si>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</si>
  <si>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</si>
  <si>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</si>
  <si>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</si>
  <si>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</si>
  <si>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</si>
  <si>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</si>
  <si>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</si>
  <si>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</si>
  <si>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</si>
  <si>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</si>
  <si>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</si>
  <si>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</si>
  <si>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</si>
  <si>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</si>
  <si>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</si>
  <si>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</si>
  <si>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</si>
  <si>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</si>
  <si>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</si>
  <si>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</si>
  <si>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</si>
  <si>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</si>
  <si>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</si>
  <si>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</si>
  <si>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</si>
  <si>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</si>
  <si>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</si>
  <si>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</si>
  <si>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</si>
  <si>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</si>
  <si>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</si>
  <si>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</si>
  <si>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</si>
  <si>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</si>
  <si>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</si>
  <si>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</si>
  <si>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</si>
  <si>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</si>
  <si>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</si>
  <si>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</si>
  <si>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</si>
  <si>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</si>
  <si>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</si>
  <si>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</si>
  <si>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</si>
  <si>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</si>
  <si>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</si>
  <si>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</si>
  <si>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</si>
  <si>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</si>
  <si>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</si>
  <si>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</si>
  <si>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</si>
  <si>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</si>
  <si>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</si>
  <si>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</si>
  <si>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</si>
  <si>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</si>
  <si>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</si>
  <si>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</si>
  <si>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</si>
  <si>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</si>
  <si>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</si>
  <si>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</si>
  <si>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</si>
  <si>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</si>
  <si>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</si>
  <si>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</si>
  <si>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</si>
  <si>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</si>
  <si>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</si>
  <si>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</si>
  <si>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</si>
  <si>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</si>
  <si>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</si>
  <si>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</si>
  <si>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</si>
  <si>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</si>
  <si>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</si>
  <si>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</si>
  <si>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</si>
  <si>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</si>
  <si>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</si>
  <si>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</si>
  <si>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</si>
  <si>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</si>
  <si>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</si>
  <si>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</si>
  <si>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</si>
  <si>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</si>
  <si>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</si>
  <si>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</si>
  <si>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</si>
  <si>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</si>
  <si>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</si>
  <si>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</si>
  <si>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</si>
  <si>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</si>
  <si>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</si>
  <si>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</si>
  <si>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</si>
  <si>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</si>
  <si>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</si>
  <si>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</si>
  <si>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</si>
  <si>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</si>
  <si>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</si>
  <si>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</si>
  <si>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</si>
  <si>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</si>
  <si>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</si>
  <si>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</si>
  <si>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</si>
  <si>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</si>
  <si>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</si>
  <si>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</si>
  <si>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</si>
  <si>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</si>
  <si>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</si>
  <si>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</si>
  <si>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</si>
  <si>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</si>
  <si>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</si>
  <si>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</si>
  <si>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</si>
  <si>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</si>
  <si>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</si>
  <si>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</si>
  <si>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</si>
  <si>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</si>
  <si>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</si>
  <si>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</si>
  <si>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</si>
  <si>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</si>
  <si>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</si>
  <si>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</si>
  <si>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</si>
  <si>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</si>
  <si>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</si>
  <si>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</si>
  <si>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</si>
  <si>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</si>
  <si>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</si>
  <si>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</si>
  <si>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</si>
  <si>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</si>
  <si>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</si>
  <si>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</si>
  <si>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</si>
  <si>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</si>
  <si>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</si>
  <si>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</si>
  <si>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</si>
  <si>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</si>
  <si>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</si>
  <si>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</si>
  <si>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</si>
  <si>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</si>
  <si>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</si>
  <si>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</si>
  <si>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</si>
  <si>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</si>
  <si>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</si>
  <si>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</si>
  <si>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</si>
  <si>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</si>
  <si>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</si>
  <si>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</si>
  <si>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</si>
  <si>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</si>
  <si>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</si>
  <si>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</si>
  <si>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</si>
  <si>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</si>
  <si>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</si>
  <si>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</si>
  <si>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</si>
  <si>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</si>
  <si>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</si>
  <si>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</si>
  <si>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</si>
  <si>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</si>
  <si>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</si>
  <si>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</si>
  <si>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</si>
  <si>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</si>
  <si>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</si>
  <si>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</si>
  <si>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</si>
  <si>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</si>
  <si>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</si>
  <si>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</si>
  <si>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</si>
  <si>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</si>
  <si>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</si>
  <si>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</si>
  <si>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</si>
  <si>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</si>
  <si>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</si>
  <si>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</si>
  <si>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</si>
  <si>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</si>
  <si>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</si>
  <si>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</si>
  <si>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</si>
  <si>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</si>
  <si>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</si>
  <si>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</si>
  <si>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</si>
  <si>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</si>
  <si>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</si>
  <si>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</si>
  <si>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</si>
  <si>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</si>
  <si>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</si>
  <si>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</si>
  <si>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</si>
  <si>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</si>
  <si>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</si>
  <si>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</si>
  <si>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</si>
  <si>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</si>
  <si>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</si>
  <si>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</si>
  <si>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</si>
  <si>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</si>
  <si>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</si>
  <si>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</si>
  <si>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</si>
  <si>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</si>
  <si>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</si>
  <si>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</si>
  <si>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</si>
  <si>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</si>
  <si>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</si>
  <si>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</si>
  <si>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</si>
  <si>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</si>
  <si>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</si>
  <si>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</si>
  <si>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</si>
  <si>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</si>
  <si>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</si>
  <si>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</si>
  <si>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</si>
  <si>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</si>
  <si>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</si>
  <si>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</si>
  <si>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</si>
  <si>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</si>
  <si>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</si>
  <si>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</si>
  <si>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</si>
  <si>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</si>
  <si>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</si>
  <si>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</si>
  <si>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</si>
  <si>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</si>
  <si>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</si>
  <si>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</si>
  <si>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</si>
  <si>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</si>
  <si>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</si>
  <si>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</si>
  <si>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</si>
  <si>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</si>
  <si>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</si>
  <si>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</si>
  <si>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</si>
  <si>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</si>
  <si>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</si>
  <si>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</si>
  <si>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</si>
  <si>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</si>
  <si>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</si>
  <si>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</si>
  <si>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</si>
  <si>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</si>
  <si>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</si>
  <si>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</si>
  <si>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</si>
  <si>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</si>
  <si>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</si>
  <si>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</si>
  <si>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</si>
  <si>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</si>
  <si>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</si>
  <si>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</si>
  <si>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</si>
  <si>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</si>
  <si>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</si>
  <si>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</si>
  <si>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</si>
  <si>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</si>
  <si>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</si>
  <si>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</si>
  <si>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</si>
  <si>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</si>
  <si>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</si>
  <si>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</si>
  <si>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</si>
  <si>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</si>
  <si>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</si>
  <si>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</si>
  <si>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</si>
  <si>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</si>
  <si>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</si>
  <si>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</si>
  <si>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</si>
  <si>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</si>
  <si>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</si>
  <si>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</si>
  <si>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</si>
  <si>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</si>
  <si>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</si>
  <si>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</si>
  <si>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</si>
  <si>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</si>
  <si>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</si>
  <si>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</si>
  <si>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</si>
  <si>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</si>
  <si>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</si>
  <si>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</si>
  <si>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</si>
  <si>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</si>
  <si>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</si>
  <si>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</si>
  <si>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</si>
  <si>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</si>
  <si>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</si>
  <si>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</si>
  <si>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</si>
  <si>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</si>
  <si>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</si>
  <si>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</si>
  <si>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</si>
  <si>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</si>
  <si>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</si>
  <si>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</si>
  <si>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</si>
  <si>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</si>
  <si>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</si>
  <si>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</si>
  <si>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</si>
  <si>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</si>
  <si>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</si>
  <si>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</si>
  <si>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</si>
  <si>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</si>
  <si>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</si>
  <si>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</si>
  <si>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</si>
  <si>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</si>
  <si>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</si>
  <si>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</si>
  <si>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</si>
  <si>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</si>
  <si>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</si>
  <si>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</si>
  <si>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</si>
  <si>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</si>
  <si>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</si>
  <si>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</si>
  <si>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</si>
  <si>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</si>
  <si>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</si>
  <si>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</si>
  <si>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</si>
  <si>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</si>
  <si>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</si>
  <si>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</si>
  <si>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</si>
  <si>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</si>
  <si>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</si>
  <si>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</si>
  <si>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</si>
  <si>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</si>
  <si>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</si>
  <si>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</si>
  <si>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</si>
  <si>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</si>
  <si>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</si>
  <si>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</si>
  <si>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</si>
  <si>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</si>
  <si>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</si>
  <si>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</si>
  <si>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</si>
  <si>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</si>
  <si>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</si>
  <si>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</si>
  <si>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</si>
  <si>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</si>
  <si>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</si>
  <si>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</si>
  <si>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</si>
  <si>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</si>
  <si>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</si>
  <si>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</si>
  <si>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</si>
  <si>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</si>
  <si>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</si>
  <si>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</si>
  <si>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</si>
  <si>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</si>
  <si>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</si>
  <si>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</si>
  <si>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</si>
  <si>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</si>
  <si>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</si>
  <si>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</si>
  <si>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</si>
  <si>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</si>
  <si>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</si>
  <si>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</si>
  <si>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</si>
  <si>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</si>
  <si>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</si>
  <si>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</si>
  <si>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</si>
  <si>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</si>
  <si>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</si>
  <si>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</si>
  <si>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</si>
  <si>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</si>
  <si>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</si>
  <si>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</si>
  <si>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</si>
  <si>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</si>
  <si>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</si>
  <si>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</si>
  <si>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</si>
  <si>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</si>
  <si>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</si>
  <si>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</si>
  <si>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</si>
  <si>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</si>
  <si>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</si>
  <si>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</si>
  <si>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</si>
  <si>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</si>
  <si>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</si>
  <si>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</si>
  <si>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</si>
  <si>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</si>
  <si>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</si>
  <si>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</si>
  <si>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</si>
  <si>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</si>
  <si>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</si>
  <si>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</si>
  <si>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</si>
  <si>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</si>
  <si>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</si>
  <si>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</si>
  <si>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</si>
  <si>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</si>
  <si>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</si>
  <si>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</si>
  <si>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</si>
  <si>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</si>
  <si>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</si>
  <si>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</si>
  <si>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</si>
  <si>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</si>
  <si>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</si>
  <si>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</si>
  <si>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</si>
  <si>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</si>
  <si>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</si>
  <si>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</si>
  <si>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</si>
  <si>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</si>
  <si>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</si>
  <si>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</si>
  <si>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</si>
  <si>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</si>
  <si>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</si>
  <si>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</si>
  <si>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</si>
  <si>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</si>
  <si>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</si>
  <si>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</si>
  <si>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</si>
  <si>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</si>
  <si>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</si>
  <si>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</si>
  <si>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</si>
  <si>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</si>
  <si>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</si>
  <si>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</si>
  <si>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</si>
  <si>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</si>
  <si>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</si>
  <si>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</si>
  <si>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</si>
  <si>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</si>
  <si>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</si>
  <si>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</si>
  <si>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</si>
  <si>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</si>
  <si>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</si>
  <si>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</si>
  <si>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</si>
  <si>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</si>
  <si>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</si>
  <si>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</si>
  <si>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</si>
  <si>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</si>
  <si>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</si>
  <si>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</si>
  <si>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</si>
  <si>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</si>
  <si>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</si>
  <si>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</si>
  <si>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</si>
  <si>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</si>
  <si>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</si>
  <si>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</si>
  <si>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</si>
  <si>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</si>
  <si>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</si>
  <si>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</si>
  <si>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</si>
  <si>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</si>
  <si>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</si>
  <si>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</si>
  <si>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</si>
  <si>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</si>
  <si>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</si>
  <si>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</si>
  <si>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</si>
  <si>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</si>
  <si>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</si>
  <si>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</si>
  <si>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</si>
  <si>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</si>
  <si>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</si>
  <si>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</si>
  <si>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</si>
  <si>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</si>
  <si>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</si>
  <si>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</si>
  <si>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</si>
  <si>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</si>
  <si>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</si>
  <si>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</si>
  <si>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</si>
  <si>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</si>
  <si>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</si>
  <si>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</si>
  <si>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</si>
  <si>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</si>
  <si>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</si>
  <si>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</si>
  <si>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</si>
  <si>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</si>
  <si>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</si>
  <si>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</si>
  <si>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</si>
  <si>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</si>
  <si>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</si>
  <si>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</si>
  <si>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</si>
  <si>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</si>
  <si>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</si>
  <si>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</si>
  <si>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</si>
  <si>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</si>
  <si>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</si>
  <si>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</si>
  <si>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</si>
  <si>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</si>
  <si>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</si>
  <si>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</si>
  <si>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</si>
  <si>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</si>
  <si>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</si>
  <si>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</si>
  <si>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</si>
  <si>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</si>
  <si>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</si>
  <si>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</si>
  <si>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</si>
  <si>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</si>
  <si>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</si>
  <si>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</si>
  <si>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</si>
  <si>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</si>
  <si>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</si>
  <si>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</si>
  <si>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</si>
  <si>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</si>
  <si>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</si>
  <si>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</si>
  <si>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</si>
  <si>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</si>
  <si>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</si>
  <si>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</si>
  <si>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</si>
  <si>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</si>
  <si>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</si>
  <si>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</si>
  <si>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</si>
  <si>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</si>
  <si>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</si>
  <si>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</si>
  <si>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</si>
  <si>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</si>
  <si>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</si>
  <si>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</si>
  <si>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</si>
  <si>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</si>
  <si>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</si>
  <si>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</si>
  <si>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</si>
  <si>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</si>
  <si>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</si>
  <si>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</si>
  <si>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</si>
  <si>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</si>
  <si>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</si>
  <si>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</si>
  <si>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</si>
  <si>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</si>
  <si>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</si>
  <si>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</si>
  <si>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</si>
  <si>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</si>
  <si>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</si>
  <si>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</si>
  <si>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</si>
  <si>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</si>
  <si>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</si>
  <si>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</si>
  <si>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</si>
  <si>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</si>
  <si>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</si>
  <si>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</si>
  <si>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</si>
  <si>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</si>
  <si>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</si>
  <si>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</si>
  <si>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</si>
  <si>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</si>
  <si>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</si>
  <si>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</si>
  <si>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</si>
  <si>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</si>
  <si>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</si>
  <si>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</si>
  <si>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</si>
  <si>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</si>
  <si>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</si>
  <si>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</si>
  <si>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</si>
  <si>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</si>
  <si>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</si>
  <si>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</si>
  <si>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</si>
  <si>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</si>
  <si>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</si>
  <si>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</si>
  <si>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</si>
  <si>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</si>
  <si>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</si>
  <si>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</si>
  <si>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</si>
  <si>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</si>
  <si>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</si>
  <si>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</si>
  <si>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</si>
  <si>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</si>
  <si>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</si>
  <si>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</si>
  <si>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</si>
  <si>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</si>
  <si>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</si>
  <si>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</si>
  <si>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</si>
  <si>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</si>
  <si>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</si>
  <si>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</si>
  <si>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</si>
  <si>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</si>
  <si>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</si>
  <si>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</si>
  <si>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</si>
  <si>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</si>
  <si>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</si>
  <si>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</si>
  <si>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</si>
  <si>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</si>
  <si>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</si>
  <si>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</si>
  <si>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</si>
  <si>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</si>
  <si>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</si>
  <si>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</si>
  <si>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</si>
  <si>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</si>
  <si>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</si>
  <si>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</si>
  <si>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</si>
  <si>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</si>
  <si>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</si>
  <si>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</si>
  <si>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</si>
  <si>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</si>
  <si>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Caique Dutra Brito; Douglas Vieira Silva Filho; Rafael Nóbrega Campos</t>
  </si>
  <si>
    <t>24/09/2026</t>
  </si>
  <si>
    <t>Ana Cristina Borges Carvalho</t>
  </si>
  <si>
    <t>Ana Cristina Borges Carvalho; Cinthia Thais de Carvalho Luz Thomazi; Fernanda Viana de Souza; Luiz Felipe Tenório de Lima Gondim; Karine Caroline de Oliveira</t>
  </si>
  <si>
    <t>Ana Cristina Borges Carvalho; Cinthia Thais de Carvalho Luz Thomazi; Fernanda Viana de Souza; Luiz Felipe Tenório de Lima Gondim; Yasmin Carla Marchioro Silverio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</si>
</sst>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24</c:v>
                </c:pt>
                <c:pt idx="1">
                  <c:v>26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1026</c:v>
                </c:pt>
                <c:pt idx="1">
                  <c:v>1618</c:v>
                </c:pt>
                <c:pt idx="2">
                  <c:v>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7</c:v>
                </c:pt>
                <c:pt idx="5">
                  <c:v>12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722" activePane="bottomLeft" state="frozen"/>
      <selection pane="bottomLeft" activeCell="E744" sqref="E744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x14ac:dyDescent="0.2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x14ac:dyDescent="0.2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x14ac:dyDescent="0.25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x14ac:dyDescent="0.25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x14ac:dyDescent="0.25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22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>
        <v>5</v>
      </c>
      <c r="P663" s="125">
        <v>46</v>
      </c>
      <c r="Q663" s="125">
        <v>34</v>
      </c>
      <c r="R663" s="125">
        <f>SUM(O663:Q663)</f>
        <v>85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x14ac:dyDescent="0.2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x14ac:dyDescent="0.2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 x14ac:dyDescent="0.2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 x14ac:dyDescent="0.2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 x14ac:dyDescent="0.2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 x14ac:dyDescent="0.2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 x14ac:dyDescent="0.2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 x14ac:dyDescent="0.2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 x14ac:dyDescent="0.2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 x14ac:dyDescent="0.2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 x14ac:dyDescent="0.25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 x14ac:dyDescent="0.2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 t="s">
        <v>3256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 t="s">
        <v>3259</v>
      </c>
    </row>
    <row r="717" spans="1:21" ht="15" x14ac:dyDescent="0.2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 t="s">
        <v>3258</v>
      </c>
    </row>
    <row r="718" spans="1:21" ht="15" x14ac:dyDescent="0.2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x14ac:dyDescent="0.2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 x14ac:dyDescent="0.2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 x14ac:dyDescent="0.2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 x14ac:dyDescent="0.2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2970</v>
      </c>
      <c r="B726" s="154">
        <v>2026</v>
      </c>
      <c r="C726" s="154" t="s">
        <v>2710</v>
      </c>
      <c r="D726" s="154" t="s">
        <v>2971</v>
      </c>
      <c r="E726" s="159" t="s">
        <v>2972</v>
      </c>
      <c r="F726" s="170" t="s">
        <v>88</v>
      </c>
      <c r="G726" s="155" t="s">
        <v>2717</v>
      </c>
      <c r="H726" s="156" t="s">
        <v>2973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3255</v>
      </c>
    </row>
    <row r="727" spans="1:20" ht="15" x14ac:dyDescent="0.25">
      <c r="A727" s="156" t="s">
        <v>2974</v>
      </c>
      <c r="B727" s="154">
        <v>2026</v>
      </c>
      <c r="C727" s="154" t="s">
        <v>2710</v>
      </c>
      <c r="D727" s="154" t="s">
        <v>2960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2976</v>
      </c>
      <c r="B728" s="154">
        <v>2026</v>
      </c>
      <c r="C728" s="154" t="s">
        <v>22</v>
      </c>
      <c r="D728" s="154" t="s">
        <v>2960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x14ac:dyDescent="0.25">
      <c r="A729" s="156" t="s">
        <v>2979</v>
      </c>
      <c r="B729" s="154">
        <v>2026</v>
      </c>
      <c r="C729" s="154" t="s">
        <v>2710</v>
      </c>
      <c r="D729" s="154" t="s">
        <v>2960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x14ac:dyDescent="0.25">
      <c r="A730" s="156" t="s">
        <v>2981</v>
      </c>
      <c r="B730" s="154">
        <v>2026</v>
      </c>
      <c r="C730" s="154" t="s">
        <v>2710</v>
      </c>
      <c r="D730" s="154" t="s">
        <v>2960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x14ac:dyDescent="0.25">
      <c r="A731" s="156" t="s">
        <v>2983</v>
      </c>
      <c r="B731" s="154">
        <v>2026</v>
      </c>
      <c r="C731" s="154" t="s">
        <v>2710</v>
      </c>
      <c r="D731" s="154" t="s">
        <v>2960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x14ac:dyDescent="0.2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x14ac:dyDescent="0.2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x14ac:dyDescent="0.2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2998</v>
      </c>
    </row>
    <row r="736" spans="1:20" ht="15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2693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3009</v>
      </c>
    </row>
    <row r="739" spans="1:20" ht="15" x14ac:dyDescent="0.2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x14ac:dyDescent="0.2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3018</v>
      </c>
      <c r="B741" s="154">
        <v>2026</v>
      </c>
      <c r="C741" s="154" t="s">
        <v>2696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 x14ac:dyDescent="0.2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x14ac:dyDescent="0.25">
      <c r="A743" s="156" t="s">
        <v>3025</v>
      </c>
      <c r="B743" s="154">
        <v>2026</v>
      </c>
      <c r="C743" s="154" t="s">
        <v>22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2998</v>
      </c>
    </row>
    <row r="744" spans="1:20" ht="15" x14ac:dyDescent="0.2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x14ac:dyDescent="0.2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x14ac:dyDescent="0.25">
      <c r="A746" s="156" t="s">
        <v>3036</v>
      </c>
      <c r="B746" s="154">
        <v>2026</v>
      </c>
      <c r="C746" s="154" t="s">
        <v>2789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3040</v>
      </c>
    </row>
    <row r="747" spans="1:20" ht="15" x14ac:dyDescent="0.25">
      <c r="A747" s="156" t="s">
        <v>3041</v>
      </c>
      <c r="B747" s="154">
        <v>2026</v>
      </c>
      <c r="C747" s="154" t="s">
        <v>22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x14ac:dyDescent="0.25">
      <c r="A748" s="156" t="s">
        <v>3045</v>
      </c>
      <c r="B748" s="154">
        <v>2026</v>
      </c>
      <c r="C748" s="154" t="s">
        <v>2710</v>
      </c>
      <c r="D748" s="154" t="s">
        <v>3046</v>
      </c>
      <c r="E748" s="159" t="s">
        <v>3047</v>
      </c>
      <c r="F748" s="170" t="s">
        <v>69</v>
      </c>
      <c r="G748" s="155" t="s">
        <v>79</v>
      </c>
      <c r="H748" s="156" t="s">
        <v>3048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x14ac:dyDescent="0.25">
      <c r="A749" s="156" t="s">
        <v>3049</v>
      </c>
      <c r="B749" s="154">
        <v>2026</v>
      </c>
      <c r="C749" s="154" t="s">
        <v>2710</v>
      </c>
      <c r="D749" s="154" t="s">
        <v>3050</v>
      </c>
      <c r="E749" s="166" t="s">
        <v>3051</v>
      </c>
      <c r="F749" s="170" t="s">
        <v>24</v>
      </c>
      <c r="G749" s="155" t="s">
        <v>25</v>
      </c>
      <c r="H749" s="156" t="s">
        <v>3052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3053</v>
      </c>
    </row>
    <row r="750" spans="1:20" ht="15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3054</v>
      </c>
      <c r="H1" s="168" t="s">
        <v>3055</v>
      </c>
    </row>
    <row r="2" spans="1:8" x14ac:dyDescent="0.25">
      <c r="H2" s="167" t="s">
        <v>3056</v>
      </c>
    </row>
    <row r="3" spans="1:8" x14ac:dyDescent="0.25">
      <c r="A3" t="s">
        <v>0</v>
      </c>
      <c r="B3" t="s">
        <v>19</v>
      </c>
      <c r="C3" t="s">
        <v>3057</v>
      </c>
      <c r="D3" t="s">
        <v>3058</v>
      </c>
      <c r="E3" t="s">
        <v>3059</v>
      </c>
      <c r="H3" s="167" t="s">
        <v>3060</v>
      </c>
    </row>
    <row r="4" spans="1:8" x14ac:dyDescent="0.25">
      <c r="A4">
        <v>1</v>
      </c>
      <c r="B4" t="s">
        <v>3061</v>
      </c>
      <c r="D4" t="s">
        <v>3062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3063</v>
      </c>
    </row>
    <row r="5" spans="1:8" x14ac:dyDescent="0.25">
      <c r="A5">
        <v>2</v>
      </c>
      <c r="B5" t="s">
        <v>2507</v>
      </c>
      <c r="D5" t="s">
        <v>3062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3064</v>
      </c>
    </row>
    <row r="6" spans="1:8" x14ac:dyDescent="0.25">
      <c r="A6">
        <v>3</v>
      </c>
      <c r="B6" t="s">
        <v>1030</v>
      </c>
      <c r="D6" t="s">
        <v>3062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3065</v>
      </c>
      <c r="D7" t="s">
        <v>3062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3066</v>
      </c>
    </row>
    <row r="8" spans="1:8" x14ac:dyDescent="0.25">
      <c r="A8">
        <v>5</v>
      </c>
      <c r="B8" t="s">
        <v>3067</v>
      </c>
      <c r="D8" t="s">
        <v>3062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3062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3062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3062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3062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3062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3062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3062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3062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3062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3062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3062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3062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3062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3062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3068</v>
      </c>
      <c r="D23" t="s">
        <v>3062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3062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3069</v>
      </c>
      <c r="D25" t="s">
        <v>3062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3070</v>
      </c>
      <c r="D26" t="s">
        <v>3062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3062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3062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3071</v>
      </c>
      <c r="D29" t="s">
        <v>3062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3062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3062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3062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3072</v>
      </c>
      <c r="D33" t="s">
        <v>3062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3073</v>
      </c>
      <c r="D34" t="s">
        <v>3062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3062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3062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3062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3074</v>
      </c>
      <c r="D38" t="s">
        <v>3062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3075</v>
      </c>
      <c r="D39" t="s">
        <v>3062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3062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3076</v>
      </c>
      <c r="D41" t="s">
        <v>3062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3062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3062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3077</v>
      </c>
      <c r="D44" t="s">
        <v>3062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3062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3062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3062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3062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3078</v>
      </c>
      <c r="D49" t="s">
        <v>3062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3062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3079</v>
      </c>
      <c r="D51" t="s">
        <v>3062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3062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3062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3080</v>
      </c>
      <c r="D54" t="s">
        <v>3062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3062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3062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3062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3081</v>
      </c>
      <c r="D58" t="s">
        <v>3062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3062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3062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3082</v>
      </c>
      <c r="D61" t="s">
        <v>3062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3083</v>
      </c>
      <c r="D62" t="s">
        <v>3062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3084</v>
      </c>
      <c r="D63" t="s">
        <v>3062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3085</v>
      </c>
      <c r="D64" t="s">
        <v>3062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3062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3062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3086</v>
      </c>
      <c r="D67" t="s">
        <v>3062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3087</v>
      </c>
      <c r="D68" t="s">
        <v>3062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3062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3088</v>
      </c>
      <c r="D70" t="s">
        <v>3062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3062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3062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3062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3089</v>
      </c>
      <c r="D74" t="s">
        <v>3062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3062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3062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3062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3062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3090</v>
      </c>
      <c r="D79" t="s">
        <v>3062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3091</v>
      </c>
      <c r="D80" t="s">
        <v>3062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3092</v>
      </c>
      <c r="D81" t="s">
        <v>3062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3093</v>
      </c>
      <c r="D82" t="s">
        <v>3062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3062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3094</v>
      </c>
      <c r="D84" t="s">
        <v>3062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3062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3095</v>
      </c>
      <c r="D86" t="s">
        <v>3062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3096</v>
      </c>
      <c r="D87" t="s">
        <v>3062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3097</v>
      </c>
      <c r="D88" t="s">
        <v>3062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3098</v>
      </c>
      <c r="D89" t="s">
        <v>3062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3099</v>
      </c>
      <c r="D90" t="s">
        <v>3062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3100</v>
      </c>
      <c r="D91" t="s">
        <v>3062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3101</v>
      </c>
      <c r="D92" t="s">
        <v>3062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3102</v>
      </c>
      <c r="D93" t="s">
        <v>3062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3103</v>
      </c>
      <c r="D94" t="s">
        <v>3062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2919</v>
      </c>
      <c r="D95" t="s">
        <v>3062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3104</v>
      </c>
      <c r="D96" t="s">
        <v>3062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2911</v>
      </c>
      <c r="D97" t="s">
        <v>3062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3105</v>
      </c>
      <c r="D98" t="s">
        <v>3062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3106</v>
      </c>
      <c r="D99" t="s">
        <v>3062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3107</v>
      </c>
      <c r="D100" t="s">
        <v>3062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3108</v>
      </c>
      <c r="D101" t="s">
        <v>3062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3062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3109</v>
      </c>
      <c r="D103" t="s">
        <v>3062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3110</v>
      </c>
      <c r="D104" t="s">
        <v>3062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3111</v>
      </c>
      <c r="D105" t="s">
        <v>3062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2865</v>
      </c>
      <c r="D106" t="s">
        <v>3062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2870</v>
      </c>
      <c r="D107" t="s">
        <v>3062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3112</v>
      </c>
      <c r="D108" t="s">
        <v>3062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3113</v>
      </c>
      <c r="D109" t="s">
        <v>3062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B110" t="s">
        <v>3114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3115</v>
      </c>
      <c r="D111" t="s">
        <v>3062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3116</v>
      </c>
      <c r="D112" t="s">
        <v>3062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3257</v>
      </c>
      <c r="E113" s="169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3117</v>
      </c>
      <c r="C1" s="18" t="s">
        <v>3118</v>
      </c>
      <c r="D1" s="18" t="s">
        <v>4</v>
      </c>
      <c r="E1" s="18" t="s">
        <v>3119</v>
      </c>
      <c r="F1" s="18" t="s">
        <v>19</v>
      </c>
      <c r="G1" s="18" t="s">
        <v>3120</v>
      </c>
      <c r="H1" s="18" t="s">
        <v>3121</v>
      </c>
      <c r="I1" s="18" t="s">
        <v>3122</v>
      </c>
      <c r="J1" s="18" t="s">
        <v>3123</v>
      </c>
      <c r="L1" s="110" t="s">
        <v>3124</v>
      </c>
      <c r="M1" s="22">
        <v>2026</v>
      </c>
      <c r="U1" s="79" t="s">
        <v>3125</v>
      </c>
      <c r="V1" s="78"/>
      <c r="X1" s="77" t="s">
        <v>3126</v>
      </c>
      <c r="Y1" s="26"/>
      <c r="Z1" s="26"/>
      <c r="AA1" s="26"/>
      <c r="AC1" s="99" t="s">
        <v>3127</v>
      </c>
    </row>
    <row r="2" spans="1:31" x14ac:dyDescent="0.25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3128</v>
      </c>
      <c r="M2" s="106" t="s">
        <v>2927</v>
      </c>
      <c r="X2" s="112" t="s">
        <v>3117</v>
      </c>
      <c r="Y2" s="112" t="s">
        <v>19</v>
      </c>
      <c r="Z2" s="112" t="s">
        <v>3129</v>
      </c>
      <c r="AA2" s="112" t="s">
        <v>3130</v>
      </c>
      <c r="AC2" s="113" t="s">
        <v>1</v>
      </c>
      <c r="AD2" s="113" t="s">
        <v>3131</v>
      </c>
      <c r="AE2" s="113" t="s">
        <v>3132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3133</v>
      </c>
      <c r="M3" s="111" t="s">
        <v>3134</v>
      </c>
      <c r="N3" s="111" t="s">
        <v>3135</v>
      </c>
      <c r="O3" s="111" t="s">
        <v>3136</v>
      </c>
      <c r="P3" s="111" t="s">
        <v>3137</v>
      </c>
      <c r="Q3" s="111" t="s">
        <v>3138</v>
      </c>
      <c r="R3" s="111" t="s">
        <v>3139</v>
      </c>
      <c r="S3" s="111" t="s">
        <v>3140</v>
      </c>
      <c r="T3" s="111" t="s">
        <v>3141</v>
      </c>
      <c r="X3" t="s">
        <v>2835</v>
      </c>
      <c r="Y3" t="s">
        <v>3075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3142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3075</v>
      </c>
      <c r="Z6">
        <v>1</v>
      </c>
      <c r="AA6">
        <v>0</v>
      </c>
      <c r="AC6" s="96">
        <v>2026</v>
      </c>
      <c r="AD6" s="17" t="s">
        <v>3143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3069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3087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3069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3087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3069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3087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3075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3075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3110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3106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3088</v>
      </c>
      <c r="Z33">
        <v>4</v>
      </c>
      <c r="AA33">
        <v>0.6</v>
      </c>
      <c r="AC33" s="98"/>
      <c r="AD33" s="114" t="s">
        <v>3144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3089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3080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3096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3108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2685</v>
      </c>
      <c r="Y48" t="s">
        <v>3107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2685</v>
      </c>
      <c r="Y49" t="s">
        <v>3104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2685</v>
      </c>
      <c r="Y51" t="s">
        <v>3145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2685</v>
      </c>
      <c r="Y53" t="s">
        <v>3111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2685</v>
      </c>
      <c r="Y54" t="s">
        <v>3109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2783</v>
      </c>
      <c r="Y55" t="s">
        <v>3096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2748</v>
      </c>
      <c r="Y58" s="109" t="s">
        <v>3103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2748</v>
      </c>
      <c r="Y59" t="s">
        <v>3102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2748</v>
      </c>
      <c r="Y60" t="s">
        <v>3101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2701</v>
      </c>
      <c r="Y64" t="s">
        <v>3093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Em andamento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2959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2959</v>
      </c>
      <c r="Y68" t="s">
        <v>3091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A realizar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 realizar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154</v>
      </c>
      <c r="T70">
        <f ca="1"/>
        <v>152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2822</v>
      </c>
      <c r="Y71" s="17" t="s">
        <v>3075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3080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3081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3081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3081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3146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3146</v>
      </c>
      <c r="Y87" t="s">
        <v>3093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3146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3045</v>
      </c>
      <c r="Y89" t="s">
        <v>3080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3049</v>
      </c>
      <c r="Y90" t="s">
        <v>3114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A realizar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A realizar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A realizar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A realizar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A realizar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A realizar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A realizar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A realizar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A realizar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A realizar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A realizar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A realizar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Em andamento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Em andamento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A realizar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A realizar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2026-093</v>
      </c>
      <c r="C154" t="str">
        <f ca="1"/>
        <v>A realizar</v>
      </c>
      <c r="D154" t="str">
        <f ca="1"/>
        <v>Controle Tecnológico de Pavimentos Asfálticos, Auditoria e Análise de Superfaturamento</v>
      </c>
      <c r="E154">
        <f ca="1"/>
        <v>12</v>
      </c>
      <c r="F154" t="str">
        <f ca="1"/>
        <v>Marcelo Silva Santana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2026-093</v>
      </c>
      <c r="C155" t="str">
        <f ca="1"/>
        <v>A realizar</v>
      </c>
      <c r="D155" t="str">
        <f ca="1"/>
        <v>Controle Tecnológico de Pavimentos Asfálticos, Auditoria e Análise de Superfaturamento</v>
      </c>
      <c r="E155">
        <f ca="1"/>
        <v>12</v>
      </c>
      <c r="F155" t="str">
        <f ca="1"/>
        <v>Matheus Viana de Souza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3147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3148</v>
      </c>
      <c r="B4" s="216"/>
      <c r="D4" s="217" t="s">
        <v>3149</v>
      </c>
      <c r="E4" s="218"/>
      <c r="G4" s="44" t="s">
        <v>3150</v>
      </c>
    </row>
    <row r="5" spans="1:7" ht="54.95" customHeight="1" thickBot="1" x14ac:dyDescent="0.75">
      <c r="A5" s="34">
        <f>COUNTIF('Ações InCompany'!B:B,2026)</f>
        <v>93</v>
      </c>
      <c r="B5" s="35" t="s">
        <v>3151</v>
      </c>
      <c r="D5" s="42">
        <f>COUNTIFS('Ações InCompany'!B:B,2026,'Ações InCompany'!C:C,"Realizado")</f>
        <v>62</v>
      </c>
      <c r="E5" s="43" t="s">
        <v>3151</v>
      </c>
      <c r="G5" s="45">
        <f>COUNTIFS('Ações InCompany'!B:B,2026,'Ações InCompany'!C:C,"A realizar")</f>
        <v>22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3152</v>
      </c>
      <c r="B8" s="212"/>
      <c r="D8" s="212" t="s">
        <v>3153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3154</v>
      </c>
      <c r="D10" s="27" t="s">
        <v>3155</v>
      </c>
      <c r="E10" s="27" t="s">
        <v>3156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24</v>
      </c>
      <c r="D11" s="28" t="s">
        <v>3157</v>
      </c>
      <c r="E11" s="29">
        <f>SUMIFS('Ações InCompany'!O:O,'Ações InCompany'!B:B,2026,'Ações InCompany'!C:C,"Realizado")</f>
        <v>1026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3158</v>
      </c>
      <c r="E12" s="31">
        <f>SUMIFS('Ações InCompany'!P:P,'Ações InCompany'!B:B,2026,'Ações InCompany'!C:C,"Realizado")</f>
        <v>1618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12</v>
      </c>
      <c r="D13" s="28" t="s">
        <v>3159</v>
      </c>
      <c r="E13" s="29">
        <f>SUMIFS('Ações InCompany'!Q:Q,'Ações InCompany'!B:B,2026,'Ações InCompany'!C:C,"Realizado")</f>
        <v>637</v>
      </c>
    </row>
    <row r="14" spans="1:7" ht="27.95" customHeight="1" x14ac:dyDescent="0.3">
      <c r="A14" s="32" t="s">
        <v>3160</v>
      </c>
      <c r="B14" s="33">
        <f>SUM(B11:B13)</f>
        <v>62</v>
      </c>
      <c r="D14" s="32" t="s">
        <v>3161</v>
      </c>
      <c r="E14" s="33">
        <f>SUM(E11:E13)</f>
        <v>3281</v>
      </c>
    </row>
    <row r="30" spans="1:5" ht="17.25" x14ac:dyDescent="0.3">
      <c r="A30" s="212" t="s">
        <v>3162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3163</v>
      </c>
      <c r="C32" s="27" t="s">
        <v>3164</v>
      </c>
      <c r="D32" s="27" t="s">
        <v>3165</v>
      </c>
      <c r="E32" s="27" t="s">
        <v>3166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2</v>
      </c>
      <c r="D35" s="36">
        <f t="shared" si="0"/>
        <v>8</v>
      </c>
      <c r="E35" s="37">
        <f t="shared" si="1"/>
        <v>9.5238095238095233E-2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12</v>
      </c>
      <c r="C38" s="47">
        <f>COUNTIFS('Ações InCompany'!B:B,2026,'Ações InCompany'!C:C,"A realizar",'Ações InCompany'!G:G,A38)</f>
        <v>10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3167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3168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3160</v>
      </c>
      <c r="B45" s="40">
        <f>SUM(B33:B44)</f>
        <v>62</v>
      </c>
      <c r="C45" s="40">
        <f>SUM(C33:C44)</f>
        <v>22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3174</v>
      </c>
      <c r="B2" s="11" t="s">
        <v>3175</v>
      </c>
      <c r="C2" s="11" t="s">
        <v>1736</v>
      </c>
      <c r="D2" s="11" t="s">
        <v>3176</v>
      </c>
      <c r="E2" s="11" t="s">
        <v>3177</v>
      </c>
    </row>
    <row r="3" spans="1:5" ht="18" customHeight="1" x14ac:dyDescent="0.25">
      <c r="A3" s="11" t="s">
        <v>3174</v>
      </c>
      <c r="B3" s="11" t="s">
        <v>3175</v>
      </c>
      <c r="C3" s="13" t="s">
        <v>25</v>
      </c>
      <c r="D3" s="11" t="s">
        <v>3178</v>
      </c>
      <c r="E3" s="11" t="s">
        <v>3179</v>
      </c>
    </row>
    <row r="4" spans="1:5" ht="18" customHeight="1" x14ac:dyDescent="0.25">
      <c r="A4" s="11" t="s">
        <v>3174</v>
      </c>
      <c r="B4" s="11" t="s">
        <v>3175</v>
      </c>
      <c r="C4" s="11" t="s">
        <v>75</v>
      </c>
      <c r="D4" s="11" t="s">
        <v>3176</v>
      </c>
      <c r="E4" s="11" t="s">
        <v>3180</v>
      </c>
    </row>
    <row r="5" spans="1:5" ht="18" customHeight="1" x14ac:dyDescent="0.25">
      <c r="A5" s="11" t="s">
        <v>3174</v>
      </c>
      <c r="B5" s="11" t="s">
        <v>3175</v>
      </c>
      <c r="C5" s="11" t="s">
        <v>79</v>
      </c>
      <c r="D5" s="11" t="s">
        <v>3181</v>
      </c>
      <c r="E5" s="11" t="s">
        <v>3182</v>
      </c>
    </row>
    <row r="6" spans="1:5" ht="18" customHeight="1" x14ac:dyDescent="0.25">
      <c r="A6" s="11" t="s">
        <v>3174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3174</v>
      </c>
      <c r="B7" s="11" t="s">
        <v>3185</v>
      </c>
      <c r="C7" s="11" t="s">
        <v>36</v>
      </c>
      <c r="D7" s="11" t="s">
        <v>3186</v>
      </c>
      <c r="E7" s="11" t="s">
        <v>3187</v>
      </c>
    </row>
    <row r="8" spans="1:5" ht="18" customHeight="1" x14ac:dyDescent="0.25">
      <c r="A8" s="11" t="s">
        <v>3174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3174</v>
      </c>
      <c r="B9" s="11" t="s">
        <v>3190</v>
      </c>
      <c r="C9" s="11" t="s">
        <v>464</v>
      </c>
      <c r="D9" s="11" t="s">
        <v>3191</v>
      </c>
      <c r="E9" s="11" t="s">
        <v>3192</v>
      </c>
    </row>
    <row r="10" spans="1:5" ht="18" customHeight="1" x14ac:dyDescent="0.25">
      <c r="A10" s="11" t="s">
        <v>3174</v>
      </c>
      <c r="B10" s="11" t="s">
        <v>3190</v>
      </c>
      <c r="C10" s="11" t="s">
        <v>206</v>
      </c>
      <c r="D10" s="11" t="s">
        <v>24</v>
      </c>
      <c r="E10" s="11" t="s">
        <v>3193</v>
      </c>
    </row>
    <row r="11" spans="1:5" ht="18" customHeight="1" x14ac:dyDescent="0.25">
      <c r="A11" s="11" t="s">
        <v>3174</v>
      </c>
      <c r="B11" s="11" t="s">
        <v>3190</v>
      </c>
      <c r="C11" s="11" t="s">
        <v>371</v>
      </c>
      <c r="D11" s="11" t="s">
        <v>24</v>
      </c>
      <c r="E11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3195</v>
      </c>
      <c r="B1" s="5" t="s">
        <v>10</v>
      </c>
      <c r="C1" s="14" t="s">
        <v>3196</v>
      </c>
      <c r="D1" s="14" t="s">
        <v>3118</v>
      </c>
    </row>
    <row r="2" spans="1:4" ht="21" customHeight="1" x14ac:dyDescent="0.25">
      <c r="A2" s="102" t="s">
        <v>24</v>
      </c>
      <c r="B2" s="102" t="s">
        <v>38</v>
      </c>
      <c r="C2" s="11" t="s">
        <v>3197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3198</v>
      </c>
      <c r="D3" s="11" t="s">
        <v>2696</v>
      </c>
    </row>
    <row r="4" spans="1:4" ht="21" customHeight="1" x14ac:dyDescent="0.25">
      <c r="A4" s="13" t="s">
        <v>88</v>
      </c>
      <c r="B4" s="102" t="s">
        <v>227</v>
      </c>
      <c r="D4" s="11" t="s">
        <v>2789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3199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3200</v>
      </c>
      <c r="B2" s="11" t="s">
        <v>3175</v>
      </c>
      <c r="C2" s="13" t="s">
        <v>25</v>
      </c>
      <c r="D2" s="11" t="s">
        <v>3176</v>
      </c>
      <c r="E2" s="16" t="s">
        <v>3201</v>
      </c>
    </row>
    <row r="3" spans="1:5" ht="18" customHeight="1" x14ac:dyDescent="0.25">
      <c r="A3" s="11" t="s">
        <v>3200</v>
      </c>
      <c r="B3" s="11" t="s">
        <v>3175</v>
      </c>
      <c r="C3" s="11" t="s">
        <v>75</v>
      </c>
      <c r="D3" s="11" t="s">
        <v>3178</v>
      </c>
      <c r="E3" s="11" t="s">
        <v>3202</v>
      </c>
    </row>
    <row r="4" spans="1:5" ht="18" customHeight="1" x14ac:dyDescent="0.25">
      <c r="A4" s="11" t="s">
        <v>3200</v>
      </c>
      <c r="B4" s="11" t="s">
        <v>3175</v>
      </c>
      <c r="C4" s="11" t="s">
        <v>79</v>
      </c>
      <c r="D4" s="11" t="s">
        <v>3181</v>
      </c>
      <c r="E4" s="11" t="s">
        <v>3203</v>
      </c>
    </row>
    <row r="5" spans="1:5" ht="27.75" customHeight="1" x14ac:dyDescent="0.25">
      <c r="A5" s="11" t="s">
        <v>3200</v>
      </c>
      <c r="B5" s="11" t="s">
        <v>3175</v>
      </c>
      <c r="C5" s="11" t="s">
        <v>2693</v>
      </c>
      <c r="D5" s="16" t="s">
        <v>3204</v>
      </c>
      <c r="E5" s="11" t="s">
        <v>3205</v>
      </c>
    </row>
    <row r="6" spans="1:5" ht="18" customHeight="1" x14ac:dyDescent="0.25">
      <c r="A6" s="11" t="s">
        <v>3200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3200</v>
      </c>
      <c r="B7" s="11" t="s">
        <v>3185</v>
      </c>
      <c r="C7" s="11" t="s">
        <v>2699</v>
      </c>
      <c r="D7" s="11" t="s">
        <v>3206</v>
      </c>
      <c r="E7" s="11" t="s">
        <v>3207</v>
      </c>
    </row>
    <row r="8" spans="1:5" ht="18" customHeight="1" x14ac:dyDescent="0.25">
      <c r="A8" s="11" t="s">
        <v>3200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3200</v>
      </c>
      <c r="B9" s="11" t="s">
        <v>3185</v>
      </c>
      <c r="C9" s="11" t="s">
        <v>2792</v>
      </c>
      <c r="D9" s="11" t="s">
        <v>3208</v>
      </c>
      <c r="E9" s="16" t="s">
        <v>3209</v>
      </c>
    </row>
    <row r="10" spans="1:5" ht="18" customHeight="1" x14ac:dyDescent="0.25">
      <c r="A10" s="11" t="s">
        <v>3200</v>
      </c>
      <c r="B10" s="11" t="s">
        <v>3210</v>
      </c>
      <c r="C10" s="11" t="s">
        <v>3167</v>
      </c>
      <c r="D10" s="11" t="s">
        <v>3211</v>
      </c>
      <c r="E10" s="16" t="s">
        <v>3212</v>
      </c>
    </row>
    <row r="11" spans="1:5" ht="18" customHeight="1" x14ac:dyDescent="0.25">
      <c r="A11" s="11" t="s">
        <v>3200</v>
      </c>
      <c r="B11" s="11" t="s">
        <v>3210</v>
      </c>
      <c r="C11" s="11" t="s">
        <v>206</v>
      </c>
      <c r="D11" s="11" t="s">
        <v>24</v>
      </c>
      <c r="E11" s="11" t="s">
        <v>3193</v>
      </c>
    </row>
    <row r="12" spans="1:5" ht="18" customHeight="1" x14ac:dyDescent="0.25">
      <c r="A12" s="11" t="s">
        <v>3200</v>
      </c>
      <c r="B12" s="11" t="s">
        <v>3210</v>
      </c>
      <c r="C12" s="11" t="s">
        <v>371</v>
      </c>
      <c r="D12" s="11" t="s">
        <v>24</v>
      </c>
      <c r="E12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3213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3214</v>
      </c>
    </row>
    <row r="4" spans="1:8" ht="21.95" customHeight="1" x14ac:dyDescent="0.25">
      <c r="A4" s="220" t="s">
        <v>3215</v>
      </c>
      <c r="B4" s="221"/>
      <c r="D4" s="220" t="s">
        <v>3216</v>
      </c>
      <c r="E4" s="221"/>
      <c r="G4" s="220" t="s">
        <v>3217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3218</v>
      </c>
      <c r="B7" s="61" t="s">
        <v>3219</v>
      </c>
      <c r="C7" s="61" t="s">
        <v>1</v>
      </c>
      <c r="D7" s="61" t="s">
        <v>3220</v>
      </c>
      <c r="E7" s="61" t="s">
        <v>3221</v>
      </c>
      <c r="F7" s="61" t="s">
        <v>3118</v>
      </c>
      <c r="G7" s="61" t="s">
        <v>5</v>
      </c>
      <c r="H7" s="61" t="s">
        <v>3222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3223</v>
      </c>
      <c r="B1" s="225"/>
      <c r="C1" s="225"/>
      <c r="D1" s="225"/>
      <c r="E1" s="225"/>
      <c r="F1" s="225"/>
    </row>
    <row r="2" spans="1:7" x14ac:dyDescent="0.25">
      <c r="A2" s="226" t="s">
        <v>3224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3121</v>
      </c>
      <c r="C4" s="24" t="s">
        <v>3122</v>
      </c>
      <c r="D4" s="24" t="s">
        <v>3225</v>
      </c>
      <c r="E4" s="24" t="s">
        <v>3123</v>
      </c>
      <c r="F4" s="24" t="s">
        <v>3226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24</v>
      </c>
      <c r="C45" s="25">
        <f ca="1">IF($A45="","",SUMIFS('GECC 2026'!I$2:I$200,'GECC 2026'!F$2:F$200,$A45))</f>
        <v>5.0399999999999991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29.04</v>
      </c>
      <c r="F45" s="23">
        <f ca="1">IF($A45="","",COUNTIFS('GECC 2026'!F$2:F$200,$A45))</f>
        <v>3</v>
      </c>
    </row>
    <row r="46" spans="1:6" x14ac:dyDescent="0.25">
      <c r="A46" t="str">
        <f ca="1"/>
        <v>Matheus Viana de Souza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1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88</v>
      </c>
      <c r="C59" s="25">
        <f ca="1">IF($A59="","",SUMIFS('GECC 2026'!I$2:I$200,'GECC 2026'!F$2:F$200,$A59))</f>
        <v>83.6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171.6</v>
      </c>
      <c r="F59" s="23">
        <f ca="1">IF($A59="","",COUNTIFS('GECC 2026'!F$2:F$200,$A59))</f>
        <v>7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9</v>
      </c>
      <c r="C61" s="25">
        <f ca="1">IF($A61="","",SUMIFS('GECC 2026'!I$2:I$200,'GECC 2026'!F$2:F$200,$A61))</f>
        <v>2.6999999999999997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11.7</v>
      </c>
      <c r="F61" s="23">
        <f ca="1">IF($A61="","",COUNTIFS('GECC 2026'!F$2:F$200,$A61))</f>
        <v>3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2</v>
      </c>
      <c r="C62" s="25">
        <f ca="1">IF($A62="","",SUMIFS('GECC 2026'!I$2:I$200,'GECC 2026'!F$2:F$200,$A62))</f>
        <v>0.6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2.6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3161</v>
      </c>
      <c r="B105" s="94">
        <f ca="1">SUM(B5:B100)</f>
        <v>884</v>
      </c>
      <c r="C105" s="94">
        <f ca="1">SUM(C5:C100)</f>
        <v>393.54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3227</v>
      </c>
      <c r="B1" s="117" t="s">
        <v>3228</v>
      </c>
      <c r="C1" s="117" t="s">
        <v>3229</v>
      </c>
      <c r="D1" s="117" t="s">
        <v>3230</v>
      </c>
      <c r="E1" s="117" t="s">
        <v>3231</v>
      </c>
      <c r="F1" s="117" t="s">
        <v>3232</v>
      </c>
      <c r="G1" s="117" t="s">
        <v>10</v>
      </c>
      <c r="H1" s="117" t="s">
        <v>3233</v>
      </c>
      <c r="I1" s="117" t="s">
        <v>3234</v>
      </c>
      <c r="J1" s="117" t="s">
        <v>3235</v>
      </c>
      <c r="K1" s="117" t="s">
        <v>3236</v>
      </c>
      <c r="L1" s="117" t="s">
        <v>3237</v>
      </c>
      <c r="N1" s="117" t="s">
        <v>3238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3239</v>
      </c>
      <c r="L2" t="str">
        <f>IF(K2="","",IFERROR(INDEX(Tabela2[Curso],MATCH(K2,Tabela2[ID],0)),""))</f>
        <v/>
      </c>
      <c r="N2" s="117" t="s">
        <v>3117</v>
      </c>
      <c r="O2" s="117" t="s">
        <v>4</v>
      </c>
      <c r="P2" s="117" t="s">
        <v>3240</v>
      </c>
      <c r="Q2" s="117" t="s">
        <v>3241</v>
      </c>
      <c r="R2" s="117" t="s">
        <v>3242</v>
      </c>
      <c r="S2" s="117" t="s">
        <v>3243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3239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3239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3239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3239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3239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3239</v>
      </c>
      <c r="L10" t="str">
        <f>IF(K10="","",IFERROR(INDEX(Tabela2[Curso],MATCH(K10,Tabela2[ID],0)),""))</f>
        <v/>
      </c>
      <c r="N10" s="111" t="s">
        <v>3244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3239</v>
      </c>
      <c r="L11" t="str">
        <f>IF(K11="","",IFERROR(INDEX(Tabela2[Curso],MATCH(K11,Tabela2[ID],0)),""))</f>
        <v/>
      </c>
      <c r="N11" s="210" t="s">
        <v>3245</v>
      </c>
      <c r="O11" s="210" t="s">
        <v>3246</v>
      </c>
      <c r="P11" s="210" t="s">
        <v>3247</v>
      </c>
      <c r="Q11" s="210" t="s">
        <v>3230</v>
      </c>
      <c r="R11" s="210" t="s">
        <v>3231</v>
      </c>
      <c r="S11" s="210" t="s">
        <v>3248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3239</v>
      </c>
      <c r="L12" t="str">
        <f>IF(K12="","",IFERROR(INDEX(Tabela2[Curso],MATCH(K12,Tabela2[ID],0)),""))</f>
        <v/>
      </c>
      <c r="N12" t="s">
        <v>3249</v>
      </c>
      <c r="O12" t="s">
        <v>2753</v>
      </c>
      <c r="P12" t="s">
        <v>3250</v>
      </c>
      <c r="Q12">
        <v>0</v>
      </c>
      <c r="R12">
        <v>0</v>
      </c>
      <c r="S12" t="s">
        <v>3251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3239</v>
      </c>
      <c r="L13" t="str">
        <f>IF(K13="","",IFERROR(INDEX(Tabela2[Curso],MATCH(K13,Tabela2[ID],0)),""))</f>
        <v/>
      </c>
      <c r="N13" t="s">
        <v>3252</v>
      </c>
      <c r="O13" t="s">
        <v>2685</v>
      </c>
      <c r="P13" t="s">
        <v>3253</v>
      </c>
      <c r="Q13">
        <v>0</v>
      </c>
      <c r="R13">
        <v>0</v>
      </c>
      <c r="S13" t="s">
        <v>3254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3239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schemas.microsoft.com/office/2006/documentManagement/types"/>
    <ds:schemaRef ds:uri="fe686eaa-0658-4f15-b230-9e46c4d089fd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2026-09-21T19:17:07Z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