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40" documentId="13_ncr:1_{6A2CC3E2-FAFB-4D8F-B284-5E8FB5045DFE}" xr6:coauthVersionLast="47" xr6:coauthVersionMax="47" xr10:uidLastSave="{BEA89F8F-60CA-4BE9-B9DF-ABAA47C42EF3}"/>
  <bookViews>
    <workbookView xWindow="28680" yWindow="-120" windowWidth="29040" windowHeight="15720" firstSheet="2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9" i="28" l="1" a="1"/>
  <c r="E108" i="28" a="1"/>
  <c r="A735" i="3"/>
  <c r="A73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s="1" a="1"/>
  <c r="A2" i="20" s="1" a="1"/>
  <c r="E105" i="23" l="1"/>
  <c r="A5" i="23" a="1"/>
  <c r="E61" i="23" l="1"/>
  <c r="B49" i="23"/>
  <c r="F12" i="23"/>
  <c r="F11" i="23"/>
  <c r="E28" i="23"/>
  <c r="D11" i="23"/>
  <c r="F21" i="23"/>
  <c r="C56" i="23"/>
  <c r="C8" i="23"/>
  <c r="C12" i="23"/>
  <c r="D42" i="23"/>
  <c r="B18" i="23"/>
  <c r="B40" i="23"/>
  <c r="B32" i="23"/>
  <c r="E53" i="23"/>
  <c r="F17" i="23"/>
  <c r="C23" i="23"/>
  <c r="B8" i="23"/>
  <c r="B58" i="23"/>
  <c r="C50" i="23"/>
  <c r="B50" i="23"/>
  <c r="F30" i="23"/>
  <c r="E12" i="23"/>
  <c r="B33" i="23"/>
  <c r="F53" i="23"/>
  <c r="C53" i="23"/>
  <c r="E56" i="23"/>
  <c r="C59" i="23"/>
  <c r="F20" i="23"/>
  <c r="E42" i="23"/>
  <c r="F9" i="23"/>
  <c r="D50" i="23"/>
  <c r="B27" i="23"/>
  <c r="B47" i="23"/>
  <c r="E17" i="23"/>
  <c r="E45" i="23"/>
  <c r="C29" i="23"/>
  <c r="D20" i="23"/>
  <c r="E16" i="23"/>
  <c r="D28" i="23"/>
  <c r="C18" i="23"/>
  <c r="C60" i="23"/>
  <c r="F57" i="23"/>
  <c r="D29" i="23"/>
  <c r="D58" i="23"/>
  <c r="E40" i="23"/>
  <c r="D15" i="23"/>
  <c r="B29" i="23"/>
  <c r="F47" i="23"/>
  <c r="F26" i="23"/>
  <c r="C17" i="23"/>
  <c r="F23" i="23"/>
  <c r="D53" i="23"/>
  <c r="E25" i="23"/>
  <c r="B13" i="23"/>
  <c r="B14" i="23"/>
  <c r="D19" i="23"/>
  <c r="B59" i="23"/>
  <c r="E19" i="23"/>
  <c r="C54" i="23"/>
  <c r="E34" i="23"/>
  <c r="E6" i="23"/>
  <c r="C7" i="23"/>
  <c r="F37" i="23"/>
  <c r="B39" i="23"/>
  <c r="F33" i="23"/>
  <c r="F14" i="23"/>
  <c r="F42" i="23"/>
  <c r="F13" i="23"/>
  <c r="E50" i="23"/>
  <c r="E24" i="23"/>
  <c r="F35" i="23"/>
  <c r="E30" i="23"/>
  <c r="E51" i="23"/>
  <c r="F61" i="23"/>
  <c r="D22" i="23"/>
  <c r="B61" i="23"/>
  <c r="C45" i="23"/>
  <c r="E57" i="23"/>
  <c r="E35" i="23"/>
  <c r="B56" i="23"/>
  <c r="B21" i="23"/>
  <c r="E33" i="23"/>
  <c r="F25" i="23"/>
  <c r="D7" i="23"/>
  <c r="D45" i="23"/>
  <c r="C49" i="23"/>
  <c r="B20" i="23"/>
  <c r="D36" i="23"/>
  <c r="E27" i="23"/>
  <c r="F8" i="23"/>
  <c r="E7" i="23"/>
  <c r="B10" i="23"/>
  <c r="B48" i="23"/>
  <c r="D24" i="23"/>
  <c r="C36" i="23"/>
  <c r="D38" i="23"/>
  <c r="B30" i="23"/>
  <c r="E21" i="23"/>
  <c r="B37" i="23"/>
  <c r="D56" i="23"/>
  <c r="C61" i="23"/>
  <c r="F59" i="23"/>
  <c r="C44" i="23"/>
  <c r="E49" i="23"/>
  <c r="F39" i="23"/>
  <c r="D16" i="23"/>
  <c r="F10" i="23"/>
  <c r="F44" i="23"/>
  <c r="F40" i="23"/>
  <c r="E41" i="23"/>
  <c r="D6" i="23"/>
  <c r="D37" i="23"/>
  <c r="F56" i="23"/>
  <c r="D17" i="23"/>
  <c r="E13" i="23"/>
  <c r="F54" i="23"/>
  <c r="F41" i="23"/>
  <c r="F43" i="23"/>
  <c r="F28" i="23"/>
  <c r="E14" i="23"/>
  <c r="F7" i="23"/>
  <c r="D31" i="23"/>
  <c r="D21" i="23"/>
  <c r="B51" i="23"/>
  <c r="B7" i="23"/>
  <c r="D9" i="23"/>
  <c r="D35" i="23"/>
  <c r="D39" i="23"/>
  <c r="E23" i="23"/>
  <c r="C55" i="23"/>
  <c r="D61" i="23"/>
  <c r="C16" i="23"/>
  <c r="C28" i="23"/>
  <c r="E29" i="23"/>
  <c r="D26" i="23"/>
  <c r="B6" i="23"/>
  <c r="C32" i="23"/>
  <c r="B26" i="23"/>
  <c r="E55" i="23"/>
  <c r="E18" i="23"/>
  <c r="C51" i="23"/>
  <c r="F48" i="23"/>
  <c r="D60" i="23"/>
  <c r="E31" i="23"/>
  <c r="C21" i="23"/>
  <c r="D34" i="23"/>
  <c r="B24" i="23"/>
  <c r="B44" i="23"/>
  <c r="B35" i="23"/>
  <c r="B15" i="23"/>
  <c r="F49" i="23"/>
  <c r="E37" i="23"/>
  <c r="F6" i="23"/>
  <c r="D13" i="23"/>
  <c r="D46" i="23"/>
  <c r="F32" i="23"/>
  <c r="C25" i="23"/>
  <c r="C40" i="23"/>
  <c r="E36" i="23"/>
  <c r="B31" i="23"/>
  <c r="E58" i="23"/>
  <c r="D30" i="23"/>
  <c r="B16" i="23"/>
  <c r="D18" i="23"/>
  <c r="C52" i="23"/>
  <c r="B43" i="23"/>
  <c r="E54" i="23"/>
  <c r="B12" i="23"/>
  <c r="B22" i="23"/>
  <c r="B60" i="23"/>
  <c r="F52" i="23"/>
  <c r="B23" i="23"/>
  <c r="C30" i="23"/>
  <c r="D10" i="23"/>
  <c r="E26" i="23"/>
  <c r="C31" i="23"/>
  <c r="E15" i="23"/>
  <c r="C39" i="23"/>
  <c r="B52" i="23"/>
  <c r="F55" i="23"/>
  <c r="E8" i="23"/>
  <c r="F46" i="23"/>
  <c r="E48" i="23"/>
  <c r="E52" i="23"/>
  <c r="D25" i="23"/>
  <c r="C26" i="23"/>
  <c r="F36" i="23"/>
  <c r="C41" i="23"/>
  <c r="F34" i="23"/>
  <c r="C22" i="23"/>
  <c r="C46" i="23"/>
  <c r="E60" i="23"/>
  <c r="D14" i="23"/>
  <c r="B42" i="23"/>
  <c r="F22" i="23"/>
  <c r="B11" i="23"/>
  <c r="F29" i="23"/>
  <c r="C24" i="23"/>
  <c r="B45" i="23"/>
  <c r="E9" i="23"/>
  <c r="D57" i="23"/>
  <c r="C11" i="23"/>
  <c r="D44" i="23"/>
  <c r="C13" i="23"/>
  <c r="B34" i="23"/>
  <c r="C48" i="23"/>
  <c r="D48" i="23"/>
  <c r="E39" i="23"/>
  <c r="D55" i="23"/>
  <c r="D47" i="23"/>
  <c r="B55" i="23"/>
  <c r="D32" i="23"/>
  <c r="B46" i="23"/>
  <c r="C43" i="23"/>
  <c r="B54" i="23"/>
  <c r="C33" i="23"/>
  <c r="D27" i="23"/>
  <c r="E38" i="23"/>
  <c r="F38" i="23"/>
  <c r="E44" i="23"/>
  <c r="F60" i="23"/>
  <c r="D54" i="23"/>
  <c r="B25" i="23"/>
  <c r="E32" i="23"/>
  <c r="C9" i="23"/>
  <c r="D40" i="23"/>
  <c r="C19" i="23"/>
  <c r="E10" i="23"/>
  <c r="C35" i="23"/>
  <c r="F45" i="23"/>
  <c r="B9" i="23"/>
  <c r="B41" i="23"/>
  <c r="C27" i="23"/>
  <c r="B57" i="23"/>
  <c r="E46" i="23"/>
  <c r="C6" i="23"/>
  <c r="E11" i="23"/>
  <c r="F27" i="23"/>
  <c r="D33" i="23"/>
  <c r="D59" i="23"/>
  <c r="C15" i="23"/>
  <c r="F51" i="23"/>
  <c r="C38" i="23"/>
  <c r="C57" i="23"/>
  <c r="E59" i="23"/>
  <c r="B36" i="23"/>
  <c r="B17" i="23"/>
  <c r="F50" i="23"/>
  <c r="D49" i="23"/>
  <c r="F18" i="23"/>
  <c r="B19" i="23"/>
  <c r="D8" i="23"/>
  <c r="F16" i="23"/>
  <c r="B28" i="23"/>
  <c r="F58" i="23"/>
  <c r="B53" i="23"/>
  <c r="C47" i="23"/>
  <c r="C37" i="23"/>
  <c r="C14" i="23"/>
  <c r="D23" i="23"/>
  <c r="C42" i="23"/>
  <c r="B38" i="23"/>
  <c r="C58" i="23"/>
  <c r="F19" i="23"/>
  <c r="D52" i="23"/>
  <c r="C34" i="23"/>
  <c r="E22" i="23"/>
  <c r="C10" i="23"/>
  <c r="D51" i="23"/>
  <c r="D43" i="23"/>
  <c r="F24" i="23"/>
  <c r="F15" i="23"/>
  <c r="E43" i="23"/>
  <c r="C20" i="23"/>
  <c r="E47" i="23"/>
  <c r="D12" i="23"/>
  <c r="E20" i="23"/>
  <c r="D41" i="23"/>
  <c r="F31" i="23"/>
  <c r="F5" i="23" l="1"/>
  <c r="F105" i="23" s="1"/>
  <c r="E5" i="23"/>
  <c r="B5" i="23"/>
  <c r="B105" i="23" s="1"/>
  <c r="G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<sst xmlns="http://schemas.openxmlformats.org/spreadsheetml/2006/main" count="7367" uniqueCount="3238">
  <si>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</si>
  <si>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</si>
  <si>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</si>
  <si>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</si>
  <si>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</si>
  <si>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</si>
  <si>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</si>
  <si>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</si>
  <si>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</si>
  <si>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</si>
  <si>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</si>
  <si>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</si>
  <si>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</si>
  <si>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</si>
  <si>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</si>
  <si>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</si>
  <si>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</si>
  <si>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</si>
  <si>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</si>
  <si>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</si>
  <si>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</si>
  <si>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</si>
  <si>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</si>
  <si>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</si>
  <si>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</si>
  <si>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</si>
  <si>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</si>
  <si>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</si>
  <si>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</si>
  <si>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</si>
  <si>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</si>
  <si>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</si>
  <si>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</si>
  <si>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</si>
  <si>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</si>
  <si>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</si>
  <si>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</si>
  <si>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</si>
  <si>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</si>
  <si>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</si>
  <si>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</si>
  <si>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</si>
  <si>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</si>
  <si>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</si>
  <si>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</si>
  <si>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</si>
  <si>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</si>
  <si>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</si>
  <si>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</si>
  <si>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</si>
  <si>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</si>
  <si>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</si>
  <si>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</si>
  <si>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</si>
  <si>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</si>
  <si>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</si>
  <si>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</si>
  <si>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</si>
  <si>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</si>
  <si>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</si>
  <si>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</si>
  <si>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</si>
  <si>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</si>
  <si>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</si>
  <si>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</si>
  <si>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</si>
  <si>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</si>
  <si>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</si>
  <si>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</si>
  <si>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</si>
  <si>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</si>
  <si>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</si>
  <si>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</si>
  <si>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</si>
  <si>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</si>
  <si>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</si>
  <si>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</si>
  <si>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</si>
  <si>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</si>
  <si>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</si>
  <si>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</si>
  <si>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</si>
  <si>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</si>
  <si>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</si>
  <si>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</si>
  <si>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</si>
  <si>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</si>
  <si>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</si>
  <si>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</si>
  <si>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</si>
  <si>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</si>
  <si>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</si>
  <si>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</si>
  <si>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</si>
  <si>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</si>
  <si>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</si>
  <si>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</si>
  <si>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</si>
  <si>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</si>
  <si>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</si>
  <si>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</si>
  <si>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</si>
  <si>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</si>
  <si>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</si>
  <si>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</si>
  <si>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</si>
  <si>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</si>
  <si>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</si>
  <si>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</si>
  <si>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</si>
  <si>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</si>
  <si>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</si>
  <si>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</si>
  <si>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</si>
  <si>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</si>
  <si>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</si>
  <si>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</si>
  <si>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</si>
  <si>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</si>
  <si>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</si>
  <si>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</si>
  <si>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</si>
  <si>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</si>
  <si>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</si>
  <si>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</si>
  <si>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</si>
  <si>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</si>
  <si>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</si>
  <si>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</si>
  <si>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</si>
  <si>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</si>
  <si>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</si>
  <si>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</si>
  <si>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</si>
  <si>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</si>
  <si>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</si>
  <si>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</si>
  <si>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</si>
  <si>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</si>
  <si>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</si>
  <si>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</si>
  <si>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</si>
  <si>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</si>
  <si>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</si>
  <si>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</si>
  <si>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</si>
  <si>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</si>
  <si>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</si>
  <si>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</si>
  <si>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</si>
  <si>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</si>
  <si>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</si>
  <si>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</si>
  <si>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</si>
  <si>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</si>
  <si>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</si>
  <si>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</si>
  <si>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</si>
  <si>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</si>
  <si>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</si>
  <si>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</si>
  <si>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</si>
  <si>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</si>
  <si>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</si>
  <si>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</si>
  <si>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</si>
  <si>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</si>
  <si>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</si>
  <si>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</si>
  <si>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</si>
  <si>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</si>
  <si>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</si>
  <si>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</si>
  <si>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</si>
  <si>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</si>
  <si>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</si>
  <si>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</si>
  <si>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</si>
  <si>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</si>
  <si>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</si>
  <si>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</si>
  <si>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</si>
  <si>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</si>
  <si>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</si>
  <si>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</si>
  <si>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</si>
  <si>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</si>
  <si>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</si>
  <si>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</si>
  <si>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</si>
  <si>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</si>
  <si>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</si>
  <si>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</si>
  <si>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</si>
  <si>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</si>
  <si>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</si>
  <si>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</si>
  <si>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</si>
  <si>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</si>
  <si>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</si>
  <si>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</si>
  <si>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</si>
  <si>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</si>
  <si>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</si>
  <si>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</si>
  <si>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</si>
  <si>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</si>
  <si>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</si>
  <si>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</si>
  <si>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</si>
  <si>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</si>
  <si>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</si>
  <si>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</si>
  <si>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</si>
  <si>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</si>
  <si>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</si>
  <si>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</si>
  <si>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</si>
  <si>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</si>
  <si>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</si>
  <si>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</si>
  <si>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</si>
  <si>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</si>
  <si>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</si>
  <si>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</si>
  <si>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</si>
  <si>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</si>
  <si>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</si>
  <si>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</si>
  <si>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</si>
  <si>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</si>
  <si>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</si>
  <si>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</si>
  <si>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</si>
  <si>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</si>
  <si>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</si>
  <si>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</si>
  <si>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</si>
  <si>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</si>
  <si>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</si>
  <si>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</si>
  <si>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</si>
  <si>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</si>
  <si>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</si>
  <si>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</si>
  <si>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</si>
  <si>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</si>
  <si>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</si>
  <si>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</si>
  <si>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</si>
  <si>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</si>
  <si>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</si>
  <si>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</si>
  <si>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</si>
  <si>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</si>
  <si>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</si>
  <si>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</si>
  <si>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</si>
  <si>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</si>
  <si>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</si>
  <si>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</si>
  <si>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</si>
  <si>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</si>
  <si>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</si>
  <si>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</si>
  <si>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</si>
  <si>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</si>
  <si>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</si>
  <si>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</si>
  <si>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</si>
  <si>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</si>
  <si>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</si>
  <si>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</si>
  <si>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</si>
  <si>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</si>
  <si>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</si>
  <si>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</si>
  <si>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</si>
  <si>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</si>
  <si>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</si>
  <si>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</si>
  <si>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</si>
  <si>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</si>
  <si>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</si>
  <si>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</si>
  <si>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</si>
  <si>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</si>
  <si>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</si>
  <si>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</si>
  <si>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</si>
  <si>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</si>
  <si>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</si>
  <si>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</si>
  <si>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</si>
  <si>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</si>
  <si>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</si>
  <si>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</si>
  <si>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</si>
  <si>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</si>
  <si>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</si>
  <si>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</si>
  <si>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</si>
  <si>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</si>
  <si>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</si>
  <si>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</si>
  <si>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</si>
  <si>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</si>
  <si>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</si>
  <si>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</si>
  <si>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</si>
  <si>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</si>
  <si>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</si>
  <si>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</si>
  <si>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</si>
  <si>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</si>
  <si>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</si>
  <si>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</si>
  <si>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</si>
  <si>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</si>
  <si>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</si>
  <si>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</si>
  <si>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</si>
  <si>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</si>
  <si>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</si>
  <si>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</si>
  <si>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</si>
  <si>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</si>
  <si>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</si>
  <si>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</si>
  <si>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</si>
  <si>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</si>
  <si>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</si>
  <si>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</si>
  <si>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</si>
  <si>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</si>
  <si>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</si>
  <si>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</si>
  <si>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</si>
  <si>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</si>
  <si>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</si>
  <si>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</si>
  <si>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</si>
  <si>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</si>
  <si>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</si>
  <si>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</si>
  <si>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</si>
  <si>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</si>
  <si>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</si>
  <si>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</si>
  <si>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</si>
  <si>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</si>
  <si>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</si>
  <si>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</si>
  <si>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</si>
  <si>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</si>
  <si>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</si>
  <si>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</si>
  <si>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</si>
  <si>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</si>
  <si>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</si>
  <si>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</si>
  <si>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</si>
  <si>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</si>
  <si>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</si>
  <si>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</si>
  <si>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</si>
  <si>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</si>
  <si>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</si>
  <si>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</si>
  <si>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</si>
  <si>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</si>
  <si>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</si>
  <si>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</si>
  <si>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</si>
  <si>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</si>
  <si>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</si>
  <si>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</si>
  <si>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</si>
  <si>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</si>
  <si>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</si>
  <si>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</si>
  <si>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</si>
  <si>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</si>
  <si>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</si>
  <si>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</si>
  <si>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</si>
  <si>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</si>
  <si>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</si>
  <si>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</si>
  <si>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</si>
  <si>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</si>
  <si>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</si>
  <si>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</si>
  <si>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</si>
  <si>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</si>
  <si>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</si>
  <si>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</si>
  <si>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</si>
  <si>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</si>
  <si>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</si>
  <si>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</si>
  <si>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</si>
  <si>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</si>
  <si>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</si>
  <si>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</si>
  <si>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</si>
  <si>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</si>
  <si>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</si>
  <si>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</si>
  <si>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</si>
  <si>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</si>
  <si>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</si>
  <si>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</si>
  <si>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</si>
  <si>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</si>
  <si>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</si>
  <si>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</si>
  <si>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</si>
  <si>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</si>
  <si>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</si>
  <si>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</si>
  <si>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</si>
  <si>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</si>
  <si>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</si>
  <si>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</si>
  <si>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</si>
  <si>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</si>
  <si>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</si>
  <si>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</si>
  <si>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</si>
  <si>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</si>
  <si>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</si>
  <si>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</si>
  <si>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</si>
  <si>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</si>
  <si>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</si>
  <si>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</si>
  <si>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</si>
  <si>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</si>
  <si>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</si>
  <si>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</si>
  <si>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</si>
  <si>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</si>
  <si>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</si>
  <si>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</si>
  <si>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</si>
  <si>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</si>
  <si>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</si>
  <si>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</si>
  <si>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</si>
  <si>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</si>
  <si>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</si>
  <si>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</si>
  <si>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</si>
  <si>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</si>
  <si>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</si>
  <si>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</si>
  <si>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</si>
  <si>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</si>
  <si>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</si>
  <si>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</si>
  <si>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</si>
  <si>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</si>
  <si>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</si>
  <si>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</si>
  <si>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</si>
  <si>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</si>
  <si>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</si>
  <si>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</si>
  <si>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</si>
  <si>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</si>
  <si>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</si>
  <si>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</si>
  <si>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</si>
  <si>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</si>
  <si>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</si>
  <si>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</si>
  <si>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</si>
  <si>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</si>
  <si>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</si>
  <si>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</si>
  <si>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</si>
  <si>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</si>
  <si>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</si>
  <si>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</si>
  <si>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</si>
  <si>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</si>
  <si>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</si>
  <si>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</si>
  <si>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</si>
  <si>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</si>
  <si>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</si>
  <si>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</si>
  <si>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</si>
  <si>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</si>
  <si>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</si>
  <si>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</si>
  <si>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</si>
  <si>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</si>
  <si>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</si>
  <si>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</si>
  <si>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</si>
  <si>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</si>
  <si>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</si>
  <si>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</si>
  <si>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</si>
  <si>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</si>
  <si>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</si>
  <si>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</si>
  <si>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</si>
  <si>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</si>
  <si>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</si>
  <si>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</si>
  <si>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</si>
  <si>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</si>
  <si>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</si>
  <si>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</si>
  <si>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</si>
  <si>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</si>
  <si>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</si>
  <si>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</si>
  <si>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</si>
  <si>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</si>
  <si>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</si>
  <si>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</si>
  <si>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</si>
  <si>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</si>
  <si>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</si>
  <si>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</si>
  <si>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</si>
  <si>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</si>
  <si>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</si>
  <si>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</si>
  <si>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</si>
  <si>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</si>
  <si>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</si>
  <si>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</si>
  <si>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</si>
  <si>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</si>
  <si>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</si>
  <si>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</si>
  <si>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</si>
  <si>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</si>
  <si>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</si>
  <si>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</si>
  <si>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</si>
  <si>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</si>
  <si>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</si>
  <si>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</si>
  <si>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</si>
  <si>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</si>
  <si>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</si>
  <si>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</si>
  <si>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</si>
  <si>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</si>
  <si>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</si>
  <si>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</si>
  <si>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</si>
  <si>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</si>
  <si>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</si>
  <si>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</si>
  <si>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</si>
  <si>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</si>
  <si>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</si>
  <si>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</si>
  <si>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</si>
  <si>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</si>
  <si>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</si>
  <si>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</si>
  <si>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</si>
  <si>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</si>
  <si>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</si>
  <si>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</si>
  <si>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</si>
  <si>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</si>
  <si>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</si>
  <si>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</si>
  <si>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</si>
  <si>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</si>
  <si>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</si>
  <si>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</si>
  <si>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</si>
  <si>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</si>
  <si>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</si>
  <si>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</si>
  <si>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</si>
  <si>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</si>
  <si>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</si>
  <si>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</si>
  <si>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</si>
  <si>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</si>
  <si>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</si>
  <si>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</si>
  <si>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</si>
  <si>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</si>
  <si>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</si>
  <si>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</si>
  <si>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</si>
  <si>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</si>
  <si>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</si>
  <si>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</si>
  <si>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</si>
  <si>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</si>
  <si>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</si>
  <si>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</si>
  <si>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</si>
  <si>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</si>
  <si>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</si>
  <si>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</si>
  <si>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</si>
  <si>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</si>
  <si>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</si>
  <si>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</si>
  <si>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</si>
  <si>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</si>
  <si>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</si>
  <si>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</si>
  <si>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</si>
  <si>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</si>
  <si>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</si>
  <si>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</si>
  <si>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</si>
  <si>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</si>
  <si>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</si>
  <si>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</si>
  <si>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</si>
  <si>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</si>
  <si>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</si>
  <si>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</si>
  <si>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</si>
  <si>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</si>
  <si>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</si>
  <si>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</si>
  <si>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</si>
  <si>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</si>
  <si>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</si>
  <si>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</si>
  <si>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</si>
  <si>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</si>
  <si>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</si>
  <si>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</si>
  <si>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</si>
  <si>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</si>
  <si>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</si>
  <si>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</si>
  <si>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</si>
  <si>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</si>
  <si>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</si>
  <si>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</si>
  <si>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</si>
  <si>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</si>
  <si>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</si>
  <si>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</si>
  <si>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</si>
  <si>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</si>
  <si>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</si>
  <si>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</si>
  <si>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</si>
  <si>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</si>
  <si>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</si>
  <si>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</si>
  <si>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</si>
  <si>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</si>
  <si>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</si>
  <si>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</si>
  <si>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</si>
  <si>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</si>
  <si>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</si>
  <si>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</si>
  <si>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</si>
  <si>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</si>
  <si>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</si>
  <si>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</si>
  <si>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</si>
  <si>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</si>
  <si>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</si>
  <si>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</si>
  <si>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</si>
  <si>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</si>
  <si>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</si>
  <si>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</si>
  <si>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</si>
  <si>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</si>
  <si>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</si>
  <si>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</si>
  <si>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</si>
  <si>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</si>
  <si>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</si>
  <si>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</si>
  <si>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</si>
  <si>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</si>
  <si>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</si>
  <si>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</si>
  <si>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</si>
  <si>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</si>
  <si>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</si>
  <si>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</si>
  <si>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</si>
  <si>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</si>
  <si>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</si>
  <si>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</si>
  <si>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</si>
  <si>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</si>
  <si>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</si>
  <si>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</si>
  <si>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</si>
  <si>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</si>
  <si>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</si>
  <si>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</si>
  <si>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</si>
  <si>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</si>
  <si>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</si>
  <si>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</si>
  <si>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</si>
  <si>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</si>
  <si>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</si>
  <si>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</si>
  <si>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</si>
  <si>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</si>
  <si>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</si>
  <si>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</si>
  <si>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</si>
  <si>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</si>
  <si>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</si>
  <si>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</si>
  <si>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</si>
  <si>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</si>
  <si>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</si>
  <si>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</si>
  <si>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</si>
  <si>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</si>
  <si>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</si>
  <si>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</si>
  <si>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</si>
  <si>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</si>
  <si>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</si>
  <si>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</si>
  <si>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</si>
  <si>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</si>
  <si>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</si>
  <si>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</si>
  <si>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</si>
  <si>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</si>
  <si>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</si>
  <si>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</si>
  <si>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</si>
  <si>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</si>
  <si>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</si>
  <si>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</si>
  <si>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</si>
  <si>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</si>
  <si>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</si>
  <si>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</si>
  <si>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</si>
  <si>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</si>
  <si>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</si>
  <si>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</si>
  <si>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</si>
  <si>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</si>
  <si>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</si>
  <si>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</si>
  <si>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</si>
  <si>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</si>
  <si>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</si>
  <si>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</si>
  <si>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</si>
  <si>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</si>
  <si>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</si>
  <si>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</si>
  <si>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</si>
  <si>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</si>
  <si>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</si>
  <si>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</si>
  <si>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</si>
  <si>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</si>
  <si>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</si>
  <si>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</si>
  <si>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</si>
  <si>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</si>
  <si>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</si>
  <si>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</si>
  <si>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</si>
  <si>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</si>
  <si>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</si>
  <si>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</si>
  <si>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</si>
  <si>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</si>
  <si>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</si>
  <si>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</si>
  <si>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</si>
  <si>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</si>
  <si>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</si>
  <si>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</si>
  <si>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</si>
  <si>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</si>
  <si>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</si>
  <si>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</si>
  <si>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</si>
  <si>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</si>
  <si>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</si>
  <si>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</si>
  <si>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</si>
  <si>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</si>
  <si>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</si>
  <si>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</si>
  <si>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</si>
  <si>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</si>
  <si>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</si>
  <si>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</si>
  <si>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</si>
  <si>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</si>
  <si>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</si>
  <si>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</si>
  <si>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</si>
  <si>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</si>
  <si>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</si>
  <si>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</si>
  <si>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</si>
  <si>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</si>
  <si>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</si>
  <si>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</si>
  <si>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</si>
  <si>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</si>
  <si>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</si>
  <si>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</si>
  <si>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</si>
  <si>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</si>
  <si>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</si>
  <si>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</si>
  <si>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</si>
  <si>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</si>
  <si>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</si>
  <si>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</si>
  <si>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</si>
  <si>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</si>
  <si>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</si>
  <si>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</si>
  <si>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</si>
  <si>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</si>
  <si>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</si>
  <si>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</si>
  <si>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</si>
  <si>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</si>
  <si>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</si>
  <si>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</si>
  <si>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</si>
  <si>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</si>
  <si>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</si>
  <si>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</si>
  <si>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</si>
  <si>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</si>
  <si>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</si>
  <si>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</si>
  <si>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</si>
  <si>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</si>
  <si>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</si>
  <si>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</si>
  <si>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</si>
  <si>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</si>
  <si>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</si>
  <si>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</si>
  <si>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</si>
  <si>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</si>
  <si>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</si>
  <si>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</si>
  <si>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</si>
  <si>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</si>
  <si>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</si>
  <si>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</si>
  <si>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</si>
  <si>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</si>
  <si>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</si>
  <si>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</si>
  <si>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</si>
  <si>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</si>
  <si>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</si>
  <si>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</si>
  <si>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</si>
  <si>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</si>
  <si>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</si>
  <si>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</si>
  <si>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</si>
  <si>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</si>
  <si>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</si>
  <si>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</si>
  <si>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</si>
  <si>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</si>
  <si>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</si>
  <si>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</si>
  <si>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</si>
  <si>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</si>
  <si>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</si>
  <si>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</si>
  <si>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</si>
  <si>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</si>
  <si>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</si>
  <si>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</si>
  <si>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</si>
  <si>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</si>
  <si>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</si>
  <si>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</si>
  <si>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</si>
  <si>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</si>
  <si>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</si>
  <si>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</si>
  <si>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</si>
  <si>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</si>
  <si>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</si>
  <si>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</si>
  <si>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</si>
  <si>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</si>
  <si>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</si>
  <si>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</si>
  <si>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</si>
  <si>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</si>
  <si>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</si>
  <si>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</si>
  <si>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</si>
  <si>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</si>
  <si>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</si>
  <si>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</si>
  <si>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</si>
  <si>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</si>
  <si>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</si>
  <si>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</si>
  <si>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</si>
  <si>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</si>
  <si>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</si>
  <si>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</si>
  <si>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</si>
  <si>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</si>
  <si>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</si>
  <si>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</si>
  <si>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</si>
  <si>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</si>
  <si>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</si>
  <si>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</si>
  <si>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</si>
  <si>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</si>
  <si>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</si>
  <si>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</si>
  <si>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</si>
  <si>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</si>
  <si>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</si>
  <si>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</si>
  <si>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</si>
  <si>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</si>
  <si>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</si>
  <si>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</si>
  <si>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</si>
  <si>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</si>
  <si>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</si>
  <si>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</si>
  <si>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</si>
  <si>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</si>
  <si>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</si>
  <si>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</si>
  <si>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</si>
  <si>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</si>
  <si>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</si>
  <si>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</si>
  <si>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</si>
  <si>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</si>
  <si>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</si>
  <si>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</si>
  <si>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</si>
  <si>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</si>
  <si>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</si>
  <si>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</si>
  <si>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</si>
  <si>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</si>
  <si>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</si>
  <si>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</si>
  <si>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</si>
  <si>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</si>
  <si>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</si>
  <si>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</si>
  <si>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</si>
  <si>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</si>
  <si>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</si>
  <si>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</si>
  <si>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</si>
  <si>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</si>
  <si>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</si>
  <si>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</si>
  <si>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</si>
  <si>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</si>
  <si>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</si>
  <si>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</si>
  <si>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</si>
  <si>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</si>
  <si>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</si>
  <si>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</si>
  <si>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</si>
  <si>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</si>
  <si>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</si>
  <si>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</si>
  <si>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</si>
  <si>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</si>
  <si>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</si>
  <si>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</si>
  <si>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</si>
  <si>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</si>
  <si>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</si>
  <si>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</si>
  <si>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</si>
  <si>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</si>
  <si>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</si>
  <si>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</si>
  <si>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</si>
  <si>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</si>
  <si>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</si>
  <si>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</si>
  <si>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</si>
  <si>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</si>
  <si>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</si>
  <si>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</si>
  <si>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</si>
  <si>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</si>
  <si>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</si>
  <si>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</si>
  <si>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</si>
  <si>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</si>
  <si>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</si>
  <si>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</si>
  <si>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</si>
  <si>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</si>
  <si>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</si>
  <si>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</si>
  <si>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</si>
  <si>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</si>
  <si>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</si>
  <si>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</si>
  <si>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</si>
  <si>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</si>
  <si>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</si>
  <si>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</si>
  <si>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</si>
  <si>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</si>
  <si>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</si>
  <si>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</si>
  <si>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</si>
  <si>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</si>
  <si>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</si>
  <si>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</si>
  <si>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</si>
  <si>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</si>
  <si>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</si>
  <si>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</si>
  <si>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</si>
  <si>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</si>
  <si>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</si>
  <si>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</si>
  <si>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</si>
  <si>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</si>
  <si>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</si>
  <si>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</si>
  <si>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</si>
  <si>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</si>
  <si>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</si>
  <si>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</si>
  <si>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</si>
  <si>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</si>
  <si>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</si>
  <si>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</si>
  <si>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</si>
  <si>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</si>
  <si>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</si>
  <si>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</si>
  <si>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</si>
  <si>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</si>
  <si>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</si>
  <si>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</si>
  <si>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</si>
  <si>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</si>
  <si>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</si>
  <si>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</si>
  <si>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</si>
  <si>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</si>
  <si>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</si>
  <si>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</si>
  <si>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</si>
  <si>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</si>
  <si>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</si>
  <si>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</si>
  <si>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</si>
  <si>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</si>
  <si>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</si>
  <si>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</si>
  <si>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</si>
  <si>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</si>
  <si>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</si>
  <si>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</si>
  <si>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</si>
  <si>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</si>
  <si>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</si>
  <si>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</si>
  <si>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</si>
  <si>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</si>
  <si>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</si>
  <si>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</si>
  <si>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</si>
  <si>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</si>
  <si>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</si>
  <si>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</si>
  <si>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</si>
  <si>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</si>
  <si>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</si>
  <si>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</si>
  <si>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</si>
  <si>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</si>
  <si>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</si>
  <si>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</si>
  <si>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</si>
  <si>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</si>
  <si>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</si>
  <si>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</si>
  <si>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</si>
  <si>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</si>
  <si>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</si>
  <si>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</si>
  <si>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</si>
  <si>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</si>
  <si>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</si>
  <si>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</si>
  <si>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</si>
  <si>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</si>
  <si>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</si>
  <si>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</si>
  <si>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</si>
  <si>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</si>
  <si>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</si>
  <si>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</si>
  <si>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</si>
  <si>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</si>
  <si>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</si>
  <si>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</si>
  <si>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</si>
  <si>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</si>
  <si>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</si>
  <si>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</si>
  <si>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</si>
  <si>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</si>
  <si>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</si>
  <si>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</si>
  <si>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</si>
  <si>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</si>
  <si>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</si>
  <si>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</si>
  <si>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</si>
  <si>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</si>
  <si>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</si>
  <si>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</si>
  <si>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</si>
  <si>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</si>
  <si>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</si>
  <si>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</si>
  <si>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</si>
  <si>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</si>
  <si>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</si>
  <si>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</si>
  <si>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</si>
  <si>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</si>
  <si>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</si>
  <si>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</si>
  <si>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</si>
  <si>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</si>
  <si>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</si>
  <si>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</si>
  <si>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</si>
  <si>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</si>
  <si>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</si>
  <si>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</si>
  <si>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</si>
  <si>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</si>
  <si>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</si>
  <si>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</si>
  <si>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</si>
  <si>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</si>
  <si>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</si>
  <si>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</si>
  <si>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</si>
  <si>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</si>
  <si>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</si>
  <si>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</si>
  <si>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</si>
  <si>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</si>
  <si>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</si>
  <si>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</si>
  <si>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</si>
  <si>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</si>
  <si>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</si>
  <si>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</si>
  <si>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</si>
  <si>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</si>
  <si>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</si>
  <si>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</si>
  <si>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</si>
  <si>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</si>
  <si>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</si>
  <si>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</si>
  <si>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</si>
  <si>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</si>
  <si>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</si>
  <si>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</si>
  <si>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</si>
  <si>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</si>
  <si>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</si>
  <si>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</si>
  <si>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</si>
  <si>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</si>
  <si>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</si>
  <si>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</si>
  <si>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</si>
  <si>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</si>
  <si>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</si>
  <si>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</si>
  <si>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</si>
  <si>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</si>
  <si>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</si>
  <si>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</si>
  <si>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</si>
  <si>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</si>
  <si>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</si>
  <si>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</si>
  <si>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</si>
  <si>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</si>
  <si>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</si>
  <si>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</si>
  <si>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</si>
  <si>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</si>
  <si>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</si>
  <si>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</si>
  <si>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</si>
  <si>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</si>
  <si>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</si>
  <si>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</si>
  <si>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</si>
  <si>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</si>
  <si>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</si>
  <si>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</si>
  <si>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</si>
  <si>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</si>
  <si>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</si>
  <si>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</si>
  <si>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</si>
  <si>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</si>
  <si>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</si>
  <si>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</si>
  <si>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</si>
  <si>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</si>
  <si>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</si>
  <si>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</si>
  <si>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</si>
  <si>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</si>
  <si>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</si>
  <si>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</si>
  <si>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</si>
  <si>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</si>
  <si>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</si>
  <si>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</si>
  <si>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</si>
  <si>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</si>
  <si>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</si>
  <si>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</si>
  <si>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</si>
  <si>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</si>
  <si>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</si>
  <si>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</si>
  <si>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</si>
  <si>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</si>
  <si>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</si>
  <si>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</si>
  <si>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</si>
  <si>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</si>
  <si>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</si>
  <si>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</si>
  <si>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</si>
  <si>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</si>
  <si>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</si>
  <si>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</si>
  <si>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</si>
  <si>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</si>
  <si>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</si>
  <si>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</si>
  <si>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</si>
  <si>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</si>
  <si>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</si>
  <si>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</si>
  <si>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</si>
  <si>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</si>
  <si>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</si>
  <si>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</si>
  <si>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</si>
  <si>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</si>
  <si>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</si>
  <si>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</si>
  <si>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</si>
  <si>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</si>
  <si>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</si>
  <si>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</si>
  <si>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</si>
  <si>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</si>
  <si>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</si>
  <si>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</si>
  <si>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</si>
  <si>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</si>
  <si>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</si>
  <si>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</si>
  <si>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</si>
  <si>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</si>
  <si>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</si>
  <si>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</si>
  <si>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</si>
  <si>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</si>
  <si>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</si>
  <si>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</si>
  <si>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</si>
  <si>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</si>
  <si>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</si>
  <si>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</si>
  <si>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</si>
  <si>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</si>
  <si>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</si>
  <si>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</si>
  <si>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</si>
  <si>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</si>
  <si>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</si>
  <si>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</si>
  <si>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</si>
  <si>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</si>
  <si>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</si>
  <si>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</si>
  <si>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</si>
  <si>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</si>
  <si>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</si>
  <si>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</si>
  <si>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</si>
  <si>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</si>
  <si>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</si>
  <si>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</si>
  <si>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</si>
  <si>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</si>
  <si>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</si>
  <si>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</si>
  <si>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</si>
  <si>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</si>
  <si>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</si>
  <si>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</si>
  <si>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</si>
  <si>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</si>
  <si>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</si>
  <si>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</si>
  <si>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</si>
  <si>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</si>
  <si>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</si>
  <si>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</si>
  <si>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</si>
  <si>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</si>
  <si>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</si>
  <si>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</si>
  <si>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</si>
  <si>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</si>
  <si>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</si>
  <si>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</si>
  <si>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</si>
  <si>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</si>
  <si>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</si>
  <si>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</si>
  <si>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</si>
  <si>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</si>
  <si>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</si>
  <si>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</si>
  <si>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</si>
  <si>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</si>
  <si>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</si>
  <si>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</si>
  <si>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</si>
  <si>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</si>
  <si>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</si>
  <si>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</si>
  <si>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</si>
  <si>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</si>
  <si>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</si>
  <si>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</si>
  <si>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</si>
  <si>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</si>
  <si>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</si>
  <si>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</si>
  <si>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</si>
  <si>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</si>
  <si>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</si>
  <si>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</si>
  <si>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</si>
  <si>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</si>
  <si>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</si>
  <si>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</si>
  <si>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</si>
  <si>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</si>
  <si>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</si>
  <si>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</si>
  <si>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</si>
  <si>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</si>
  <si>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</si>
  <si>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</si>
  <si>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</si>
  <si>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</si>
  <si>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</si>
  <si>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</si>
  <si>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</si>
  <si>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</si>
  <si>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</si>
  <si>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</si>
  <si>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</si>
  <si>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</si>
  <si>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</si>
  <si>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</si>
  <si>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</si>
  <si>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</si>
  <si>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</si>
  <si>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</si>
  <si>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</si>
  <si>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</si>
  <si>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</si>
  <si>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</si>
  <si>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</si>
  <si>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</si>
  <si>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</si>
  <si>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</si>
  <si>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</si>
  <si>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</si>
  <si>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</si>
  <si>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</si>
  <si>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</si>
  <si>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</si>
  <si>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</si>
  <si>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</si>
  <si>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</si>
  <si>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</si>
  <si>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</si>
  <si>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</si>
  <si>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</si>
  <si>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</si>
  <si>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</si>
  <si>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</si>
  <si>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</si>
  <si>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</si>
  <si>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</si>
  <si>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</si>
  <si>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</si>
  <si>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</si>
  <si>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</si>
  <si>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</si>
  <si>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</si>
  <si>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</si>
  <si>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</si>
  <si>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</si>
  <si>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</si>
  <si>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</si>
  <si>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</si>
  <si>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</si>
  <si>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</si>
  <si>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</si>
  <si>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</si>
  <si>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</si>
  <si>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</si>
  <si>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</si>
  <si>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</si>
  <si>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</si>
  <si>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</si>
  <si>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</si>
  <si>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</si>
  <si>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</si>
  <si>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</si>
  <si>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</si>
  <si>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</si>
  <si>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</si>
  <si>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</si>
  <si>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</si>
  <si>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</si>
  <si>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</si>
  <si>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</si>
  <si>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</si>
  <si>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</si>
  <si>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</si>
  <si>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</si>
  <si>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</si>
  <si>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</si>
  <si>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</si>
  <si>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</si>
  <si>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</si>
  <si>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</si>
  <si>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</si>
  <si>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</si>
  <si>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</si>
  <si>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</si>
  <si>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</si>
  <si>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</si>
  <si>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</si>
  <si>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</si>
  <si>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</si>
  <si>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</si>
  <si>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</si>
  <si>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</si>
  <si>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</si>
  <si>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</si>
  <si>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</si>
  <si>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</si>
  <si>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</si>
  <si>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</si>
  <si>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</si>
  <si>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</si>
  <si>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</si>
  <si>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</si>
  <si>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</si>
  <si>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</si>
  <si>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</si>
  <si>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</si>
  <si>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</si>
  <si>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</si>
  <si>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</si>
  <si>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</si>
  <si>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</si>
  <si>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</si>
  <si>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</si>
  <si>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</si>
  <si>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</si>
  <si>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</si>
  <si>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</si>
  <si>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</si>
  <si>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</si>
  <si>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</si>
  <si>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</si>
  <si>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</si>
  <si>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</si>
  <si>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</si>
  <si>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</si>
  <si>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</si>
  <si>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</si>
  <si>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</si>
  <si>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</si>
  <si>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</si>
  <si>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</si>
  <si>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</si>
  <si>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</si>
  <si>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</si>
  <si>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</si>
  <si>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</si>
  <si>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</si>
  <si>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</si>
  <si>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</si>
  <si>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</si>
  <si>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</si>
  <si>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</si>
  <si>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</si>
  <si>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</si>
  <si>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</si>
  <si>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</si>
  <si>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</si>
  <si>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</si>
  <si>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</si>
  <si>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</si>
  <si>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</si>
  <si>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</si>
  <si>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</si>
  <si>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</si>
  <si>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</si>
  <si>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</si>
  <si>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</si>
  <si>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</si>
  <si>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</si>
  <si>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</si>
  <si>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</si>
  <si>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</si>
  <si>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</si>
  <si>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</si>
  <si>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</si>
  <si>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</si>
  <si>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</si>
  <si>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</si>
  <si>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</si>
  <si>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</si>
  <si>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</si>
  <si>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</si>
  <si>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</si>
  <si>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</si>
  <si>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</si>
  <si>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</si>
  <si>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</si>
  <si>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</si>
  <si>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</si>
  <si>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</si>
  <si>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</si>
  <si>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</si>
  <si>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</si>
  <si>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</si>
  <si>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</si>
  <si>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</si>
  <si>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</si>
  <si>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</si>
  <si>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</si>
  <si>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</si>
  <si>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</si>
  <si>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</si>
  <si>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</si>
  <si>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</si>
  <si>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</si>
  <si>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</si>
  <si>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</si>
  <si>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</si>
  <si>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</si>
  <si>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</si>
  <si>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</si>
  <si>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</si>
  <si>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</si>
  <si>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</si>
  <si>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</si>
  <si>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</si>
  <si>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</si>
  <si>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</si>
  <si>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</si>
  <si>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</si>
  <si>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</si>
  <si>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</si>
  <si>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</si>
  <si>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</si>
  <si>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</si>
  <si>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</si>
  <si>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</si>
  <si>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</si>
  <si>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</si>
  <si>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</si>
  <si>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</si>
  <si>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</si>
  <si>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</si>
  <si>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</si>
  <si>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</si>
  <si>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</si>
  <si>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</si>
  <si>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</si>
  <si>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</si>
  <si>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</si>
  <si>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</si>
  <si>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</si>
  <si>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</si>
  <si>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</si>
  <si>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</si>
  <si>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</si>
  <si>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</si>
  <si>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</si>
  <si>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</si>
  <si>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</si>
  <si>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</si>
  <si>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</si>
  <si>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</si>
  <si>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</si>
  <si>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</si>
  <si>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</si>
  <si>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</si>
  <si>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</si>
  <si>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</si>
  <si>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</si>
  <si>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</si>
  <si>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</si>
  <si>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</si>
  <si>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</si>
  <si>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</si>
  <si>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</si>
  <si>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</si>
  <si>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</si>
  <si>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</si>
  <si>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</si>
  <si>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</si>
  <si>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</si>
  <si>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</si>
  <si>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</si>
  <si>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</si>
  <si>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</si>
  <si>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</si>
  <si>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</si>
  <si>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</si>
  <si>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</si>
  <si>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</si>
  <si>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</si>
  <si>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</si>
  <si>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</si>
  <si>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</si>
  <si>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</si>
  <si>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</si>
  <si>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</si>
  <si>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</si>
  <si>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</si>
  <si>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</si>
  <si>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</si>
  <si>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</si>
  <si>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</si>
  <si>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</si>
  <si>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</si>
  <si>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</si>
  <si>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</si>
  <si>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</si>
  <si>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</si>
  <si>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</si>
  <si>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</si>
  <si>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</si>
  <si>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</si>
  <si>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</si>
  <si>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</si>
  <si>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</si>
  <si>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</si>
  <si>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</si>
  <si>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</si>
  <si>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</si>
  <si>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</si>
  <si>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</si>
  <si>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</si>
  <si>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</si>
  <si>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</si>
  <si>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</si>
  <si>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</si>
  <si>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</si>
  <si>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</si>
  <si>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</si>
  <si>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</si>
  <si>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</si>
  <si>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</si>
  <si>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</si>
  <si>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</si>
  <si>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</si>
  <si>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</si>
  <si>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</si>
  <si>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</si>
  <si>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</si>
  <si>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</si>
  <si>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</si>
  <si>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</si>
  <si>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</si>
  <si>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</si>
  <si>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</si>
  <si>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</si>
  <si>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</si>
  <si>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</si>
  <si>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</si>
  <si>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</si>
  <si>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</si>
  <si>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</si>
  <si>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</si>
  <si>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</si>
  <si>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</si>
  <si>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</si>
  <si>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</si>
  <si>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</si>
  <si>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</si>
  <si>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</si>
  <si>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</si>
  <si>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</si>
  <si>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</si>
  <si>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</si>
  <si>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</si>
  <si>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</si>
  <si>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</si>
  <si>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</si>
  <si>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</si>
  <si>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</si>
  <si>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</si>
  <si>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</si>
  <si>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</si>
  <si>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</si>
  <si>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</si>
  <si>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</si>
  <si>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</si>
  <si>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</si>
  <si>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</si>
  <si>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</si>
  <si>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</si>
  <si>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</si>
  <si>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</si>
  <si>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</si>
  <si>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</si>
  <si>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</si>
  <si>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</si>
  <si>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</si>
  <si>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</si>
  <si>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</si>
  <si>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</si>
  <si>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</si>
  <si>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</si>
  <si>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</si>
  <si>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</si>
  <si>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</si>
  <si>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</si>
  <si>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</si>
  <si>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</si>
  <si>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</si>
  <si>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</si>
  <si>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</si>
  <si>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</si>
  <si>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</si>
  <si>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</si>
  <si>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</si>
  <si>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</si>
  <si>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</si>
  <si>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</si>
  <si>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</si>
  <si>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</si>
  <si>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</si>
  <si>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</si>
  <si>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</si>
  <si>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</si>
  <si>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</si>
  <si>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</si>
  <si>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</si>
  <si>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</si>
  <si>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</si>
  <si>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</si>
  <si>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</si>
  <si>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</si>
  <si>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</si>
  <si>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</si>
  <si>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</si>
  <si>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</si>
  <si>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</si>
  <si>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</si>
  <si>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</si>
  <si>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</si>
  <si>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</si>
  <si>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</si>
  <si>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</si>
  <si>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</si>
  <si>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</si>
  <si>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</si>
  <si>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</si>
  <si>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</si>
  <si>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</si>
  <si>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</si>
  <si>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</si>
  <si>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</si>
  <si>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</si>
  <si>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</si>
  <si>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</si>
  <si>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</si>
  <si>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</si>
  <si>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</si>
  <si>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</si>
  <si>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</si>
  <si>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</si>
  <si>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</si>
  <si>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</si>
  <si>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</si>
  <si>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</si>
  <si>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</si>
  <si>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</si>
  <si>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</si>
  <si>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</si>
  <si>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</si>
  <si>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</si>
  <si>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</si>
  <si>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</si>
  <si>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</si>
  <si>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</si>
  <si>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</si>
  <si>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</si>
  <si>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</si>
  <si>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</si>
  <si>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</si>
  <si>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</si>
  <si>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</si>
  <si>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</si>
  <si>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</si>
  <si>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</si>
  <si>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</si>
  <si>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</si>
  <si>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</si>
  <si>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</si>
  <si>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</si>
  <si>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</si>
  <si>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</si>
  <si>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</si>
  <si>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</si>
  <si>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</si>
  <si>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</si>
  <si>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</si>
  <si>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</si>
  <si>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</si>
  <si>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</si>
  <si>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</si>
  <si>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</si>
  <si>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</si>
  <si>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</si>
  <si>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</si>
  <si>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</si>
  <si>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</si>
  <si>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</si>
  <si>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</si>
  <si>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</si>
  <si>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</si>
  <si>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</si>
  <si>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</si>
  <si>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</si>
  <si>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</si>
  <si>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</si>
  <si>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</si>
  <si>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</si>
  <si>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</si>
  <si>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</si>
  <si>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</si>
  <si>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</si>
  <si>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</si>
  <si>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</si>
  <si>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</si>
  <si>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</si>
  <si>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</si>
  <si>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</si>
  <si>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</si>
  <si>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</si>
  <si>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</si>
  <si>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</si>
  <si>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</si>
  <si>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</si>
  <si>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</si>
  <si>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</si>
  <si>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</si>
  <si>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</si>
  <si>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</si>
  <si>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</si>
  <si>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</si>
  <si>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</si>
  <si>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</si>
  <si>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</si>
  <si>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</si>
  <si>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</si>
  <si>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</si>
  <si>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</si>
  <si>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</si>
  <si>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</si>
  <si>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</si>
  <si>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</si>
  <si>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</si>
  <si>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</si>
  <si>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</si>
  <si>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</si>
  <si>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</si>
  <si>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</si>
  <si>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</si>
  <si>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</si>
  <si>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</si>
  <si>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</si>
  <si>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</si>
  <si>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</si>
  <si>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</si>
  <si>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</si>
  <si>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</si>
  <si>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</si>
  <si>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</si>
  <si>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</si>
  <si>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</si>
  <si>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</si>
  <si>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</si>
  <si>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</si>
  <si>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</si>
  <si>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</si>
  <si>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</si>
  <si>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</si>
  <si>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</si>
  <si>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</si>
  <si>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</si>
  <si>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</si>
  <si>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</si>
  <si>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</si>
  <si>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</si>
  <si>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</si>
  <si>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</si>
  <si>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</si>
  <si>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</si>
  <si>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</si>
  <si>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</si>
  <si>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</si>
  <si>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</si>
  <si>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</si>
  <si>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</si>
  <si>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</si>
  <si>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</si>
  <si>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</si>
  <si>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</si>
  <si>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</si>
  <si>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</si>
  <si>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</si>
  <si>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</si>
  <si>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</si>
  <si>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</si>
  <si>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</si>
  <si>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</si>
  <si>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</si>
  <si>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</si>
  <si>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</si>
  <si>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</si>
  <si>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</si>
  <si>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</si>
  <si>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</si>
  <si>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</si>
  <si>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</si>
  <si>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</si>
  <si>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</si>
  <si>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</si>
  <si>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</si>
  <si>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</si>
  <si>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</si>
  <si>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</si>
  <si>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</si>
  <si>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</si>
  <si>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</si>
  <si>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</si>
  <si>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</si>
  <si>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</si>
  <si>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</si>
  <si>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</si>
  <si>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</si>
  <si>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</si>
  <si>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</si>
  <si>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</si>
  <si>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</si>
  <si>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</si>
  <si>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</si>
  <si>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</si>
  <si>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</si>
  <si>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</si>
  <si>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</si>
  <si>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</si>
  <si>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</si>
  <si>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</si>
  <si>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</si>
  <si>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</si>
  <si>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</si>
  <si>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</si>
  <si>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</si>
  <si>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</si>
  <si>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</si>
  <si>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</si>
  <si>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</si>
  <si>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</si>
  <si>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</si>
  <si>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</si>
  <si>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</si>
  <si>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</si>
  <si>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</si>
  <si>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</si>
  <si>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</si>
  <si>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</si>
  <si>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</si>
  <si>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</si>
  <si>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</si>
  <si>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</si>
  <si>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</si>
  <si>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</si>
  <si>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</si>
  <si>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</si>
  <si>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</si>
  <si>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</si>
  <si>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</si>
  <si>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</si>
  <si>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</si>
  <si>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</si>
  <si>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</si>
  <si>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</si>
  <si>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</si>
  <si>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</si>
  <si>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</si>
  <si>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</si>
  <si>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</si>
  <si>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</si>
  <si>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</si>
  <si>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</si>
  <si>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</si>
  <si>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</si>
  <si>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</si>
  <si>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</si>
  <si>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</si>
  <si>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</si>
  <si>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</si>
  <si>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</si>
  <si>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</si>
  <si>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</si>
  <si>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</si>
  <si>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</si>
  <si>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</si>
  <si>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</si>
  <si>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</si>
  <si>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</si>
  <si>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</si>
  <si>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</si>
  <si>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</si>
  <si>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</si>
  <si>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</si>
  <si>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</si>
  <si>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</si>
  <si>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</si>
  <si>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</si>
  <si>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</si>
  <si>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</si>
  <si>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</si>
  <si>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</si>
  <si>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</si>
  <si>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</si>
  <si>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</si>
  <si>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</si>
  <si>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</si>
  <si>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</si>
  <si>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</si>
  <si>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</si>
  <si>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</si>
  <si>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</si>
  <si>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</si>
  <si>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</si>
  <si>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</si>
  <si>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</si>
  <si>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</si>
  <si>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</si>
  <si>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</si>
  <si>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</si>
  <si>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</si>
  <si>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</si>
  <si>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</si>
  <si>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</si>
  <si>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</si>
  <si>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</si>
  <si>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</si>
  <si>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</si>
  <si>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</si>
  <si>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</si>
  <si>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</si>
  <si>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</si>
  <si>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</si>
  <si>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</si>
  <si>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</si>
  <si>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</si>
  <si>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</si>
  <si>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</si>
  <si>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</si>
  <si>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</si>
  <si>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</si>
  <si>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</si>
  <si>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</si>
  <si>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</si>
  <si>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</si>
  <si>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</si>
  <si>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</si>
  <si>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</si>
  <si>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</si>
  <si>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</si>
  <si>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</si>
  <si>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</si>
  <si>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</si>
  <si>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</si>
  <si>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</si>
  <si>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</si>
  <si>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</si>
  <si>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</si>
  <si>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</si>
  <si>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</si>
  <si>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</si>
  <si>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</si>
  <si>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</si>
  <si>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</si>
  <si>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</si>
  <si>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</si>
  <si>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</si>
  <si>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</si>
  <si>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</si>
  <si>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</si>
  <si>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</si>
  <si>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</si>
  <si>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</si>
  <si>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</si>
  <si>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</si>
  <si>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</si>
  <si>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</si>
  <si>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</si>
  <si>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</si>
  <si>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</si>
  <si>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</si>
  <si>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</si>
  <si>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</si>
  <si>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</si>
  <si>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</si>
  <si>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</si>
  <si>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</si>
  <si>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</si>
  <si>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</si>
  <si>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</si>
  <si>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</si>
  <si>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</si>
  <si>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</si>
  <si>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</si>
  <si>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</si>
  <si>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</si>
  <si>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</si>
  <si>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</si>
  <si>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</si>
  <si>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</si>
  <si>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</si>
  <si>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</si>
  <si>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</si>
  <si>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</si>
  <si>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</si>
  <si>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</si>
  <si>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</si>
  <si>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</si>
  <si>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</si>
  <si>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</si>
  <si>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</si>
  <si>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</si>
  <si>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</si>
  <si>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</si>
  <si>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</si>
  <si>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</si>
  <si>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</si>
  <si>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</si>
  <si>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</si>
  <si>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</si>
  <si>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</si>
  <si>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</si>
  <si>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</si>
  <si>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</si>
  <si>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</si>
  <si>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</si>
  <si>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</si>
  <si>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</si>
  <si>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</si>
  <si>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</si>
  <si>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</si>
  <si>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</si>
  <si>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</si>
  <si>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</si>
  <si>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</si>
  <si>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</si>
  <si>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</si>
  <si>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</si>
  <si>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</si>
  <si>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</si>
  <si>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</si>
  <si>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</si>
  <si>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</si>
  <si>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</si>
  <si>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</si>
  <si>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</si>
  <si>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</si>
  <si>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</si>
  <si>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</si>
  <si>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</si>
  <si>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</si>
  <si>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</si>
  <si>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</si>
  <si>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</si>
  <si>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</si>
  <si>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</si>
  <si>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</si>
  <si>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</si>
  <si>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</si>
  <si>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</si>
  <si>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</si>
  <si>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</si>
  <si>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</si>
  <si>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</si>
  <si>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</si>
  <si>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</si>
  <si>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</si>
  <si>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</si>
  <si>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</si>
  <si>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</si>
  <si>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</si>
  <si>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</si>
  <si>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</si>
  <si>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</si>
  <si>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</si>
  <si>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</si>
  <si>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</si>
  <si>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</si>
  <si>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</si>
  <si>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</si>
  <si>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</si>
  <si>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</si>
  <si>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</si>
  <si>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</si>
  <si>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</si>
  <si>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</si>
  <si>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</si>
  <si>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</si>
  <si>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</si>
  <si>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</si>
  <si>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</si>
  <si>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</si>
  <si>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</si>
  <si>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</si>
  <si>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</si>
  <si>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</si>
  <si>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</si>
  <si>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</si>
  <si>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</si>
  <si>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</si>
  <si>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</si>
  <si>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</si>
  <si>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</si>
  <si>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</si>
  <si>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</si>
  <si>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</si>
  <si>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</si>
  <si>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</si>
  <si>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</si>
  <si>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</si>
  <si>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</si>
  <si>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</si>
  <si>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</si>
  <si>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</si>
  <si>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</si>
  <si>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</si>
  <si>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</si>
  <si>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</si>
  <si>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</si>
  <si>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</si>
  <si>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</si>
  <si>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</si>
  <si>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</si>
  <si>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</si>
  <si>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</si>
  <si>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</si>
  <si>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</si>
  <si>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</si>
  <si>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</si>
  <si>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</si>
  <si>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</si>
  <si>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</si>
  <si>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</si>
  <si>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</si>
  <si>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</si>
  <si>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</si>
  <si>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</si>
  <si>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</si>
  <si>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</si>
  <si>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</si>
  <si>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</si>
  <si>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</si>
  <si>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</si>
  <si>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</si>
  <si>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</si>
  <si>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</si>
  <si>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</si>
  <si>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</si>
  <si>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</si>
  <si>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</si>
  <si>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</si>
  <si>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</si>
  <si>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</si>
  <si>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</si>
  <si>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</si>
  <si>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</si>
  <si>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</si>
  <si>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</si>
  <si>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</si>
  <si>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</si>
  <si>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</si>
  <si>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</si>
  <si>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</si>
  <si>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</si>
  <si>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</si>
  <si>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</si>
  <si>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</si>
  <si>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</si>
  <si>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</si>
  <si>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</si>
  <si>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</si>
  <si>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</si>
  <si>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</si>
  <si>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</si>
  <si>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</si>
  <si>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</si>
  <si>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</si>
  <si>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</si>
  <si>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</si>
  <si>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</si>
  <si>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</si>
  <si>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</si>
  <si>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</si>
  <si>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</si>
  <si>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</si>
  <si>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</si>
  <si>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</si>
  <si>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</si>
  <si>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</si>
  <si>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</si>
  <si>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</si>
  <si>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</si>
  <si>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</si>
  <si>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</si>
  <si>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</si>
  <si>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</si>
  <si>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</si>
  <si>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</si>
  <si>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</si>
  <si>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</si>
  <si>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</si>
  <si>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</si>
  <si>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</si>
  <si>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</si>
  <si>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</si>
  <si>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</si>
  <si>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</si>
  <si>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</si>
  <si>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</si>
  <si>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</si>
  <si>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</si>
  <si>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</si>
  <si>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</si>
  <si>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</si>
  <si>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</si>
  <si>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</si>
  <si>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</si>
  <si>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</si>
  <si>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</si>
  <si>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</si>
  <si>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</si>
  <si>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</si>
  <si>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</si>
  <si>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</si>
  <si>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</si>
  <si>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</si>
  <si>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</si>
  <si>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</si>
  <si>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</si>
  <si>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</si>
  <si>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</si>
  <si>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</si>
  <si>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</si>
  <si>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</si>
  <si>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</si>
  <si>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</si>
  <si>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</si>
  <si>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</si>
  <si>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</si>
  <si>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</si>
  <si>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</si>
  <si>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</si>
  <si>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</si>
  <si>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</si>
  <si>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</si>
  <si>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</si>
  <si>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</si>
  <si>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</si>
  <si>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</si>
  <si>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</si>
  <si>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</si>
  <si>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</si>
  <si>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</si>
  <si>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</si>
  <si>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</si>
  <si>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</si>
  <si>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</si>
  <si>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</si>
  <si>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</si>
  <si>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</si>
  <si>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</si>
  <si>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</si>
  <si>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</si>
  <si>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</si>
  <si>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</si>
  <si>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</si>
  <si>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</si>
  <si>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</si>
  <si>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</si>
  <si>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</si>
  <si>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</si>
  <si>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</si>
  <si>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</si>
  <si>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</si>
  <si>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</si>
  <si>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</si>
  <si>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</si>
  <si>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</si>
  <si>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</si>
  <si>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</si>
  <si>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</si>
  <si>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</si>
  <si>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</si>
  <si>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</si>
  <si>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</si>
  <si>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</si>
  <si>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</si>
  <si>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</si>
  <si>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</si>
  <si>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</si>
  <si>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</si>
  <si>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</si>
  <si>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</si>
  <si>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</si>
  <si>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</si>
  <si>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</si>
  <si>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</si>
  <si>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</si>
  <si>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</si>
  <si>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</si>
  <si>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</si>
  <si>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</si>
  <si>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</si>
  <si>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</si>
  <si>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</si>
  <si>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</si>
  <si>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</si>
  <si>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</si>
  <si>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</si>
  <si>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</si>
  <si>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</si>
  <si>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</si>
  <si>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</si>
  <si>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</si>
  <si>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</si>
  <si>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</si>
  <si>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</si>
  <si>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</si>
  <si>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</si>
  <si>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</si>
  <si>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</si>
  <si>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</si>
  <si>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</si>
  <si>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</si>
  <si>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</si>
  <si>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</si>
  <si>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</si>
  <si>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</si>
  <si>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</si>
  <si>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</si>
  <si>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</si>
  <si>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</si>
  <si>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</si>
  <si>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</si>
  <si>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</si>
  <si>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</si>
  <si>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</si>
  <si>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</si>
  <si>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</si>
  <si>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</si>
  <si>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</si>
  <si>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</si>
  <si>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</si>
  <si>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</si>
  <si>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</si>
  <si>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</si>
  <si>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</si>
  <si>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</si>
  <si>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</si>
  <si>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</si>
  <si>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</si>
  <si>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</si>
  <si>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</si>
  <si>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</si>
  <si>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</si>
  <si>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</si>
  <si>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</si>
  <si>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</si>
  <si>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</si>
  <si>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</si>
  <si>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</si>
  <si>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</si>
  <si>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</si>
  <si>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</si>
  <si>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</si>
  <si>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</si>
  <si>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</si>
  <si>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</si>
  <si>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</si>
  <si>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</si>
  <si>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</si>
  <si>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</si>
  <si>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</si>
  <si>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</si>
  <si>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</si>
  <si>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</si>
  <si>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</si>
  <si>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</si>
  <si>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</si>
  <si>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</si>
  <si>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</si>
  <si>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</si>
  <si>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</si>
  <si>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</si>
  <si>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</si>
  <si>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</si>
  <si>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</si>
  <si>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</si>
  <si>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</si>
  <si>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</si>
  <si>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</si>
  <si>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</si>
  <si>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</si>
  <si>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</si>
  <si>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</si>
  <si>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</si>
  <si>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</si>
  <si>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</si>
  <si>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</si>
  <si>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</si>
  <si>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</si>
  <si>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</si>
  <si>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</si>
  <si>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</si>
  <si>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</si>
  <si>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</si>
  <si>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</si>
  <si>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</si>
  <si>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</si>
  <si>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</si>
  <si>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</si>
  <si>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</si>
  <si>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</si>
  <si>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</si>
  <si>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</si>
  <si>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</si>
  <si>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</si>
  <si>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</si>
  <si>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</si>
  <si>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</si>
  <si>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</si>
  <si>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</si>
  <si>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</si>
  <si>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</si>
  <si>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</si>
  <si>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</si>
  <si>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</si>
  <si>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</si>
  <si>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</si>
  <si>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</si>
  <si>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</si>
  <si>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</si>
  <si>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</si>
  <si>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</si>
  <si>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</si>
  <si>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</si>
  <si>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</si>
  <si>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</si>
  <si>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</si>
  <si>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</si>
  <si>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</si>
  <si>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</si>
  <si>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</si>
  <si>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</si>
  <si>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</si>
  <si>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</si>
  <si>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</si>
  <si>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</si>
  <si>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</si>
  <si>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</si>
  <si>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</si>
  <si>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</si>
  <si>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</si>
  <si>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</si>
  <si>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</si>
  <si>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</si>
  <si>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</si>
  <si>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</si>
  <si>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</si>
  <si>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</si>
  <si>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</si>
  <si>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</si>
  <si>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</si>
  <si>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</si>
  <si>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</si>
  <si>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</si>
  <si>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</si>
  <si>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</si>
  <si>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</si>
  <si>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</si>
  <si>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</si>
  <si>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</si>
  <si>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</si>
  <si>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</si>
  <si>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</si>
  <si>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</si>
  <si>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</si>
  <si>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</si>
  <si>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</si>
  <si>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</si>
  <si>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</si>
  <si>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</si>
  <si>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</si>
  <si>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</si>
  <si>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</si>
  <si>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</si>
  <si>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</si>
  <si>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</si>
  <si>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</si>
  <si>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</si>
  <si>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</si>
  <si>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</si>
  <si>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</si>
  <si>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</si>
  <si>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</si>
  <si>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</si>
  <si>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</si>
  <si>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</si>
  <si>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</si>
  <si>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</si>
  <si>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</si>
  <si>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</si>
  <si>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</si>
  <si>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</si>
  <si>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</si>
  <si>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</si>
  <si>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</si>
  <si>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</si>
  <si>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</si>
  <si>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</si>
  <si>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</si>
  <si>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</si>
  <si>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</si>
  <si>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</si>
  <si>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</si>
  <si>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</si>
  <si>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</si>
  <si>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</si>
  <si>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</si>
  <si>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</si>
  <si>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</si>
  <si>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</si>
  <si>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</si>
  <si>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</si>
  <si>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</si>
  <si>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</si>
  <si>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</si>
  <si>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</si>
  <si>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</si>
  <si>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</si>
  <si>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</si>
  <si>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</si>
  <si>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</si>
  <si>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</si>
  <si>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</si>
  <si>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</si>
  <si>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</si>
  <si>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</si>
  <si>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</si>
  <si>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</si>
  <si>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</si>
  <si>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</si>
  <si>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</si>
  <si>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</si>
  <si>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</si>
  <si>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</si>
  <si>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</si>
  <si>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</si>
  <si>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</si>
  <si>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</si>
  <si>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</si>
  <si>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</si>
  <si>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</si>
  <si>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</si>
  <si>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</si>
  <si>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</si>
  <si>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</si>
  <si>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</si>
  <si>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</si>
  <si>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</si>
  <si>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</si>
  <si>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</si>
  <si>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</si>
  <si>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</si>
  <si>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</si>
  <si>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</si>
  <si>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</si>
  <si>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</si>
  <si>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</si>
  <si>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</si>
  <si>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</si>
  <si>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</si>
  <si>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</si>
  <si>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</si>
  <si>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</si>
  <si>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</si>
  <si>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</si>
  <si>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</si>
  <si>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</si>
  <si>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</si>
  <si>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</si>
  <si>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</si>
  <si>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</si>
  <si>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</si>
  <si>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</si>
  <si>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</si>
  <si>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</si>
  <si>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</si>
  <si>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</si>
  <si>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</si>
  <si>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</si>
  <si>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</si>
  <si>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</si>
  <si>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</si>
  <si>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</si>
  <si>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</si>
  <si>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</si>
  <si>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</si>
  <si>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</si>
  <si>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</si>
  <si>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</si>
  <si>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</si>
  <si>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</si>
  <si>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</si>
  <si>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</si>
  <si>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</si>
  <si>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</si>
  <si>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</si>
  <si>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</si>
  <si>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</si>
  <si>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</si>
  <si>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</si>
  <si>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</si>
  <si>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</si>
  <si>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</si>
  <si>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</si>
  <si>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</si>
  <si>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</si>
  <si>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</si>
  <si>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</si>
  <si>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</si>
  <si>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</si>
  <si>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</si>
  <si>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</si>
  <si>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</si>
  <si>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</si>
  <si>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</si>
  <si>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</si>
  <si>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</si>
  <si>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</si>
  <si>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</si>
  <si>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</si>
  <si>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</si>
  <si>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</si>
  <si>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</si>
  <si>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</si>
  <si>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</si>
  <si>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</si>
  <si>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</si>
  <si>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</si>
  <si>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</si>
  <si>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</si>
  <si>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</si>
  <si>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</si>
  <si>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</si>
  <si>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</si>
  <si>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</si>
  <si>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Adiado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</si>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</sst>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zoomScaleNormal="100" workbookViewId="0">
      <pane ySplit="1" topLeftCell="A693" activePane="bottomLeft" state="frozen"/>
      <selection pane="bottomLeft" activeCell="C694" sqref="C694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2026-091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57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si="7"/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7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7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7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7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7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7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7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7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7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7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7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7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7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7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7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7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7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7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7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7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7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7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7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7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7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7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7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7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7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7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7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7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7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7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7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7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7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7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7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7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7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7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7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7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7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7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7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7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7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7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7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ref="R458:R521" si="8">SUM(O458:Q458)</f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si="8"/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8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8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8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8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8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8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8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8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8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8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8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8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8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8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8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8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8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8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8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8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8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8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8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8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8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8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8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8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8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8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8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8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8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8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8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8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8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8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8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8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8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8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8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8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8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8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8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8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8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8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8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ref="R522:R585" si="9">SUM(O522:Q522)</f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si="9"/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9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9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9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9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9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9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9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9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9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9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9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9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9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9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9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9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9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9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9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9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9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9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9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9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9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9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9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9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9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9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9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9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9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9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9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9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9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9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9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9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9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9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9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40</v>
      </c>
      <c r="O578" s="125">
        <v>0</v>
      </c>
      <c r="P578" s="125">
        <v>0</v>
      </c>
      <c r="Q578" s="125">
        <v>40</v>
      </c>
      <c r="R578" s="125">
        <f t="shared" si="9"/>
        <v>40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40</v>
      </c>
      <c r="O579" s="125">
        <v>0</v>
      </c>
      <c r="P579" s="125">
        <v>0</v>
      </c>
      <c r="Q579" s="125">
        <v>40</v>
      </c>
      <c r="R579" s="125">
        <f t="shared" si="9"/>
        <v>40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9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9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9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9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9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9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ref="R586:R641" si="10">SUM(O586:Q586)</f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si="10"/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0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0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0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0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0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0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0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0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0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0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0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0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0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0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0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0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0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0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0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0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0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0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0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0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0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0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0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0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0"/>
        <v>7</v>
      </c>
      <c r="S627" s="118"/>
      <c r="T627" s="121" t="s">
        <v>479</v>
      </c>
    </row>
    <row r="628" spans="1:20" ht="30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0"/>
        <v>80</v>
      </c>
      <c r="S628" s="118">
        <v>2</v>
      </c>
      <c r="T628" s="121"/>
    </row>
    <row r="629" spans="1:20" ht="1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0"/>
        <v>23</v>
      </c>
      <c r="S629" s="118" t="s">
        <v>2577</v>
      </c>
      <c r="T629" s="121" t="s">
        <v>2578</v>
      </c>
    </row>
    <row r="630" spans="1:20" ht="1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0"/>
        <v>49</v>
      </c>
      <c r="S630" s="118">
        <v>16</v>
      </c>
      <c r="T630" s="121" t="s">
        <v>2583</v>
      </c>
    </row>
    <row r="631" spans="1:20" ht="1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0"/>
        <v>228</v>
      </c>
      <c r="S631" s="118">
        <v>14</v>
      </c>
      <c r="T631" s="121" t="s">
        <v>479</v>
      </c>
    </row>
    <row r="632" spans="1:20" ht="1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0"/>
        <v>28</v>
      </c>
      <c r="S632" s="118">
        <v>8</v>
      </c>
      <c r="T632" s="121" t="s">
        <v>2021</v>
      </c>
    </row>
    <row r="633" spans="1:20" ht="30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0"/>
        <v>16</v>
      </c>
      <c r="S633" s="118">
        <v>48</v>
      </c>
      <c r="T633" s="132" t="s">
        <v>2595</v>
      </c>
    </row>
    <row r="634" spans="1:20" ht="1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0"/>
        <v>40</v>
      </c>
      <c r="S634" s="118">
        <v>12</v>
      </c>
      <c r="T634" s="121" t="s">
        <v>2452</v>
      </c>
    </row>
    <row r="635" spans="1:20" ht="30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0"/>
        <v>80</v>
      </c>
      <c r="S635" s="118">
        <v>4</v>
      </c>
      <c r="T635" s="175"/>
    </row>
    <row r="636" spans="1:20" ht="1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0"/>
        <v>70</v>
      </c>
      <c r="S636" s="118">
        <v>1</v>
      </c>
      <c r="T636" s="121" t="s">
        <v>2322</v>
      </c>
    </row>
    <row r="637" spans="1:20" ht="1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0"/>
        <v>28</v>
      </c>
      <c r="S637" s="118">
        <v>12</v>
      </c>
      <c r="T637" s="121" t="s">
        <v>2611</v>
      </c>
    </row>
    <row r="638" spans="1:20" ht="1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0"/>
        <v>30</v>
      </c>
      <c r="S638" s="118">
        <v>12</v>
      </c>
      <c r="T638" s="121" t="s">
        <v>2616</v>
      </c>
    </row>
    <row r="639" spans="1:20" ht="1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0"/>
        <v>21</v>
      </c>
      <c r="S639" s="118" t="s">
        <v>2577</v>
      </c>
      <c r="T639" s="121" t="s">
        <v>2578</v>
      </c>
    </row>
    <row r="640" spans="1:20" ht="1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0"/>
        <v>179</v>
      </c>
      <c r="S640" s="118">
        <v>14</v>
      </c>
      <c r="T640" s="121" t="s">
        <v>479</v>
      </c>
    </row>
    <row r="641" spans="1:20" ht="30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0"/>
        <v>0</v>
      </c>
      <c r="S641" s="118">
        <v>2</v>
      </c>
      <c r="T641" s="121"/>
    </row>
    <row r="642" spans="1:20" ht="1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1">SUM(O643:Q643)</f>
        <v>33</v>
      </c>
      <c r="S643" s="118">
        <v>20</v>
      </c>
      <c r="T643" s="121" t="s">
        <v>2166</v>
      </c>
    </row>
    <row r="644" spans="1:20" ht="30">
      <c r="A644" s="122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1"/>
        <v>39</v>
      </c>
      <c r="S644" s="118">
        <v>4</v>
      </c>
      <c r="T644" s="148" t="s">
        <v>2369</v>
      </c>
    </row>
    <row r="645" spans="1:20" ht="30">
      <c r="A645" s="122" t="s">
        <v>2639</v>
      </c>
      <c r="B645" s="118">
        <v>2025</v>
      </c>
      <c r="C645" s="118" t="s">
        <v>22</v>
      </c>
      <c r="D645" s="118" t="s">
        <v>2640</v>
      </c>
      <c r="E645" s="119" t="s">
        <v>2558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1"/>
        <v>39</v>
      </c>
      <c r="S645" s="118">
        <v>4</v>
      </c>
      <c r="T645" s="148" t="s">
        <v>2641</v>
      </c>
    </row>
    <row r="646" spans="1:20" ht="30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1"/>
        <v>170</v>
      </c>
      <c r="S646" s="118">
        <v>2</v>
      </c>
      <c r="T646" s="132" t="s">
        <v>2616</v>
      </c>
    </row>
    <row r="647" spans="1:20" ht="30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1"/>
        <v>13</v>
      </c>
      <c r="S647" s="118">
        <v>20</v>
      </c>
      <c r="T647" s="121" t="s">
        <v>803</v>
      </c>
    </row>
    <row r="648" spans="1:20" ht="1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1"/>
        <v>34</v>
      </c>
      <c r="S648" s="118">
        <v>20</v>
      </c>
      <c r="T648" s="121" t="s">
        <v>2026</v>
      </c>
    </row>
    <row r="649" spans="1:20" ht="1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1"/>
        <v>45</v>
      </c>
      <c r="S649" s="118">
        <v>12</v>
      </c>
      <c r="T649" s="121" t="s">
        <v>2462</v>
      </c>
    </row>
    <row r="650" spans="1:20" ht="30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1"/>
        <v>72</v>
      </c>
      <c r="S650" s="118">
        <v>8</v>
      </c>
      <c r="T650" s="132" t="s">
        <v>2660</v>
      </c>
    </row>
    <row r="651" spans="1:20" ht="30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/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2846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>
        <v>46335</v>
      </c>
      <c r="J694" s="157">
        <v>46336</v>
      </c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2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2"/>
        <v>15</v>
      </c>
      <c r="S701" s="154">
        <v>24</v>
      </c>
      <c r="T701" s="155" t="s">
        <v>2809</v>
      </c>
    </row>
    <row r="702" spans="1:20" ht="1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2"/>
        <v>51</v>
      </c>
      <c r="S702" s="154">
        <v>4</v>
      </c>
      <c r="T702" s="155" t="s">
        <v>2883</v>
      </c>
    </row>
    <row r="703" spans="1:20" ht="1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2"/>
        <v>42</v>
      </c>
      <c r="S703" s="154">
        <v>4</v>
      </c>
      <c r="T703" s="155" t="s">
        <v>2887</v>
      </c>
    </row>
    <row r="704" spans="1:20" ht="1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2"/>
        <v>34</v>
      </c>
      <c r="S704" s="154">
        <v>8</v>
      </c>
      <c r="T704" s="121" t="s">
        <v>2713</v>
      </c>
    </row>
    <row r="705" spans="1:21" ht="1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2"/>
        <v>47</v>
      </c>
      <c r="S705" s="154">
        <v>4</v>
      </c>
      <c r="T705" s="155" t="s">
        <v>2895</v>
      </c>
    </row>
    <row r="706" spans="1:21" ht="1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2"/>
        <v>77</v>
      </c>
      <c r="S706" s="154">
        <v>4</v>
      </c>
      <c r="T706" s="155" t="s">
        <v>2452</v>
      </c>
    </row>
    <row r="707" spans="1:21" ht="1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2"/>
        <v>57</v>
      </c>
      <c r="S707" s="154">
        <v>4</v>
      </c>
      <c r="T707" s="155" t="s">
        <v>2462</v>
      </c>
    </row>
    <row r="708" spans="1:21" ht="1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2"/>
        <v>60</v>
      </c>
      <c r="S708" s="154">
        <v>4</v>
      </c>
      <c r="T708" s="155" t="s">
        <v>2907</v>
      </c>
    </row>
    <row r="709" spans="1:21" ht="1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2"/>
        <v>0</v>
      </c>
      <c r="S709" s="154">
        <v>10</v>
      </c>
      <c r="T709" s="155" t="s">
        <v>2912</v>
      </c>
      <c r="U709" s="105"/>
    </row>
    <row r="710" spans="1:21" ht="1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2"/>
        <v>220</v>
      </c>
      <c r="S710" s="154">
        <v>4</v>
      </c>
      <c r="T710" s="155" t="s">
        <v>479</v>
      </c>
    </row>
    <row r="711" spans="1:21" ht="1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2"/>
        <v>46</v>
      </c>
      <c r="S711" s="154">
        <v>1</v>
      </c>
      <c r="T711" s="155" t="s">
        <v>2920</v>
      </c>
    </row>
    <row r="712" spans="1:21" ht="1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80</v>
      </c>
      <c r="O714" s="158">
        <v>0</v>
      </c>
      <c r="P714" s="158">
        <v>0</v>
      </c>
      <c r="Q714" s="158">
        <v>80</v>
      </c>
      <c r="R714" s="158">
        <f t="shared" ref="R714:R719" si="13">IF(B714="","",SUM(O714:Q714))</f>
        <v>80</v>
      </c>
      <c r="S714" s="154">
        <v>4</v>
      </c>
      <c r="T714" s="179" t="s">
        <v>2932</v>
      </c>
    </row>
    <row r="715" spans="1:21" ht="30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80</v>
      </c>
      <c r="O715" s="158">
        <v>0</v>
      </c>
      <c r="P715" s="158">
        <v>0</v>
      </c>
      <c r="Q715" s="158">
        <v>80</v>
      </c>
      <c r="R715" s="158">
        <f t="shared" si="13"/>
        <v>80</v>
      </c>
      <c r="S715" s="154">
        <v>4</v>
      </c>
      <c r="T715" s="179" t="s">
        <v>2932</v>
      </c>
    </row>
    <row r="716" spans="1:21" ht="15">
      <c r="A716" s="156" t="s">
        <v>2936</v>
      </c>
      <c r="B716" s="137">
        <v>2026</v>
      </c>
      <c r="C716" s="154" t="s">
        <v>2710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3"/>
        <v>0</v>
      </c>
      <c r="S716" s="154">
        <v>4</v>
      </c>
      <c r="T716" s="121"/>
    </row>
    <row r="717" spans="1:21" ht="15">
      <c r="A717" s="156" t="s">
        <v>2939</v>
      </c>
      <c r="B717" s="137">
        <v>2026</v>
      </c>
      <c r="C717" s="154" t="s">
        <v>2710</v>
      </c>
      <c r="D717" s="154" t="s">
        <v>2929</v>
      </c>
      <c r="E717" s="159" t="s">
        <v>2940</v>
      </c>
      <c r="F717" s="170" t="s">
        <v>88</v>
      </c>
      <c r="G717" s="155" t="s">
        <v>2717</v>
      </c>
      <c r="H717" s="156" t="s">
        <v>2941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3"/>
        <v>0</v>
      </c>
      <c r="S717" s="154">
        <v>4</v>
      </c>
      <c r="T717" s="121"/>
    </row>
    <row r="718" spans="1:21" ht="15">
      <c r="A718" s="156" t="s">
        <v>2942</v>
      </c>
      <c r="B718" s="137">
        <v>2026</v>
      </c>
      <c r="C718" s="154" t="s">
        <v>2710</v>
      </c>
      <c r="D718" s="154" t="s">
        <v>2929</v>
      </c>
      <c r="E718" s="159" t="s">
        <v>2943</v>
      </c>
      <c r="F718" s="170" t="s">
        <v>88</v>
      </c>
      <c r="G718" s="155" t="s">
        <v>2717</v>
      </c>
      <c r="H718" s="156" t="s">
        <v>2944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3"/>
        <v>0</v>
      </c>
      <c r="S718" s="154">
        <v>4</v>
      </c>
      <c r="T718" s="121"/>
    </row>
    <row r="719" spans="1:21" ht="15">
      <c r="A719" s="156" t="s">
        <v>2945</v>
      </c>
      <c r="B719" s="137">
        <v>2026</v>
      </c>
      <c r="C719" s="154" t="s">
        <v>2710</v>
      </c>
      <c r="D719" s="154" t="s">
        <v>2929</v>
      </c>
      <c r="E719" s="159" t="s">
        <v>2946</v>
      </c>
      <c r="F719" s="170" t="s">
        <v>88</v>
      </c>
      <c r="G719" s="155" t="s">
        <v>2717</v>
      </c>
      <c r="H719" s="156" t="s">
        <v>2947</v>
      </c>
      <c r="I719" s="191">
        <v>46304</v>
      </c>
      <c r="J719" s="191">
        <v>46274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3"/>
        <v>0</v>
      </c>
      <c r="S719" s="154">
        <v>4</v>
      </c>
      <c r="T719" s="121"/>
    </row>
    <row r="720" spans="1:21" ht="30">
      <c r="A720" s="122" t="s">
        <v>2948</v>
      </c>
      <c r="B720" s="137">
        <v>2026</v>
      </c>
      <c r="C720" s="118" t="s">
        <v>22</v>
      </c>
      <c r="D720" s="118" t="s">
        <v>2949</v>
      </c>
      <c r="E720" s="119" t="s">
        <v>2950</v>
      </c>
      <c r="F720" s="120" t="s">
        <v>24</v>
      </c>
      <c r="G720" s="121" t="s">
        <v>206</v>
      </c>
      <c r="H720" s="122" t="s">
        <v>2951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2952</v>
      </c>
    </row>
    <row r="721" spans="1:20" ht="45">
      <c r="A721" s="122" t="s">
        <v>2953</v>
      </c>
      <c r="B721" s="137">
        <v>2026</v>
      </c>
      <c r="C721" s="137" t="s">
        <v>22</v>
      </c>
      <c r="D721" s="137" t="s">
        <v>2929</v>
      </c>
      <c r="E721" s="138" t="s">
        <v>2954</v>
      </c>
      <c r="F721" s="144" t="s">
        <v>88</v>
      </c>
      <c r="G721" s="150" t="s">
        <v>2717</v>
      </c>
      <c r="H721" s="140" t="s">
        <v>2955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80</v>
      </c>
      <c r="O721" s="143">
        <v>0</v>
      </c>
      <c r="P721" s="185">
        <v>0</v>
      </c>
      <c r="Q721" s="143">
        <v>80</v>
      </c>
      <c r="R721" s="143">
        <f>SUM(O721:Q721)</f>
        <v>80</v>
      </c>
      <c r="S721" s="137">
        <v>4</v>
      </c>
      <c r="T721" s="163" t="s">
        <v>2956</v>
      </c>
    </row>
    <row r="722" spans="1:20" ht="45">
      <c r="A722" s="122" t="s">
        <v>2957</v>
      </c>
      <c r="B722" s="118">
        <v>2026</v>
      </c>
      <c r="C722" s="118" t="s">
        <v>22</v>
      </c>
      <c r="D722" s="118" t="s">
        <v>2929</v>
      </c>
      <c r="E722" s="119" t="s">
        <v>2958</v>
      </c>
      <c r="F722" s="120" t="s">
        <v>88</v>
      </c>
      <c r="G722" s="146" t="s">
        <v>2717</v>
      </c>
      <c r="H722" s="122" t="s">
        <v>2959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80</v>
      </c>
      <c r="O722" s="125">
        <v>0</v>
      </c>
      <c r="P722" s="186">
        <v>0</v>
      </c>
      <c r="Q722" s="125">
        <v>80</v>
      </c>
      <c r="R722" s="125">
        <f>SUM(O722:Q722)</f>
        <v>80</v>
      </c>
      <c r="S722" s="118">
        <v>4</v>
      </c>
      <c r="T722" s="148" t="s">
        <v>2960</v>
      </c>
    </row>
    <row r="723" spans="1:20" ht="15">
      <c r="A723" s="122" t="s">
        <v>2961</v>
      </c>
      <c r="B723" s="137">
        <v>2026</v>
      </c>
      <c r="C723" s="154" t="s">
        <v>22</v>
      </c>
      <c r="D723" s="154" t="s">
        <v>2962</v>
      </c>
      <c r="E723" s="159" t="s">
        <v>2963</v>
      </c>
      <c r="F723" s="170" t="s">
        <v>88</v>
      </c>
      <c r="G723" s="155" t="s">
        <v>2717</v>
      </c>
      <c r="H723" s="156" t="s">
        <v>2964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50</v>
      </c>
      <c r="R723" s="158">
        <f>IF(B723="","",SUM(O723:Q723))</f>
        <v>50</v>
      </c>
      <c r="S723" s="154">
        <v>3</v>
      </c>
      <c r="T723" s="155" t="s">
        <v>1921</v>
      </c>
    </row>
    <row r="724" spans="1:20" ht="15">
      <c r="A724" s="156" t="s">
        <v>2965</v>
      </c>
      <c r="B724" s="172">
        <v>2026</v>
      </c>
      <c r="C724" s="154" t="s">
        <v>22</v>
      </c>
      <c r="D724" s="154" t="s">
        <v>2966</v>
      </c>
      <c r="E724" s="159" t="s">
        <v>2967</v>
      </c>
      <c r="F724" s="170" t="s">
        <v>88</v>
      </c>
      <c r="G724" s="155" t="s">
        <v>2717</v>
      </c>
      <c r="H724" s="156" t="s">
        <v>2968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2969</v>
      </c>
      <c r="B725" s="154">
        <v>2026</v>
      </c>
      <c r="C725" s="154" t="s">
        <v>22</v>
      </c>
      <c r="D725" s="154" t="s">
        <v>2962</v>
      </c>
      <c r="E725" s="159" t="s">
        <v>2970</v>
      </c>
      <c r="F725" s="170" t="s">
        <v>88</v>
      </c>
      <c r="G725" s="155" t="s">
        <v>2717</v>
      </c>
      <c r="H725" s="156" t="s">
        <v>2971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2972</v>
      </c>
      <c r="B726" s="154">
        <v>2026</v>
      </c>
      <c r="C726" s="154" t="s">
        <v>2710</v>
      </c>
      <c r="D726" s="154" t="s">
        <v>2962</v>
      </c>
      <c r="E726" s="159" t="s">
        <v>2973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4">IF(B726="","",SUM(O726:Q726))</f>
        <v>0</v>
      </c>
      <c r="S726" s="154"/>
      <c r="T726" s="155"/>
    </row>
    <row r="727" spans="1:20" ht="15">
      <c r="A727" s="156" t="s">
        <v>2974</v>
      </c>
      <c r="B727" s="154">
        <v>2026</v>
      </c>
      <c r="C727" s="154" t="s">
        <v>2710</v>
      </c>
      <c r="D727" s="154" t="s">
        <v>2962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4"/>
        <v>0</v>
      </c>
      <c r="S727" s="154"/>
      <c r="T727" s="155"/>
    </row>
    <row r="728" spans="1:20" ht="15">
      <c r="A728" s="156" t="s">
        <v>2976</v>
      </c>
      <c r="B728" s="154">
        <v>2026</v>
      </c>
      <c r="C728" s="154" t="s">
        <v>22</v>
      </c>
      <c r="D728" s="154" t="s">
        <v>2962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80</v>
      </c>
      <c r="O728" s="158">
        <v>0</v>
      </c>
      <c r="P728" s="158">
        <v>0</v>
      </c>
      <c r="Q728" s="158">
        <v>80</v>
      </c>
      <c r="R728" s="158">
        <f t="shared" si="14"/>
        <v>80</v>
      </c>
      <c r="S728" s="154">
        <v>3</v>
      </c>
      <c r="T728" s="155" t="s">
        <v>1921</v>
      </c>
    </row>
    <row r="729" spans="1:20" ht="15">
      <c r="A729" s="156" t="s">
        <v>2979</v>
      </c>
      <c r="B729" s="154">
        <v>2026</v>
      </c>
      <c r="C729" s="154" t="s">
        <v>2710</v>
      </c>
      <c r="D729" s="154" t="s">
        <v>2962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4"/>
        <v>0</v>
      </c>
      <c r="S729" s="154"/>
      <c r="T729" s="155"/>
    </row>
    <row r="730" spans="1:20" ht="15">
      <c r="A730" s="156" t="s">
        <v>2981</v>
      </c>
      <c r="B730" s="154">
        <v>2026</v>
      </c>
      <c r="C730" s="154" t="s">
        <v>2710</v>
      </c>
      <c r="D730" s="154" t="s">
        <v>2962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4"/>
        <v>0</v>
      </c>
      <c r="S730" s="154"/>
      <c r="T730" s="155"/>
    </row>
    <row r="731" spans="1:20" ht="15">
      <c r="A731" s="156" t="s">
        <v>2983</v>
      </c>
      <c r="B731" s="154">
        <v>2026</v>
      </c>
      <c r="C731" s="154" t="s">
        <v>2710</v>
      </c>
      <c r="D731" s="154" t="s">
        <v>2962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4"/>
        <v>0</v>
      </c>
      <c r="S731" s="154"/>
      <c r="T731" s="155"/>
    </row>
    <row r="732" spans="1:20" ht="1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4"/>
        <v>0</v>
      </c>
      <c r="S732" s="154"/>
      <c r="T732" s="155"/>
    </row>
    <row r="733" spans="1:20" ht="1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4"/>
        <v>0</v>
      </c>
      <c r="S733" s="154"/>
      <c r="T733" s="155"/>
    </row>
    <row r="734" spans="1:20" ht="1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4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4"/>
        <v>0</v>
      </c>
      <c r="S735" s="154">
        <v>2</v>
      </c>
      <c r="T735" s="155" t="s">
        <v>2998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4"/>
        <v>0</v>
      </c>
      <c r="S736" s="154"/>
      <c r="T736" s="155"/>
    </row>
    <row r="737" spans="1:20" ht="1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4"/>
        <v>30</v>
      </c>
      <c r="S737" s="154">
        <v>8</v>
      </c>
      <c r="T737" s="155" t="s">
        <v>2713</v>
      </c>
    </row>
    <row r="738" spans="1:20" ht="1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2694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/>
      <c r="N738" s="158">
        <v>30</v>
      </c>
      <c r="O738" s="158">
        <v>0</v>
      </c>
      <c r="P738" s="158">
        <v>21</v>
      </c>
      <c r="Q738" s="158">
        <v>0</v>
      </c>
      <c r="R738" s="158">
        <f t="shared" si="14"/>
        <v>21</v>
      </c>
      <c r="S738" s="154">
        <v>12</v>
      </c>
      <c r="T738" s="155" t="s">
        <v>3009</v>
      </c>
    </row>
    <row r="739" spans="1:20" ht="1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4"/>
        <v>20</v>
      </c>
      <c r="S739" s="154">
        <v>9</v>
      </c>
      <c r="T739" s="155" t="s">
        <v>218</v>
      </c>
    </row>
    <row r="740" spans="1:20" ht="1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4"/>
        <v>0</v>
      </c>
      <c r="S740" s="154">
        <v>4</v>
      </c>
      <c r="T740" s="155" t="s">
        <v>1909</v>
      </c>
    </row>
    <row r="741" spans="1:20" ht="15">
      <c r="A741" s="156" t="s">
        <v>3018</v>
      </c>
      <c r="B741" s="154">
        <v>2026</v>
      </c>
      <c r="C741" s="154" t="s">
        <v>2710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4"/>
        <v>0</v>
      </c>
      <c r="S741" s="154">
        <v>8</v>
      </c>
      <c r="T741" s="155" t="s">
        <v>2826</v>
      </c>
    </row>
    <row r="742" spans="1:20" ht="1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4"/>
        <v>0</v>
      </c>
      <c r="S742" s="154">
        <v>8</v>
      </c>
      <c r="T742" s="155" t="s">
        <v>2826</v>
      </c>
    </row>
    <row r="743" spans="1:20" ht="15">
      <c r="A743" s="156" t="s">
        <v>3025</v>
      </c>
      <c r="B743" s="154">
        <v>2027</v>
      </c>
      <c r="C743" s="154" t="s">
        <v>2710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4"/>
        <v>0</v>
      </c>
      <c r="S743" s="154">
        <v>2</v>
      </c>
      <c r="T743" s="155" t="s">
        <v>2998</v>
      </c>
    </row>
    <row r="744" spans="1:20" ht="1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4"/>
        <v>0</v>
      </c>
      <c r="S744" s="154">
        <v>16</v>
      </c>
      <c r="T744" s="155" t="s">
        <v>803</v>
      </c>
    </row>
    <row r="745" spans="1:20" ht="1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4"/>
        <v>0</v>
      </c>
      <c r="S745" s="154">
        <v>16</v>
      </c>
      <c r="T745" s="155" t="s">
        <v>803</v>
      </c>
    </row>
    <row r="746" spans="1:20" ht="15">
      <c r="A746" s="156" t="s">
        <v>3036</v>
      </c>
      <c r="B746" s="154">
        <v>2026</v>
      </c>
      <c r="C746" s="154" t="s">
        <v>2710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4"/>
        <v>0</v>
      </c>
      <c r="S746" s="154">
        <v>20</v>
      </c>
      <c r="T746" s="155" t="s">
        <v>3040</v>
      </c>
    </row>
    <row r="747" spans="1:20" ht="15">
      <c r="A747" s="154" t="str">
        <f ca="1">IF(E747="","",IF(B747="",YEAR(TODAY()),B747)&amp;"-"&amp;TEXT(COUNTIF($B$2:B747,IF(B747="",YEAR(TODAY()),B747))+COUNTIFS($E$2:E747,"&lt;&gt;",$B$2:B747,""),"000"))</f>
        <v/>
      </c>
      <c r="B747" s="154"/>
      <c r="C747" s="154"/>
      <c r="D747" s="154"/>
      <c r="E747" s="159"/>
      <c r="F747" s="170"/>
      <c r="G747" s="155"/>
      <c r="H747" s="156"/>
      <c r="I747" s="191"/>
      <c r="J747" s="191"/>
      <c r="K747" s="154"/>
      <c r="L747" s="160"/>
      <c r="M747" s="183"/>
      <c r="N747" s="158"/>
      <c r="O747" s="158"/>
      <c r="P747" s="158"/>
      <c r="Q747" s="158"/>
      <c r="R747" s="158" t="str">
        <f t="shared" si="14"/>
        <v/>
      </c>
      <c r="S747" s="154"/>
      <c r="T747" s="155"/>
    </row>
    <row r="748" spans="1:20" ht="15">
      <c r="A748" s="154" t="str">
        <f ca="1">IF(E748="","",IF(B748="",YEAR(TODAY()),B748)&amp;"-"&amp;TEXT(COUNTIF($B$2:B748,IF(B748="",YEAR(TODAY()),B748))+COUNTIFS($E$2:E748,"&lt;&gt;",$B$2:B748,""),"000"))</f>
        <v/>
      </c>
      <c r="B748" s="154"/>
      <c r="C748" s="154"/>
      <c r="D748" s="154"/>
      <c r="E748" s="159"/>
      <c r="F748" s="170"/>
      <c r="G748" s="155"/>
      <c r="H748" s="156"/>
      <c r="I748" s="191"/>
      <c r="J748" s="191"/>
      <c r="K748" s="154"/>
      <c r="L748" s="160"/>
      <c r="M748" s="183"/>
      <c r="N748" s="158"/>
      <c r="O748" s="158"/>
      <c r="P748" s="158"/>
      <c r="Q748" s="158"/>
      <c r="R748" s="158" t="str">
        <f t="shared" si="14"/>
        <v/>
      </c>
      <c r="S748" s="154"/>
      <c r="T748" s="155"/>
    </row>
    <row r="749" spans="1:20" ht="15">
      <c r="A749" s="154" t="str">
        <f ca="1">IF(E749="","",IF(B749="",YEAR(TODAY()),B749)&amp;"-"&amp;TEXT(COUNTIF($B$2:B749,IF(B749="",YEAR(TODAY()),B749))+COUNTIFS($E$2:E749,"&lt;&gt;",$B$2:B749,""),"000"))</f>
        <v/>
      </c>
      <c r="B749" s="154"/>
      <c r="C749" s="154"/>
      <c r="D749" s="154"/>
      <c r="E749" s="159"/>
      <c r="F749" s="170"/>
      <c r="G749" s="155"/>
      <c r="H749" s="156"/>
      <c r="I749" s="191"/>
      <c r="J749" s="191"/>
      <c r="K749" s="154"/>
      <c r="L749" s="160"/>
      <c r="M749" s="183"/>
      <c r="N749" s="158"/>
      <c r="O749" s="158"/>
      <c r="P749" s="158"/>
      <c r="Q749" s="158"/>
      <c r="R749" s="158" t="str">
        <f t="shared" si="14"/>
        <v/>
      </c>
      <c r="S749" s="154"/>
      <c r="T749" s="155"/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4:S715 A716:T2001">
    <cfRule type="expression" dxfId="52" priority="9">
      <formula>MOD(ROW(),2)=0</formula>
    </cfRule>
  </conditionalFormatting>
  <conditionalFormatting sqref="A2002:A2006 E2007 A2:T713 A714:S715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75"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3041</v>
      </c>
      <c r="H1" s="168" t="s">
        <v>3042</v>
      </c>
    </row>
    <row r="2" spans="1:8">
      <c r="H2" s="167" t="s">
        <v>3043</v>
      </c>
    </row>
    <row r="3" spans="1:8">
      <c r="A3" t="s">
        <v>0</v>
      </c>
      <c r="B3" t="s">
        <v>19</v>
      </c>
      <c r="C3" t="s">
        <v>3044</v>
      </c>
      <c r="D3" t="s">
        <v>3045</v>
      </c>
      <c r="E3" t="s">
        <v>3046</v>
      </c>
      <c r="H3" s="167" t="s">
        <v>3047</v>
      </c>
    </row>
    <row r="4" spans="1:8">
      <c r="A4">
        <v>1</v>
      </c>
      <c r="B4" t="s">
        <v>3048</v>
      </c>
      <c r="D4" t="s">
        <v>3049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3050</v>
      </c>
    </row>
    <row r="5" spans="1:8">
      <c r="A5">
        <v>2</v>
      </c>
      <c r="B5" t="s">
        <v>2507</v>
      </c>
      <c r="D5" t="s">
        <v>3049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3051</v>
      </c>
    </row>
    <row r="6" spans="1:8">
      <c r="A6">
        <v>3</v>
      </c>
      <c r="B6" t="s">
        <v>1030</v>
      </c>
      <c r="D6" t="s">
        <v>3049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3052</v>
      </c>
      <c r="D7" t="s">
        <v>3049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3053</v>
      </c>
    </row>
    <row r="8" spans="1:8">
      <c r="A8">
        <v>5</v>
      </c>
      <c r="B8" t="s">
        <v>3054</v>
      </c>
      <c r="D8" t="s">
        <v>3049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3049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3049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3049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3049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3049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3049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3049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3049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3049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3049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3049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3049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3049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3049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3055</v>
      </c>
      <c r="D23" t="s">
        <v>3049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3049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3056</v>
      </c>
      <c r="D25" t="s">
        <v>3049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3057</v>
      </c>
      <c r="D26" t="s">
        <v>3049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3049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3049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3058</v>
      </c>
      <c r="D29" t="s">
        <v>3049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3049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3049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3049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3059</v>
      </c>
      <c r="D33" t="s">
        <v>3049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3060</v>
      </c>
      <c r="D34" t="s">
        <v>3049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3049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3049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3049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3061</v>
      </c>
      <c r="D38" t="s">
        <v>3049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3062</v>
      </c>
      <c r="D39" t="s">
        <v>3049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3049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3063</v>
      </c>
      <c r="D41" t="s">
        <v>3049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3049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3049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3064</v>
      </c>
      <c r="D44" t="s">
        <v>3049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3049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3049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3049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3049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3065</v>
      </c>
      <c r="D49" t="s">
        <v>3049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3049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3066</v>
      </c>
      <c r="D51" t="s">
        <v>3049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3049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3049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3067</v>
      </c>
      <c r="D54" t="s">
        <v>3049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3049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3049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3049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3068</v>
      </c>
      <c r="D58" t="s">
        <v>3049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3049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3049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3069</v>
      </c>
      <c r="D61" t="s">
        <v>3049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3070</v>
      </c>
      <c r="D62" t="s">
        <v>3049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3071</v>
      </c>
      <c r="D63" t="s">
        <v>3049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3072</v>
      </c>
      <c r="D64" t="s">
        <v>3049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3049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3049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3073</v>
      </c>
      <c r="D67" t="s">
        <v>3049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3074</v>
      </c>
      <c r="D68" t="s">
        <v>3049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3049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3075</v>
      </c>
      <c r="D70" t="s">
        <v>3049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3049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3049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3049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3076</v>
      </c>
      <c r="D74" t="s">
        <v>3049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3049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3049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3049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3049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3077</v>
      </c>
      <c r="D79" t="s">
        <v>3049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3078</v>
      </c>
      <c r="D80" t="s">
        <v>3049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3079</v>
      </c>
      <c r="D81" t="s">
        <v>3049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3080</v>
      </c>
      <c r="D82" t="s">
        <v>3049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3049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3081</v>
      </c>
      <c r="D84" t="s">
        <v>3049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3049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3082</v>
      </c>
      <c r="D86" t="s">
        <v>3049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3083</v>
      </c>
      <c r="D87" t="s">
        <v>3049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3084</v>
      </c>
      <c r="D88" t="s">
        <v>3049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3085</v>
      </c>
      <c r="D89" t="s">
        <v>3049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3086</v>
      </c>
      <c r="D90" t="s">
        <v>3049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3087</v>
      </c>
      <c r="D91" t="s">
        <v>3049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3088</v>
      </c>
      <c r="D92" t="s">
        <v>3049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3089</v>
      </c>
      <c r="D93" t="s">
        <v>3049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3090</v>
      </c>
      <c r="D94" t="s">
        <v>3049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2920</v>
      </c>
      <c r="D95" t="s">
        <v>3049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3091</v>
      </c>
      <c r="D96" t="s">
        <v>3049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2912</v>
      </c>
      <c r="D97" t="s">
        <v>3049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3092</v>
      </c>
      <c r="D98" t="s">
        <v>3049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3093</v>
      </c>
      <c r="D99" t="s">
        <v>3049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3094</v>
      </c>
      <c r="D100" t="s">
        <v>3049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3095</v>
      </c>
      <c r="D101" t="s">
        <v>3049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3049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3096</v>
      </c>
      <c r="D103" t="s">
        <v>3049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3097</v>
      </c>
      <c r="D104" t="s">
        <v>3049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3098</v>
      </c>
      <c r="D105" t="s">
        <v>3049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2866</v>
      </c>
      <c r="D106" t="s">
        <v>3049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2871</v>
      </c>
      <c r="D107" t="s">
        <v>3049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3099</v>
      </c>
      <c r="D108" t="s">
        <v>3049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3100</v>
      </c>
      <c r="D109" t="s">
        <v>3049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8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3101</v>
      </c>
      <c r="C1" s="18" t="s">
        <v>3102</v>
      </c>
      <c r="D1" s="18" t="s">
        <v>4</v>
      </c>
      <c r="E1" s="18" t="s">
        <v>3103</v>
      </c>
      <c r="F1" s="18" t="s">
        <v>19</v>
      </c>
      <c r="G1" s="18" t="s">
        <v>3104</v>
      </c>
      <c r="H1" s="18" t="s">
        <v>3105</v>
      </c>
      <c r="I1" s="18" t="s">
        <v>3106</v>
      </c>
      <c r="J1" s="18" t="s">
        <v>3107</v>
      </c>
      <c r="L1" s="110" t="s">
        <v>3108</v>
      </c>
      <c r="M1" s="22">
        <v>2026</v>
      </c>
      <c r="U1" s="79" t="s">
        <v>3109</v>
      </c>
      <c r="V1" s="78"/>
      <c r="X1" s="77" t="s">
        <v>3110</v>
      </c>
      <c r="Y1" s="26"/>
      <c r="Z1" s="26"/>
      <c r="AA1" s="26"/>
      <c r="AC1" s="99" t="s">
        <v>3111</v>
      </c>
    </row>
    <row r="2" spans="1:31">
      <c r="A2" s="20" cm="1">
        <f t="array" aca="1" ref="A2:J13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3112</v>
      </c>
      <c r="M2" s="106" t="s">
        <v>2928</v>
      </c>
      <c r="X2" s="112" t="s">
        <v>3101</v>
      </c>
      <c r="Y2" s="112" t="s">
        <v>19</v>
      </c>
      <c r="Z2" s="112" t="s">
        <v>3113</v>
      </c>
      <c r="AA2" s="112" t="s">
        <v>3114</v>
      </c>
      <c r="AC2" s="113" t="s">
        <v>1</v>
      </c>
      <c r="AD2" s="113" t="s">
        <v>3115</v>
      </c>
      <c r="AE2" s="113" t="s">
        <v>3116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3117</v>
      </c>
      <c r="M3" s="111" t="s">
        <v>3118</v>
      </c>
      <c r="N3" s="111" t="s">
        <v>3119</v>
      </c>
      <c r="O3" s="111" t="s">
        <v>3120</v>
      </c>
      <c r="P3" s="111" t="s">
        <v>3121</v>
      </c>
      <c r="Q3" s="111" t="s">
        <v>3122</v>
      </c>
      <c r="R3" s="111" t="s">
        <v>3123</v>
      </c>
      <c r="S3" s="111" t="s">
        <v>3124</v>
      </c>
      <c r="T3" s="111" t="s">
        <v>3125</v>
      </c>
      <c r="X3" t="s">
        <v>2835</v>
      </c>
      <c r="Y3" t="s">
        <v>3062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7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8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3126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3062</v>
      </c>
      <c r="Z6">
        <v>1</v>
      </c>
      <c r="AA6">
        <v>0</v>
      </c>
      <c r="AC6" s="96">
        <v>2026</v>
      </c>
      <c r="AD6" s="17" t="s">
        <v>3127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7" t="s">
        <v>3056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7" t="s">
        <v>3074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2957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2957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2957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2957</v>
      </c>
      <c r="Y16" s="17" t="s">
        <v>3056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2957</v>
      </c>
      <c r="Y17" s="17" t="s">
        <v>3074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2953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2953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2953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2953</v>
      </c>
      <c r="Y21" s="17" t="s">
        <v>3056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2953</v>
      </c>
      <c r="Y22" s="17" t="s">
        <v>3074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3062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3062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3097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3093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3075</v>
      </c>
      <c r="Z33">
        <v>4</v>
      </c>
      <c r="AA33">
        <v>0.6</v>
      </c>
      <c r="AC33" s="98"/>
      <c r="AD33" s="114" t="s">
        <v>3128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3076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3067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3084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3083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3095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3092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3094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3091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3129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3098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3096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3083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3090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3089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3088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3080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2026-090</v>
      </c>
      <c r="N67" t="str">
        <f ca="1"/>
        <v>A realizar</v>
      </c>
      <c r="O67" t="str">
        <f ca="1"/>
        <v>Gestão de Conflitos – da escuta à solução</v>
      </c>
      <c r="P67">
        <f ca="1"/>
        <v>20</v>
      </c>
      <c r="Q67" t="str">
        <f ca="1"/>
        <v>Isac Mendes Caixeta de Pamplona Araújo; Isabel Cristina Ribeiro</v>
      </c>
      <c r="R67">
        <f ca="1"/>
        <v>2</v>
      </c>
      <c r="S67">
        <f ca="1"/>
        <v>138</v>
      </c>
      <c r="T67">
        <f ca="1"/>
        <v>136</v>
      </c>
      <c r="X67" t="s">
        <v>2961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T68">
        <f ca="1"/>
        <v>138</v>
      </c>
      <c r="X68" t="s">
        <v>2961</v>
      </c>
      <c r="Y68" t="s">
        <v>3078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3062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3067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3081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3085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3082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3086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3068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2953</v>
      </c>
      <c r="Y84" t="s">
        <v>3068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2957</v>
      </c>
      <c r="Y85" t="s">
        <v>3068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3130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3130</v>
      </c>
      <c r="Y87" t="s">
        <v>3080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3130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2026-090</v>
      </c>
      <c r="C138" t="str">
        <f ca="1"/>
        <v>A realizar</v>
      </c>
      <c r="D138" t="str">
        <f ca="1"/>
        <v>Gestão de Conflitos – da escuta à solução</v>
      </c>
      <c r="E138">
        <f ca="1"/>
        <v>20</v>
      </c>
      <c r="F138" t="str">
        <f ca="1"/>
        <v>Isac Mendes Caixeta de Pamplona Araújo</v>
      </c>
      <c r="G138">
        <f ca="1"/>
        <v>2</v>
      </c>
      <c r="H138">
        <f ca="1"/>
        <v>20</v>
      </c>
      <c r="I138">
        <f ca="1"/>
        <v>6</v>
      </c>
      <c r="J138">
        <f ca="1"/>
        <v>26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2026-090</v>
      </c>
      <c r="C139" t="str">
        <f ca="1"/>
        <v>A realizar</v>
      </c>
      <c r="D139" t="str">
        <f ca="1"/>
        <v>Gestão de Conflitos – da escuta à solução</v>
      </c>
      <c r="E139">
        <f ca="1"/>
        <v>20</v>
      </c>
      <c r="F139" t="str">
        <f ca="1"/>
        <v>Isabel Cristina Ribeiro</v>
      </c>
      <c r="G139">
        <f ca="1"/>
        <v>2</v>
      </c>
      <c r="H139">
        <f ca="1"/>
        <v>20</v>
      </c>
      <c r="I139">
        <f ca="1"/>
        <v>6</v>
      </c>
      <c r="J139">
        <f ca="1"/>
        <v>26</v>
      </c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2" t="s">
        <v>3131</v>
      </c>
      <c r="B1" s="212"/>
      <c r="C1" s="212"/>
      <c r="D1" s="212"/>
      <c r="E1" s="212"/>
      <c r="F1" s="212"/>
      <c r="G1" s="212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3" t="s">
        <v>3132</v>
      </c>
      <c r="B4" s="214"/>
      <c r="D4" s="215" t="s">
        <v>3133</v>
      </c>
      <c r="E4" s="216"/>
      <c r="G4" s="44" t="s">
        <v>3134</v>
      </c>
    </row>
    <row r="5" spans="1:7" ht="54.95" customHeight="1" thickBot="1">
      <c r="A5" s="34">
        <f>COUNTIF('Ações InCompany'!B:B,2026)</f>
        <v>89</v>
      </c>
      <c r="B5" s="35" t="s">
        <v>3135</v>
      </c>
      <c r="D5" s="42">
        <f>COUNTIFS('Ações InCompany'!B:B,2026,'Ações InCompany'!C:C,"Realizado")</f>
        <v>59</v>
      </c>
      <c r="E5" s="43" t="s">
        <v>3135</v>
      </c>
      <c r="G5" s="45">
        <f>COUNTIFS('Ações InCompany'!B:B,2026,'Ações InCompany'!C:C,"A realizar")</f>
        <v>22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1" t="s">
        <v>3136</v>
      </c>
      <c r="B8" s="211"/>
      <c r="D8" s="211" t="s">
        <v>3137</v>
      </c>
      <c r="E8" s="211"/>
    </row>
    <row r="9" spans="1:7" ht="5.0999999999999996" customHeight="1">
      <c r="A9" s="223"/>
      <c r="B9" s="223"/>
      <c r="D9" s="223"/>
      <c r="E9" s="223"/>
    </row>
    <row r="10" spans="1:7" ht="24.95" customHeight="1">
      <c r="A10" s="27" t="s">
        <v>5</v>
      </c>
      <c r="B10" s="27" t="s">
        <v>3138</v>
      </c>
      <c r="D10" s="27" t="s">
        <v>3139</v>
      </c>
      <c r="E10" s="27" t="s">
        <v>3140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3141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3142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3143</v>
      </c>
      <c r="E13" s="29">
        <f>SUMIFS('Ações InCompany'!Q:Q,'Ações InCompany'!B:B,2026,'Ações InCompany'!C:C,"Realizado")</f>
        <v>750</v>
      </c>
    </row>
    <row r="14" spans="1:7" ht="27.95" customHeight="1">
      <c r="A14" s="32" t="s">
        <v>3144</v>
      </c>
      <c r="B14" s="33">
        <f>SUM(B11:B13)</f>
        <v>59</v>
      </c>
      <c r="D14" s="32" t="s">
        <v>3145</v>
      </c>
      <c r="E14" s="33">
        <f>SUM(E11:E13)</f>
        <v>3263</v>
      </c>
    </row>
    <row r="30" spans="1:5" ht="17.25">
      <c r="A30" s="211" t="s">
        <v>3146</v>
      </c>
      <c r="B30" s="211"/>
      <c r="C30" s="211"/>
      <c r="D30" s="211"/>
      <c r="E30" s="211"/>
    </row>
    <row r="31" spans="1:5" ht="5.0999999999999996" customHeight="1">
      <c r="A31" s="223"/>
      <c r="B31" s="223"/>
      <c r="C31" s="223"/>
      <c r="D31" s="223"/>
      <c r="E31" s="223"/>
    </row>
    <row r="32" spans="1:5" ht="24.95" customHeight="1">
      <c r="A32" s="27" t="s">
        <v>6</v>
      </c>
      <c r="B32" s="27" t="s">
        <v>3147</v>
      </c>
      <c r="C32" s="27" t="s">
        <v>3148</v>
      </c>
      <c r="D32" s="27" t="s">
        <v>3149</v>
      </c>
      <c r="E32" s="27" t="s">
        <v>3150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21</v>
      </c>
      <c r="E33" s="37">
        <f t="shared" ref="E33:E44" si="1">D33/$D$45</f>
        <v>0.25925925925925924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4.9382716049382713E-2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0.1111111111111111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2.4691358024691357E-2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4</v>
      </c>
      <c r="D37" s="36">
        <f t="shared" si="0"/>
        <v>9</v>
      </c>
      <c r="E37" s="37">
        <f t="shared" si="1"/>
        <v>0.1111111111111111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0.25925925925925924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4.9382716049382713E-2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2.4691358024691357E-2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8.6419753086419748E-2</v>
      </c>
    </row>
    <row r="42" spans="1:5" ht="24" customHeight="1">
      <c r="A42" s="74" t="s">
        <v>3151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2.4691358024691357E-2</v>
      </c>
    </row>
    <row r="44" spans="1:5" ht="24" customHeight="1">
      <c r="A44" s="66" t="s">
        <v>3152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3144</v>
      </c>
      <c r="B45" s="40">
        <f>SUM(B33:B44)</f>
        <v>59</v>
      </c>
      <c r="C45" s="40">
        <f>SUM(C33:C44)</f>
        <v>22</v>
      </c>
      <c r="D45" s="40">
        <f>SUM(D33:D44)</f>
        <v>81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3153</v>
      </c>
      <c r="B1" s="11" t="s">
        <v>3154</v>
      </c>
      <c r="C1" s="12" t="s">
        <v>3155</v>
      </c>
      <c r="D1" s="12" t="s">
        <v>3156</v>
      </c>
      <c r="E1" s="12" t="s">
        <v>3157</v>
      </c>
    </row>
    <row r="2" spans="1:5" ht="18" customHeight="1">
      <c r="A2" s="11" t="s">
        <v>3158</v>
      </c>
      <c r="B2" s="11" t="s">
        <v>3159</v>
      </c>
      <c r="C2" s="11" t="s">
        <v>1736</v>
      </c>
      <c r="D2" s="11" t="s">
        <v>3160</v>
      </c>
      <c r="E2" s="11" t="s">
        <v>3161</v>
      </c>
    </row>
    <row r="3" spans="1:5" ht="18" customHeight="1">
      <c r="A3" s="11" t="s">
        <v>3158</v>
      </c>
      <c r="B3" s="11" t="s">
        <v>3159</v>
      </c>
      <c r="C3" s="13" t="s">
        <v>25</v>
      </c>
      <c r="D3" s="11" t="s">
        <v>3162</v>
      </c>
      <c r="E3" s="11" t="s">
        <v>3163</v>
      </c>
    </row>
    <row r="4" spans="1:5" ht="18" customHeight="1">
      <c r="A4" s="11" t="s">
        <v>3158</v>
      </c>
      <c r="B4" s="11" t="s">
        <v>3159</v>
      </c>
      <c r="C4" s="11" t="s">
        <v>75</v>
      </c>
      <c r="D4" s="11" t="s">
        <v>3160</v>
      </c>
      <c r="E4" s="11" t="s">
        <v>3164</v>
      </c>
    </row>
    <row r="5" spans="1:5" ht="18" customHeight="1">
      <c r="A5" s="11" t="s">
        <v>3158</v>
      </c>
      <c r="B5" s="11" t="s">
        <v>3159</v>
      </c>
      <c r="C5" s="11" t="s">
        <v>79</v>
      </c>
      <c r="D5" s="11" t="s">
        <v>3165</v>
      </c>
      <c r="E5" s="11" t="s">
        <v>3166</v>
      </c>
    </row>
    <row r="6" spans="1:5" ht="18" customHeight="1">
      <c r="A6" s="11" t="s">
        <v>3158</v>
      </c>
      <c r="B6" s="11" t="s">
        <v>3159</v>
      </c>
      <c r="C6" s="11" t="s">
        <v>2717</v>
      </c>
      <c r="D6" s="11" t="s">
        <v>3167</v>
      </c>
      <c r="E6" s="11" t="s">
        <v>3168</v>
      </c>
    </row>
    <row r="7" spans="1:5" ht="18" customHeight="1">
      <c r="A7" s="11" t="s">
        <v>3158</v>
      </c>
      <c r="B7" s="11" t="s">
        <v>3169</v>
      </c>
      <c r="C7" s="11" t="s">
        <v>36</v>
      </c>
      <c r="D7" s="11" t="s">
        <v>3170</v>
      </c>
      <c r="E7" s="11" t="s">
        <v>3171</v>
      </c>
    </row>
    <row r="8" spans="1:5" ht="18" customHeight="1">
      <c r="A8" s="11" t="s">
        <v>3158</v>
      </c>
      <c r="B8" s="11" t="s">
        <v>3169</v>
      </c>
      <c r="C8" s="11" t="s">
        <v>42</v>
      </c>
      <c r="D8" s="11" t="s">
        <v>3172</v>
      </c>
      <c r="E8" s="11" t="s">
        <v>3173</v>
      </c>
    </row>
    <row r="9" spans="1:5" ht="18" customHeight="1">
      <c r="A9" s="11" t="s">
        <v>3158</v>
      </c>
      <c r="B9" s="11" t="s">
        <v>3174</v>
      </c>
      <c r="C9" s="11" t="s">
        <v>464</v>
      </c>
      <c r="D9" s="11" t="s">
        <v>3175</v>
      </c>
      <c r="E9" s="11" t="s">
        <v>3176</v>
      </c>
    </row>
    <row r="10" spans="1:5" ht="18" customHeight="1">
      <c r="A10" s="11" t="s">
        <v>3158</v>
      </c>
      <c r="B10" s="11" t="s">
        <v>3174</v>
      </c>
      <c r="C10" s="11" t="s">
        <v>206</v>
      </c>
      <c r="D10" s="11" t="s">
        <v>24</v>
      </c>
      <c r="E10" s="11" t="s">
        <v>3177</v>
      </c>
    </row>
    <row r="11" spans="1:5" ht="18" customHeight="1">
      <c r="A11" s="11" t="s">
        <v>3158</v>
      </c>
      <c r="B11" s="11" t="s">
        <v>3174</v>
      </c>
      <c r="C11" s="11" t="s">
        <v>371</v>
      </c>
      <c r="D11" s="11" t="s">
        <v>24</v>
      </c>
      <c r="E11" s="11" t="s">
        <v>3178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3179</v>
      </c>
      <c r="B1" s="5" t="s">
        <v>10</v>
      </c>
      <c r="C1" s="14" t="s">
        <v>3180</v>
      </c>
      <c r="D1" s="14" t="s">
        <v>3102</v>
      </c>
    </row>
    <row r="2" spans="1:4" ht="21" customHeight="1">
      <c r="A2" s="102" t="s">
        <v>24</v>
      </c>
      <c r="B2" s="102" t="s">
        <v>38</v>
      </c>
      <c r="C2" s="11" t="s">
        <v>3181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3182</v>
      </c>
      <c r="D3" s="11" t="s">
        <v>2566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2846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3153</v>
      </c>
      <c r="B1" s="11" t="s">
        <v>3154</v>
      </c>
      <c r="C1" s="12" t="s">
        <v>3155</v>
      </c>
      <c r="D1" s="12" t="s">
        <v>3156</v>
      </c>
      <c r="E1" s="12" t="s">
        <v>3157</v>
      </c>
    </row>
    <row r="2" spans="1:5" ht="18" customHeight="1">
      <c r="A2" s="11" t="s">
        <v>3183</v>
      </c>
      <c r="B2" s="11" t="s">
        <v>3159</v>
      </c>
      <c r="C2" s="13" t="s">
        <v>25</v>
      </c>
      <c r="D2" s="11" t="s">
        <v>3160</v>
      </c>
      <c r="E2" s="16" t="s">
        <v>3184</v>
      </c>
    </row>
    <row r="3" spans="1:5" ht="18" customHeight="1">
      <c r="A3" s="11" t="s">
        <v>3183</v>
      </c>
      <c r="B3" s="11" t="s">
        <v>3159</v>
      </c>
      <c r="C3" s="11" t="s">
        <v>75</v>
      </c>
      <c r="D3" s="11" t="s">
        <v>3162</v>
      </c>
      <c r="E3" s="11" t="s">
        <v>3185</v>
      </c>
    </row>
    <row r="4" spans="1:5" ht="18" customHeight="1">
      <c r="A4" s="11" t="s">
        <v>3183</v>
      </c>
      <c r="B4" s="11" t="s">
        <v>3159</v>
      </c>
      <c r="C4" s="11" t="s">
        <v>79</v>
      </c>
      <c r="D4" s="11" t="s">
        <v>3165</v>
      </c>
      <c r="E4" s="11" t="s">
        <v>3186</v>
      </c>
    </row>
    <row r="5" spans="1:5" ht="27.75" customHeight="1">
      <c r="A5" s="11" t="s">
        <v>3183</v>
      </c>
      <c r="B5" s="11" t="s">
        <v>3159</v>
      </c>
      <c r="C5" s="11" t="s">
        <v>2694</v>
      </c>
      <c r="D5" s="16" t="s">
        <v>3187</v>
      </c>
      <c r="E5" s="11" t="s">
        <v>3188</v>
      </c>
    </row>
    <row r="6" spans="1:5" ht="18" customHeight="1">
      <c r="A6" s="11" t="s">
        <v>3183</v>
      </c>
      <c r="B6" s="11" t="s">
        <v>3159</v>
      </c>
      <c r="C6" s="11" t="s">
        <v>2717</v>
      </c>
      <c r="D6" s="11" t="s">
        <v>3167</v>
      </c>
      <c r="E6" s="11" t="s">
        <v>3168</v>
      </c>
    </row>
    <row r="7" spans="1:5" ht="18" customHeight="1">
      <c r="A7" s="11" t="s">
        <v>3183</v>
      </c>
      <c r="B7" s="11" t="s">
        <v>3169</v>
      </c>
      <c r="C7" s="11" t="s">
        <v>2699</v>
      </c>
      <c r="D7" s="11" t="s">
        <v>3189</v>
      </c>
      <c r="E7" s="11" t="s">
        <v>3190</v>
      </c>
    </row>
    <row r="8" spans="1:5" ht="18" customHeight="1">
      <c r="A8" s="11" t="s">
        <v>3183</v>
      </c>
      <c r="B8" s="11" t="s">
        <v>3169</v>
      </c>
      <c r="C8" s="11" t="s">
        <v>42</v>
      </c>
      <c r="D8" s="11" t="s">
        <v>3172</v>
      </c>
      <c r="E8" s="11" t="s">
        <v>3173</v>
      </c>
    </row>
    <row r="9" spans="1:5" ht="18" customHeight="1">
      <c r="A9" s="11" t="s">
        <v>3183</v>
      </c>
      <c r="B9" s="11" t="s">
        <v>3169</v>
      </c>
      <c r="C9" s="11" t="s">
        <v>2792</v>
      </c>
      <c r="D9" s="11" t="s">
        <v>3191</v>
      </c>
      <c r="E9" s="16" t="s">
        <v>3192</v>
      </c>
    </row>
    <row r="10" spans="1:5" ht="18" customHeight="1">
      <c r="A10" s="11" t="s">
        <v>3183</v>
      </c>
      <c r="B10" s="11" t="s">
        <v>3193</v>
      </c>
      <c r="C10" s="11" t="s">
        <v>3151</v>
      </c>
      <c r="D10" s="11" t="s">
        <v>3194</v>
      </c>
      <c r="E10" s="16" t="s">
        <v>3195</v>
      </c>
    </row>
    <row r="11" spans="1:5" ht="18" customHeight="1">
      <c r="A11" s="11" t="s">
        <v>3183</v>
      </c>
      <c r="B11" s="11" t="s">
        <v>3193</v>
      </c>
      <c r="C11" s="11" t="s">
        <v>206</v>
      </c>
      <c r="D11" s="11" t="s">
        <v>24</v>
      </c>
      <c r="E11" s="11" t="s">
        <v>3177</v>
      </c>
    </row>
    <row r="12" spans="1:5" ht="18" customHeight="1">
      <c r="A12" s="11" t="s">
        <v>3183</v>
      </c>
      <c r="B12" s="11" t="s">
        <v>3193</v>
      </c>
      <c r="C12" s="11" t="s">
        <v>371</v>
      </c>
      <c r="D12" s="11" t="s">
        <v>24</v>
      </c>
      <c r="E12" s="11" t="s">
        <v>3178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7" t="s">
        <v>3196</v>
      </c>
      <c r="B1" s="217"/>
      <c r="C1" s="217"/>
      <c r="D1" s="217"/>
      <c r="E1" s="217"/>
      <c r="F1" s="217"/>
      <c r="G1" s="217"/>
      <c r="H1" s="217"/>
    </row>
    <row r="2" spans="1:8">
      <c r="A2" s="48" t="s">
        <v>3197</v>
      </c>
    </row>
    <row r="4" spans="1:8" ht="21.95" customHeight="1">
      <c r="A4" s="218" t="s">
        <v>3198</v>
      </c>
      <c r="B4" s="219"/>
      <c r="D4" s="218" t="s">
        <v>3199</v>
      </c>
      <c r="E4" s="219"/>
      <c r="G4" s="218" t="s">
        <v>3200</v>
      </c>
      <c r="H4" s="219"/>
    </row>
    <row r="5" spans="1:8" ht="35.1" customHeight="1">
      <c r="A5" s="222">
        <f>COUNTIF('Ações InCompany'!E:E,"*maratona*")</f>
        <v>13</v>
      </c>
      <c r="B5" s="221"/>
      <c r="D5" s="220">
        <f>SUM(H8:H100)</f>
        <v>1762</v>
      </c>
      <c r="E5" s="221"/>
      <c r="G5" s="220">
        <f>IFERROR(ROUND(D5/A5,0),"-")</f>
        <v>136</v>
      </c>
      <c r="H5" s="221"/>
    </row>
    <row r="6" spans="1:8" ht="9.9499999999999993" customHeight="1"/>
    <row r="7" spans="1:8" ht="24.95" customHeight="1" thickBot="1">
      <c r="A7" s="61" t="s">
        <v>3201</v>
      </c>
      <c r="B7" s="61" t="s">
        <v>3202</v>
      </c>
      <c r="C7" s="61" t="s">
        <v>1</v>
      </c>
      <c r="D7" s="61" t="s">
        <v>3203</v>
      </c>
      <c r="E7" s="61" t="s">
        <v>3204</v>
      </c>
      <c r="F7" s="61" t="s">
        <v>3102</v>
      </c>
      <c r="G7" s="61" t="s">
        <v>5</v>
      </c>
      <c r="H7" s="61" t="s">
        <v>3205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0">
        <v>2023</v>
      </c>
      <c r="D8" s="58" t="str">
        <v>Maratona Temática: Auditoria em saúde</v>
      </c>
      <c r="E8" s="50" t="str">
        <v>15 e 16/06/2023</v>
      </c>
      <c r="F8" s="50" t="str">
        <v>Realizado</v>
      </c>
      <c r="G8" s="50" t="str">
        <v>Servidores do TCDF</v>
      </c>
      <c r="H8" s="51">
        <v>184</v>
      </c>
    </row>
    <row r="9" spans="1:8" ht="20.100000000000001" customHeight="1">
      <c r="A9" s="52">
        <v>2</v>
      </c>
      <c r="B9" s="82">
        <v>45154</v>
      </c>
      <c r="C9" s="53">
        <v>2023</v>
      </c>
      <c r="D9" s="59" t="str">
        <v>Maratona temática: auditoria em mobilidade urbana</v>
      </c>
      <c r="E9" s="53" t="str">
        <v>16 a 18/08/2023</v>
      </c>
      <c r="F9" s="53" t="str">
        <v>Realizado</v>
      </c>
      <c r="G9" s="53" t="str">
        <v>Servidores do TCDF</v>
      </c>
      <c r="H9" s="54">
        <v>64</v>
      </c>
    </row>
    <row r="10" spans="1:8" ht="20.100000000000001" customHeight="1">
      <c r="A10" s="55">
        <v>3</v>
      </c>
      <c r="B10" s="83">
        <v>45239</v>
      </c>
      <c r="C10" s="56">
        <v>2023</v>
      </c>
      <c r="D10" s="60" t="str">
        <v>Maratona temática: primeira infância</v>
      </c>
      <c r="E10" s="56" t="str">
        <v>09 e 10/11/2023</v>
      </c>
      <c r="F10" s="56" t="str">
        <v>Realizado</v>
      </c>
      <c r="G10" s="56" t="str">
        <v>Sociedade</v>
      </c>
      <c r="H10" s="57">
        <v>91</v>
      </c>
    </row>
    <row r="11" spans="1:8" ht="20.100000000000001" customHeight="1">
      <c r="A11" s="52">
        <v>4</v>
      </c>
      <c r="B11" s="82">
        <v>45264</v>
      </c>
      <c r="C11" s="53">
        <v>2023</v>
      </c>
      <c r="D11" s="59" t="str">
        <v>Maratona Temática: auditoria em resíduos sólidos</v>
      </c>
      <c r="E11" s="53" t="str">
        <v>04 e 05/12/2023</v>
      </c>
      <c r="F11" s="53" t="str">
        <v>Realizado</v>
      </c>
      <c r="G11" s="53" t="str">
        <v>Servidores do TCDF</v>
      </c>
      <c r="H11" s="54">
        <v>85</v>
      </c>
    </row>
    <row r="12" spans="1:8" ht="20.100000000000001" customHeight="1">
      <c r="A12" s="55">
        <v>5</v>
      </c>
      <c r="B12" s="83">
        <v>45456</v>
      </c>
      <c r="C12" s="56">
        <v>2024</v>
      </c>
      <c r="D12" s="60" t="str">
        <v>Maratona Temática - educação</v>
      </c>
      <c r="E12" s="56" t="str">
        <v>13 e 14/06/2024</v>
      </c>
      <c r="F12" s="56" t="str">
        <v>Realizado</v>
      </c>
      <c r="G12" s="56" t="str">
        <v>Sociedade</v>
      </c>
      <c r="H12" s="57">
        <v>155</v>
      </c>
    </row>
    <row r="13" spans="1:8" ht="20.100000000000001" customHeight="1">
      <c r="A13" s="52">
        <v>6</v>
      </c>
      <c r="B13" s="82">
        <v>45624</v>
      </c>
      <c r="C13" s="53">
        <v>2024</v>
      </c>
      <c r="D13" s="59" t="str">
        <v>Maratona temática - Governança em Saúde</v>
      </c>
      <c r="E13" s="53" t="str">
        <v>28 e 29/11/2024</v>
      </c>
      <c r="F13" s="53" t="str">
        <v>Realizado</v>
      </c>
      <c r="G13" s="53" t="str">
        <v>Jurisdicionados</v>
      </c>
      <c r="H13" s="54">
        <v>138</v>
      </c>
    </row>
    <row r="14" spans="1:8" ht="20.100000000000001" customHeight="1">
      <c r="A14" s="55">
        <v>7</v>
      </c>
      <c r="B14" s="83">
        <v>45750</v>
      </c>
      <c r="C14" s="56">
        <v>2025</v>
      </c>
      <c r="D14" s="60" t="str">
        <v>Maratona Temática: Obras Públicas</v>
      </c>
      <c r="E14" s="56" t="str">
        <v>03 e 04/04/2025</v>
      </c>
      <c r="F14" s="56" t="str">
        <v>Realizado</v>
      </c>
      <c r="G14" s="56" t="str">
        <v>Jurisdicionados</v>
      </c>
      <c r="H14" s="57">
        <v>250</v>
      </c>
    </row>
    <row r="15" spans="1:8" ht="20.100000000000001" customHeight="1">
      <c r="A15" s="52">
        <v>8</v>
      </c>
      <c r="B15" s="82">
        <v>45925</v>
      </c>
      <c r="C15" s="53">
        <v>2025</v>
      </c>
      <c r="D15" s="59" t="str">
        <v>Maratona Temática “O Olhar dos Tribunais de Contas sobre Políticas Públicas"</v>
      </c>
      <c r="E15" s="53" t="str">
        <v>25 e 26/09/2025</v>
      </c>
      <c r="F15" s="53" t="str">
        <v>Realizado</v>
      </c>
      <c r="G15" s="53" t="str">
        <v>Sociedade</v>
      </c>
      <c r="H15" s="54">
        <v>228</v>
      </c>
    </row>
    <row r="16" spans="1:8" ht="20.100000000000001" customHeight="1">
      <c r="A16" s="55">
        <v>9</v>
      </c>
      <c r="B16" s="83">
        <v>45950</v>
      </c>
      <c r="C16" s="56">
        <v>2025</v>
      </c>
      <c r="D16" s="60" t="str">
        <v>Maratona Temática: Segurança Pública</v>
      </c>
      <c r="E16" s="56" t="str">
        <v>20 e 21/10/2025</v>
      </c>
      <c r="F16" s="56" t="str">
        <v>Realizado</v>
      </c>
      <c r="G16" s="56" t="str">
        <v>Sociedade</v>
      </c>
      <c r="H16" s="57">
        <v>179</v>
      </c>
    </row>
    <row r="17" spans="1:8" ht="20.100000000000001" customHeight="1">
      <c r="A17" s="52">
        <v>10</v>
      </c>
      <c r="B17" s="82">
        <v>46111</v>
      </c>
      <c r="C17" s="53">
        <v>2026</v>
      </c>
      <c r="D17" s="59" t="str">
        <v>Maratona Temática: Transparência Pública</v>
      </c>
      <c r="E17" s="53" t="str">
        <v>30 a 31/03/2026</v>
      </c>
      <c r="F17" s="53" t="str">
        <v>Realizado</v>
      </c>
      <c r="G17" s="53" t="str">
        <v>Jurisdicionados</v>
      </c>
      <c r="H17" s="54">
        <v>192</v>
      </c>
    </row>
    <row r="18" spans="1:8" ht="20.100000000000001" customHeight="1">
      <c r="A18" s="55">
        <v>11</v>
      </c>
      <c r="B18" s="83">
        <v>46195</v>
      </c>
      <c r="C18" s="56">
        <v>2026</v>
      </c>
      <c r="D18" s="60" t="str">
        <v>3ª Maratona Temática em Saúde Pública - Boas Práticas</v>
      </c>
      <c r="E18" s="56" t="str">
        <v>22 e 23/06/2026</v>
      </c>
      <c r="F18" s="56" t="str">
        <v>Realizado</v>
      </c>
      <c r="G18" s="56" t="str">
        <v>Jurisdicionados</v>
      </c>
      <c r="H18" s="57">
        <v>196</v>
      </c>
    </row>
    <row r="19" spans="1:8">
      <c r="A19" s="84">
        <v>12</v>
      </c>
      <c r="B19" s="85">
        <v>46321</v>
      </c>
      <c r="C19" s="84">
        <v>2026</v>
      </c>
      <c r="D19" s="86" t="str">
        <v>Maratona Temática - Obras Públicas</v>
      </c>
      <c r="E19" s="84" t="str">
        <v>26 e 27/10/2026</v>
      </c>
      <c r="F19" s="84" t="str">
        <v>A realizar</v>
      </c>
      <c r="G19" s="84" t="str">
        <v>Jurisdicionados</v>
      </c>
      <c r="H19" s="87">
        <v>0</v>
      </c>
    </row>
    <row r="20" spans="1:8">
      <c r="A20" s="88">
        <v>13</v>
      </c>
      <c r="B20" s="89">
        <v>46335</v>
      </c>
      <c r="C20" s="88">
        <v>2026</v>
      </c>
      <c r="D20" s="90" t="str">
        <v>Maratona Temática - Mobilidade Urbana</v>
      </c>
      <c r="E20" s="88" t="str">
        <v>09 e 10/11/2026</v>
      </c>
      <c r="F20" s="88" t="str">
        <v>Adiado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4" t="s">
        <v>3206</v>
      </c>
      <c r="B1" s="224"/>
      <c r="C1" s="224"/>
      <c r="D1" s="224"/>
      <c r="E1" s="224"/>
      <c r="F1" s="224"/>
    </row>
    <row r="2" spans="1:7">
      <c r="A2" s="225" t="s">
        <v>3207</v>
      </c>
      <c r="B2" s="225"/>
      <c r="C2" s="225"/>
      <c r="D2" s="225"/>
      <c r="E2" s="225"/>
      <c r="F2" s="225"/>
    </row>
    <row r="4" spans="1:7">
      <c r="A4" s="24" t="s">
        <v>19</v>
      </c>
      <c r="B4" s="24" t="s">
        <v>3105</v>
      </c>
      <c r="C4" s="24" t="s">
        <v>3106</v>
      </c>
      <c r="D4" s="24" t="s">
        <v>3208</v>
      </c>
      <c r="E4" s="24" t="s">
        <v>3107</v>
      </c>
      <c r="F4" s="24" t="s">
        <v>3209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>
      <c r="A33" t="str">
        <f ca="1"/>
        <v>Isabel Cristina Ribeiro</v>
      </c>
      <c r="B33" s="25">
        <f ca="1">IF($A33="","",SUMIFS('GECC 2026'!H$2:H$200,'GECC 2026'!F$2:F$200,$A33))</f>
        <v>20</v>
      </c>
      <c r="C33" s="25">
        <f ca="1">IF($A33="","",SUMIFS('GECC 2026'!I$2:I$200,'GECC 2026'!F$2:F$200,$A33))</f>
        <v>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26</v>
      </c>
      <c r="F33" s="23">
        <f ca="1">IF($A33="","",COUNTIFS('GECC 2026'!F$2:F$200,$A33))</f>
        <v>1</v>
      </c>
    </row>
    <row r="34" spans="1:6">
      <c r="A34" t="str">
        <f ca="1"/>
        <v>Isac Mendes Caixeta de Pamplona Araújo</v>
      </c>
      <c r="B34" s="25">
        <f ca="1">IF($A34="","",SUMIFS('GECC 2026'!H$2:H$200,'GECC 2026'!F$2:F$200,$A34))</f>
        <v>20</v>
      </c>
      <c r="C34" s="25">
        <f ca="1">IF($A34="","",SUMIFS('GECC 2026'!I$2:I$200,'GECC 2026'!F$2:F$200,$A34))</f>
        <v>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26</v>
      </c>
      <c r="F34" s="23">
        <f ca="1">IF($A34="","",COUNTIFS('GECC 2026'!F$2:F$200,$A34))</f>
        <v>3</v>
      </c>
    </row>
    <row r="35" spans="1:6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2</v>
      </c>
    </row>
    <row r="40" spans="1:6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>
      <c r="A44" t="str">
        <f ca="1"/>
        <v>Marcelo Silva Santana</v>
      </c>
      <c r="B44" s="25">
        <f ca="1">IF($A44="","",SUMIFS('GECC 2026'!H$2:H$200,'GECC 2026'!F$2:F$200,$A44))</f>
        <v>12</v>
      </c>
      <c r="C44" s="25">
        <f ca="1">IF($A44="","",SUMIFS('GECC 2026'!I$2:I$200,'GECC 2026'!F$2:F$200,$A44))</f>
        <v>1.44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13.440000000000001</v>
      </c>
      <c r="F44" s="23">
        <f ca="1">IF($A44="","",COUNTIFS('GECC 2026'!F$2:F$200,$A44))</f>
        <v>2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0</v>
      </c>
      <c r="C59" s="25">
        <f ca="1">IF($A59="","",SUMIFS('GECC 2026'!I$2:I$200,'GECC 2026'!F$2:F$200,$A59))</f>
        <v>0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0</v>
      </c>
      <c r="F59" s="23">
        <f ca="1">IF($A59="","",COUNTIFS('GECC 2026'!F$2:F$200,$A59))</f>
        <v>2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3145</v>
      </c>
      <c r="B105" s="94">
        <f ca="1">SUM(B5:B100)</f>
        <v>847</v>
      </c>
      <c r="C105" s="94">
        <f ca="1">SUM(C5:C100)</f>
        <v>374.44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3210</v>
      </c>
      <c r="B1" s="117" t="s">
        <v>3211</v>
      </c>
      <c r="C1" s="117" t="s">
        <v>3212</v>
      </c>
      <c r="D1" s="117" t="s">
        <v>3213</v>
      </c>
      <c r="E1" s="117" t="s">
        <v>3214</v>
      </c>
      <c r="F1" s="117" t="s">
        <v>3215</v>
      </c>
      <c r="G1" s="117" t="s">
        <v>10</v>
      </c>
      <c r="H1" s="117" t="s">
        <v>3216</v>
      </c>
      <c r="I1" s="117" t="s">
        <v>3217</v>
      </c>
      <c r="J1" s="117" t="s">
        <v>3218</v>
      </c>
      <c r="K1" s="117" t="s">
        <v>3219</v>
      </c>
      <c r="L1" s="117" t="s">
        <v>3220</v>
      </c>
      <c r="N1" s="117" t="s">
        <v>3221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3222</v>
      </c>
      <c r="L2" t="str">
        <f>IF(K2="","",IFERROR(INDEX(Tabela2[Curso],MATCH(K2,Tabela2[ID],0)),""))</f>
        <v/>
      </c>
      <c r="N2" s="117" t="s">
        <v>3101</v>
      </c>
      <c r="O2" s="117" t="s">
        <v>4</v>
      </c>
      <c r="P2" s="117" t="s">
        <v>3223</v>
      </c>
      <c r="Q2" s="117" t="s">
        <v>3224</v>
      </c>
      <c r="R2" s="117" t="s">
        <v>3225</v>
      </c>
      <c r="S2" s="117" t="s">
        <v>3226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3222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3222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3222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3222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3222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3222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3222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3222</v>
      </c>
      <c r="L10" t="str">
        <f>IF(K10="","",IFERROR(INDEX(Tabela2[Curso],MATCH(K10,Tabela2[ID],0)),""))</f>
        <v/>
      </c>
      <c r="N10" s="111" t="s">
        <v>3227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3222</v>
      </c>
      <c r="L11" t="str">
        <f>IF(K11="","",IFERROR(INDEX(Tabela2[Curso],MATCH(K11,Tabela2[ID],0)),""))</f>
        <v/>
      </c>
      <c r="N11" s="210" t="s">
        <v>3228</v>
      </c>
      <c r="O11" s="210" t="s">
        <v>3229</v>
      </c>
      <c r="P11" s="210" t="s">
        <v>3230</v>
      </c>
      <c r="Q11" s="210" t="s">
        <v>3213</v>
      </c>
      <c r="R11" s="210" t="s">
        <v>3214</v>
      </c>
      <c r="S11" s="210" t="s">
        <v>3231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3222</v>
      </c>
      <c r="L12" t="str">
        <f>IF(K12="","",IFERROR(INDEX(Tabela2[Curso],MATCH(K12,Tabela2[ID],0)),""))</f>
        <v/>
      </c>
      <c r="N12" t="s">
        <v>3232</v>
      </c>
      <c r="O12" t="s">
        <v>2753</v>
      </c>
      <c r="P12" t="s">
        <v>3233</v>
      </c>
      <c r="Q12">
        <v>0</v>
      </c>
      <c r="R12">
        <v>0</v>
      </c>
      <c r="S12" t="s">
        <v>3234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3222</v>
      </c>
      <c r="L13" t="str">
        <f>IF(K13="","",IFERROR(INDEX(Tabela2[Curso],MATCH(K13,Tabela2[ID],0)),""))</f>
        <v/>
      </c>
      <c r="N13" t="s">
        <v>3235</v>
      </c>
      <c r="O13" t="s">
        <v>2686</v>
      </c>
      <c r="P13" t="s">
        <v>3236</v>
      </c>
      <c r="Q13">
        <v>0</v>
      </c>
      <c r="R13">
        <v>0</v>
      </c>
      <c r="S13" t="s">
        <v>3237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3222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3222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3222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3222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3222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3222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3222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3222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3222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3222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3222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3222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3222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3222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3222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3222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3222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3222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3222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3222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3222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3222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3222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3222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3222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3222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3222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3222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3222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3222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3222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3222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3222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3222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3222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3222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3222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3222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3222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3222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3222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3222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3222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3222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3222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3222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3222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3222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3222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3222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3222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3222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16690115-09EE-4E0D-A489-D3FB288E822F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2026-09-11T18:06:47Z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