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53" documentId="8_{454372C2-A99E-4E47-A759-72B38925853E}" xr6:coauthVersionLast="47" xr6:coauthVersionMax="47" xr10:uidLastSave="{C83368D9-9CB5-48A5-ACE6-B306C5BD569F}"/>
  <bookViews>
    <workbookView xWindow="0" yWindow="30" windowWidth="28770" windowHeight="1557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3" l="1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D50" i="23"/>
  <c r="E50" i="23"/>
  <c r="D49" i="23"/>
  <c r="E49" i="23"/>
  <c r="D48" i="23"/>
  <c r="E48" i="23"/>
  <c r="AE33" i="20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4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47" i="23" l="1"/>
  <c r="E47" i="23"/>
  <c r="F47" i="23"/>
  <c r="C47" i="23"/>
  <c r="B47" i="23"/>
  <c r="B45" i="23" l="1"/>
  <c r="C45" i="23"/>
  <c r="F45" i="23"/>
  <c r="C46" i="23"/>
  <c r="F46" i="23"/>
  <c r="E46" i="23"/>
  <c r="E45" i="23"/>
  <c r="D45" i="23"/>
  <c r="B46" i="23"/>
  <c r="D46" i="23"/>
  <c r="R4" i="20" s="1" a="1"/>
  <c r="S4" i="20" s="1" a="1"/>
  <c r="T4" i="20" s="1" a="1"/>
  <c r="A2" i="20" s="1" a="1"/>
  <c r="A5" i="23" l="1" a="1"/>
  <c r="E105" i="23"/>
  <c r="C35" i="23" l="1"/>
  <c r="E15" i="23"/>
  <c r="F9" i="23"/>
  <c r="B30" i="23"/>
  <c r="E34" i="23"/>
  <c r="F40" i="23"/>
  <c r="E18" i="23"/>
  <c r="B8" i="23"/>
  <c r="B35" i="23"/>
  <c r="E24" i="23"/>
  <c r="C24" i="23"/>
  <c r="E42" i="23"/>
  <c r="F18" i="23"/>
  <c r="C6" i="23"/>
  <c r="F41" i="23"/>
  <c r="C37" i="23"/>
  <c r="B22" i="23"/>
  <c r="E10" i="23"/>
  <c r="D23" i="23"/>
  <c r="C9" i="23"/>
  <c r="D29" i="23"/>
  <c r="D42" i="23"/>
  <c r="D17" i="23"/>
  <c r="E31" i="23"/>
  <c r="E19" i="23"/>
  <c r="B10" i="23"/>
  <c r="F11" i="23"/>
  <c r="B18" i="23"/>
  <c r="C19" i="23"/>
  <c r="F30" i="23"/>
  <c r="F34" i="23"/>
  <c r="B15" i="23"/>
  <c r="B16" i="23"/>
  <c r="C38" i="23"/>
  <c r="E21" i="23"/>
  <c r="B21" i="23"/>
  <c r="F39" i="23"/>
  <c r="B23" i="23"/>
  <c r="C31" i="23"/>
  <c r="E38" i="23"/>
  <c r="F7" i="23"/>
  <c r="C8" i="23"/>
  <c r="E36" i="23"/>
  <c r="F22" i="23"/>
  <c r="E33" i="23"/>
  <c r="C26" i="23"/>
  <c r="B9" i="23"/>
  <c r="F8" i="23"/>
  <c r="C32" i="23"/>
  <c r="E39" i="23"/>
  <c r="D7" i="23"/>
  <c r="D33" i="23"/>
  <c r="F20" i="23"/>
  <c r="C7" i="23"/>
  <c r="F37" i="23"/>
  <c r="E41" i="23"/>
  <c r="E37" i="23"/>
  <c r="F31" i="23"/>
  <c r="E22" i="23"/>
  <c r="D26" i="23"/>
  <c r="C41" i="23"/>
  <c r="C25" i="23"/>
  <c r="F42" i="23"/>
  <c r="C40" i="23"/>
  <c r="C20" i="23"/>
  <c r="E26" i="23"/>
  <c r="E8" i="23"/>
  <c r="F15" i="23"/>
  <c r="D35" i="23"/>
  <c r="D31" i="23"/>
  <c r="B44" i="23"/>
  <c r="F27" i="23"/>
  <c r="B41" i="23"/>
  <c r="C14" i="23"/>
  <c r="E20" i="23"/>
  <c r="D38" i="23"/>
  <c r="D37" i="23"/>
  <c r="C15" i="23"/>
  <c r="D32" i="23"/>
  <c r="B6" i="23"/>
  <c r="F23" i="23"/>
  <c r="C36" i="23"/>
  <c r="F38" i="23"/>
  <c r="B20" i="23"/>
  <c r="C39" i="23"/>
  <c r="D39" i="23"/>
  <c r="B34" i="23"/>
  <c r="C10" i="23"/>
  <c r="B27" i="23"/>
  <c r="F25" i="23"/>
  <c r="D34" i="23"/>
  <c r="F24" i="23"/>
  <c r="C30" i="23"/>
  <c r="C43" i="23"/>
  <c r="F16" i="23"/>
  <c r="E11" i="23"/>
  <c r="F19" i="23"/>
  <c r="B31" i="23"/>
  <c r="B33" i="23"/>
  <c r="B28" i="23"/>
  <c r="D6" i="23"/>
  <c r="F44" i="23"/>
  <c r="E16" i="23"/>
  <c r="F13" i="23"/>
  <c r="B29" i="23"/>
  <c r="E12" i="23"/>
  <c r="D8" i="23"/>
  <c r="E17" i="23"/>
  <c r="C22" i="23"/>
  <c r="B19" i="23"/>
  <c r="B37" i="23"/>
  <c r="F29" i="23"/>
  <c r="D41" i="23"/>
  <c r="F14" i="23"/>
  <c r="B13" i="23"/>
  <c r="B43" i="23"/>
  <c r="B39" i="23"/>
  <c r="E43" i="23"/>
  <c r="C34" i="23"/>
  <c r="B7" i="23"/>
  <c r="C28" i="23"/>
  <c r="E6" i="23"/>
  <c r="B24" i="23"/>
  <c r="B38" i="23"/>
  <c r="E7" i="23"/>
  <c r="E27" i="23"/>
  <c r="B11" i="23"/>
  <c r="C18" i="23"/>
  <c r="F28" i="23"/>
  <c r="D43" i="23"/>
  <c r="F36" i="23"/>
  <c r="D12" i="23"/>
  <c r="D25" i="23"/>
  <c r="F12" i="23"/>
  <c r="D13" i="23"/>
  <c r="B26" i="23"/>
  <c r="D15" i="23"/>
  <c r="B14" i="23"/>
  <c r="F6" i="23"/>
  <c r="C21" i="23"/>
  <c r="C44" i="23"/>
  <c r="D44" i="23"/>
  <c r="E14" i="23"/>
  <c r="D27" i="23"/>
  <c r="F26" i="23"/>
  <c r="F32" i="23"/>
  <c r="D18" i="23"/>
  <c r="D16" i="23"/>
  <c r="B25" i="23"/>
  <c r="D11" i="23"/>
  <c r="C23" i="23"/>
  <c r="B12" i="23"/>
  <c r="F43" i="23"/>
  <c r="D10" i="23"/>
  <c r="D14" i="23"/>
  <c r="B17" i="23"/>
  <c r="B36" i="23"/>
  <c r="D28" i="23"/>
  <c r="B32" i="23"/>
  <c r="E35" i="23"/>
  <c r="F21" i="23"/>
  <c r="D30" i="23"/>
  <c r="D21" i="23"/>
  <c r="E32" i="23"/>
  <c r="D19" i="23"/>
  <c r="E25" i="23"/>
  <c r="B40" i="23"/>
  <c r="C33" i="23"/>
  <c r="E44" i="23"/>
  <c r="D9" i="23"/>
  <c r="E23" i="23"/>
  <c r="F33" i="23"/>
  <c r="C27" i="23"/>
  <c r="D36" i="23"/>
  <c r="F35" i="23"/>
  <c r="C17" i="23"/>
  <c r="E28" i="23"/>
  <c r="E40" i="23"/>
  <c r="C13" i="23"/>
  <c r="B42" i="23"/>
  <c r="D24" i="23"/>
  <c r="D20" i="23"/>
  <c r="E30" i="23"/>
  <c r="C42" i="23"/>
  <c r="C11" i="23"/>
  <c r="D40" i="23"/>
  <c r="F17" i="23"/>
  <c r="E29" i="23"/>
  <c r="C29" i="23"/>
  <c r="E13" i="23"/>
  <c r="D22" i="23"/>
  <c r="E9" i="23"/>
  <c r="F10" i="23"/>
  <c r="C12" i="23"/>
  <c r="C16" i="23"/>
  <c r="D5" i="23" l="1"/>
  <c r="G5" i="23"/>
  <c r="F5" i="23"/>
  <c r="F105" i="23" s="1"/>
  <c r="B5" i="23"/>
  <c r="B105" i="23" s="1"/>
  <c r="C5" i="23"/>
  <c r="C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<sst xmlns="http://schemas.openxmlformats.org/spreadsheetml/2006/main" count="6156" uniqueCount="2373">
  <si>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</si>
  <si>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</si>
  <si>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</si>
  <si>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</si>
  <si>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</si>
  <si>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</si>
  <si>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</si>
  <si>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</si>
  <si>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</si>
  <si>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</si>
  <si>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</si>
  <si>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</si>
  <si>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</si>
  <si>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</si>
  <si>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</si>
  <si>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</si>
  <si>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</si>
  <si>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</si>
  <si>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</si>
  <si>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</si>
  <si>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</si>
  <si>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</si>
  <si>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</si>
  <si>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</si>
  <si>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</si>
  <si>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</si>
  <si>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</si>
  <si>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</si>
  <si>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</si>
  <si>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</si>
  <si>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</si>
  <si>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</si>
  <si>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</si>
  <si>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</si>
  <si>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</si>
  <si>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</si>
  <si>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</si>
  <si>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</si>
  <si>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</si>
  <si>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</si>
  <si>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</si>
  <si>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</si>
  <si>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</si>
  <si>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</si>
  <si>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</si>
  <si>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</si>
  <si>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</si>
  <si>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</si>
  <si>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</si>
  <si>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</si>
  <si>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</si>
  <si>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</si>
  <si>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</si>
  <si>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</si>
  <si>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</si>
  <si>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</si>
  <si>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</si>
  <si>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</si>
  <si>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</si>
  <si>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</si>
  <si>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</si>
  <si>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</si>
  <si>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</si>
  <si>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</si>
  <si>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</si>
  <si>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</si>
  <si>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</si>
  <si>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</si>
  <si>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</si>
  <si>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</si>
  <si>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</si>
  <si>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</si>
  <si>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</si>
  <si>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</si>
  <si>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</si>
  <si>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</si>
  <si>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</si>
  <si>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</si>
  <si>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</si>
  <si>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</si>
  <si>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</si>
  <si>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</si>
  <si>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</si>
  <si>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</si>
  <si>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</si>
  <si>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</si>
  <si>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</si>
  <si>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</si>
  <si>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</si>
  <si>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</si>
  <si>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</si>
  <si>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</si>
  <si>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</si>
  <si>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</si>
  <si>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</si>
  <si>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</si>
  <si>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</si>
  <si>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</si>
  <si>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</si>
  <si>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</si>
  <si>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</si>
  <si>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</si>
  <si>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</si>
  <si>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</si>
  <si>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</si>
  <si>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</si>
  <si>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</si>
  <si>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</si>
  <si>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</si>
  <si>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</si>
  <si>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</si>
  <si>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</si>
  <si>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</si>
  <si>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</si>
  <si>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</si>
  <si>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</si>
  <si>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</si>
  <si>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</si>
  <si>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</si>
  <si>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</si>
  <si>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</si>
  <si>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</si>
  <si>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</si>
  <si>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</si>
  <si>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</si>
  <si>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</si>
  <si>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</si>
  <si>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</si>
  <si>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</si>
  <si>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</si>
  <si>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</si>
  <si>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</si>
  <si>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</si>
  <si>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</si>
  <si>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</si>
  <si>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</si>
  <si>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</si>
  <si>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</si>
  <si>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</si>
  <si>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</si>
  <si>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</si>
  <si>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</si>
  <si>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</si>
  <si>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</si>
  <si>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</si>
  <si>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</si>
  <si>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</si>
  <si>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</si>
  <si>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</si>
  <si>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</si>
  <si>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</si>
  <si>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</si>
  <si>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</si>
  <si>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</si>
  <si>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</si>
  <si>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</si>
  <si>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</si>
  <si>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</si>
  <si>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</si>
  <si>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</si>
  <si>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</si>
  <si>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</si>
  <si>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</si>
  <si>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</si>
  <si>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</si>
  <si>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</si>
  <si>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</si>
  <si>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</si>
  <si>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</si>
  <si>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</si>
  <si>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</si>
  <si>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</si>
  <si>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</si>
  <si>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</si>
  <si>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</si>
  <si>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</si>
  <si>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</si>
  <si>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</si>
  <si>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</si>
  <si>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</si>
  <si>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</si>
  <si>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</si>
  <si>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</si>
  <si>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</si>
  <si>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</si>
  <si>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</si>
  <si>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</si>
  <si>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</si>
  <si>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</si>
  <si>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</si>
  <si>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</si>
  <si>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</si>
  <si>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</si>
  <si>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</si>
  <si>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</si>
  <si>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</si>
  <si>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</si>
  <si>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</si>
  <si>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</si>
  <si>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</si>
  <si>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</si>
  <si>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</si>
  <si>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</si>
  <si>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</si>
  <si>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</si>
  <si>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</si>
  <si>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</si>
  <si>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</si>
  <si>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</si>
  <si>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</si>
  <si>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</si>
  <si>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</si>
  <si>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</si>
  <si>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</si>
  <si>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</si>
  <si>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</si>
  <si>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</si>
  <si>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</si>
  <si>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</si>
  <si>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</si>
  <si>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</si>
  <si>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</si>
  <si>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</si>
  <si>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</si>
  <si>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</si>
  <si>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</si>
  <si>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</si>
  <si>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</si>
  <si>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</si>
  <si>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</si>
  <si>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</si>
  <si>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</si>
  <si>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</si>
  <si>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</si>
  <si>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</si>
  <si>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</si>
  <si>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</si>
  <si>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</si>
  <si>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</si>
  <si>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</si>
  <si>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</si>
  <si>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</si>
  <si>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</si>
  <si>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</si>
  <si>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</si>
  <si>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</si>
  <si>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</si>
  <si>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</si>
  <si>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</si>
  <si>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</si>
  <si>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</si>
  <si>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</si>
  <si>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</si>
  <si>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</si>
  <si>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</si>
  <si>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</si>
  <si>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</si>
  <si>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</si>
  <si>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</si>
  <si>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</si>
  <si>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</si>
  <si>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</si>
  <si>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</si>
  <si>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</si>
  <si>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</si>
  <si>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</si>
  <si>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</si>
  <si>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</si>
  <si>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</si>
  <si>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</si>
  <si>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</si>
  <si>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</si>
  <si>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</si>
  <si>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</si>
  <si>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</si>
  <si>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</si>
  <si>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</si>
  <si>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</si>
  <si>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</si>
  <si>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</si>
  <si>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</si>
  <si>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</si>
  <si>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</si>
  <si>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</si>
  <si>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</si>
  <si>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</si>
  <si>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</si>
  <si>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</si>
  <si>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</si>
  <si>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</si>
  <si>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</si>
  <si>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</si>
  <si>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</si>
  <si>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</si>
  <si>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</si>
  <si>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</si>
  <si>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</si>
  <si>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</si>
  <si>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</si>
  <si>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</si>
  <si>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</si>
  <si>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</si>
  <si>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</si>
  <si>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</si>
  <si>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</si>
  <si>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</si>
  <si>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</si>
  <si>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</si>
  <si>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</si>
  <si>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</si>
  <si>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</si>
  <si>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</si>
  <si>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</si>
  <si>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</si>
  <si>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</si>
  <si>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</si>
  <si>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</si>
  <si>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</si>
  <si>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</si>
  <si>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</si>
  <si>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</si>
  <si>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</si>
  <si>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</si>
  <si>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</si>
  <si>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</si>
  <si>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</si>
  <si>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</si>
  <si>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</si>
  <si>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</si>
  <si>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</si>
  <si>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</si>
  <si>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</si>
  <si>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</si>
  <si>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</si>
  <si>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</si>
  <si>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</si>
  <si>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</si>
  <si>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</si>
  <si>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</si>
  <si>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</si>
  <si>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</si>
  <si>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</si>
  <si>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</si>
  <si>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</si>
  <si>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</si>
  <si>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</si>
  <si>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</si>
  <si>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</si>
  <si>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</si>
  <si>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</si>
  <si>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</si>
  <si>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</si>
  <si>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</si>
  <si>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</si>
  <si>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</si>
  <si>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</si>
  <si>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</si>
  <si>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</si>
  <si>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</si>
  <si>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</si>
  <si>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</si>
  <si>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</si>
  <si>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</si>
  <si>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</si>
  <si>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</si>
  <si>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</si>
  <si>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</si>
  <si>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</si>
  <si>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</si>
  <si>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</si>
  <si>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</si>
  <si>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</si>
  <si>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</si>
  <si>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</si>
  <si>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</si>
  <si>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</si>
  <si>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</si>
  <si>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</si>
  <si>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</si>
  <si>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</si>
  <si>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</si>
  <si>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</si>
  <si>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</si>
  <si>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</si>
  <si>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</si>
  <si>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</si>
  <si>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</si>
  <si>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</si>
  <si>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</si>
  <si>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</si>
  <si>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</si>
  <si>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</si>
  <si>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</si>
  <si>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</si>
  <si>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</si>
  <si>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</si>
  <si>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</si>
  <si>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</si>
  <si>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</si>
  <si>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</si>
  <si>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</si>
  <si>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</si>
  <si>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</si>
  <si>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</si>
  <si>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</si>
  <si>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</si>
  <si>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</si>
  <si>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</si>
  <si>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</si>
  <si>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</si>
  <si>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</si>
  <si>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</si>
  <si>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</si>
  <si>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</si>
  <si>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</si>
  <si>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</si>
  <si>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</si>
  <si>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</si>
  <si>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</si>
  <si>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</si>
  <si>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</si>
  <si>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</si>
  <si>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</si>
  <si>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</si>
  <si>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</si>
  <si>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</si>
  <si>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</si>
  <si>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</si>
  <si>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</si>
  <si>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</si>
  <si>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</si>
  <si>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</si>
  <si>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</si>
  <si>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</si>
  <si>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</si>
  <si>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</si>
  <si>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</si>
  <si>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</si>
  <si>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</si>
  <si>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</si>
  <si>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</si>
  <si>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</si>
  <si>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</si>
  <si>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</si>
  <si>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</si>
  <si>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</si>
  <si>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</si>
  <si>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</si>
  <si>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</si>
  <si>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</si>
  <si>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</si>
  <si>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</si>
  <si>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</si>
  <si>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</si>
  <si>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</si>
  <si>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</si>
  <si>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</si>
  <si>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</si>
  <si>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</si>
  <si>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</si>
  <si>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</si>
  <si>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</si>
  <si>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</si>
  <si>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</si>
  <si>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</si>
  <si>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</si>
  <si>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</si>
  <si>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</si>
  <si>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</si>
  <si>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</si>
  <si>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</si>
  <si>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</si>
  <si>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</si>
  <si>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</si>
  <si>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</si>
  <si>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</si>
  <si>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</si>
  <si>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</si>
  <si>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</si>
  <si>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</si>
  <si>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</si>
  <si>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</si>
  <si>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</si>
  <si>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</si>
  <si>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</si>
  <si>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</si>
  <si>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</si>
  <si>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</si>
  <si>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</si>
  <si>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</si>
  <si>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</si>
  <si>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</si>
  <si>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</si>
  <si>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</si>
  <si>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</si>
  <si>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</si>
  <si>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</si>
  <si>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</si>
  <si>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</si>
  <si>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</si>
  <si>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</si>
  <si>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</si>
  <si>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</si>
  <si>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</si>
  <si>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</si>
  <si>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</si>
  <si>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</si>
  <si>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</si>
  <si>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</si>
  <si>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</si>
  <si>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</si>
  <si>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</si>
  <si>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</si>
  <si>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</si>
  <si>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</si>
  <si>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</si>
  <si>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</si>
  <si>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</si>
  <si>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</si>
  <si>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</si>
  <si>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</si>
  <si>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</si>
  <si>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</si>
  <si>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</si>
  <si>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</si>
  <si>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</si>
  <si>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</si>
  <si>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</si>
  <si>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</si>
  <si>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</si>
  <si>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</si>
  <si>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</si>
  <si>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</si>
  <si>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</si>
  <si>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</si>
  <si>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</si>
  <si>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</si>
  <si>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</si>
  <si>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</si>
  <si>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</si>
  <si>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</si>
  <si>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</si>
  <si>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</si>
  <si>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</si>
  <si>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</si>
  <si>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</si>
  <si>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</si>
  <si>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</si>
  <si>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</si>
  <si>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</si>
  <si>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</si>
  <si>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</si>
  <si>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</si>
  <si>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</si>
  <si>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</si>
  <si>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</si>
  <si>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</si>
  <si>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</si>
  <si>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</si>
  <si>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</si>
  <si>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</si>
  <si>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</si>
  <si>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</si>
  <si>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</si>
  <si>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</si>
  <si>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</si>
  <si>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</si>
  <si>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</si>
  <si>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</si>
  <si>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</si>
  <si>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</si>
  <si>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</si>
  <si>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</si>
  <si>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</si>
  <si>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</si>
  <si>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</si>
  <si>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</si>
  <si>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</si>
  <si>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</si>
  <si>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</si>
  <si>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</si>
  <si>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</si>
  <si>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</si>
  <si>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</si>
  <si>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</si>
  <si>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</si>
  <si>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</si>
  <si>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</si>
  <si>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</si>
  <si>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</si>
  <si>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</si>
  <si>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</si>
  <si>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</si>
  <si>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</si>
  <si>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</si>
  <si>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</si>
  <si>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</si>
  <si>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</si>
  <si>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</si>
  <si>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</si>
  <si>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</si>
  <si>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</si>
  <si>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</si>
  <si>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</si>
  <si>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</si>
  <si>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</si>
  <si>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</si>
  <si>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</si>
  <si>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</si>
  <si>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</si>
  <si>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</si>
  <si>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</si>
  <si>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</si>
  <si>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</si>
  <si>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</si>
  <si>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</si>
  <si>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</si>
  <si>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</si>
  <si>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</si>
  <si>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</si>
  <si>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</si>
  <si>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</si>
  <si>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</si>
  <si>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</si>
  <si>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</si>
  <si>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</si>
  <si>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</si>
  <si>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</si>
  <si>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</si>
  <si>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</si>
  <si>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</si>
  <si>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</si>
  <si>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</si>
  <si>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</si>
  <si>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</si>
  <si>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</si>
  <si>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</si>
  <si>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</si>
  <si>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</si>
  <si>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</si>
  <si>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</si>
  <si>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</si>
  <si>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</si>
  <si>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</si>
  <si>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</si>
  <si>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</si>
  <si>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</si>
  <si>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</si>
  <si>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</si>
  <si>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</si>
  <si>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</si>
  <si>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</si>
  <si>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</si>
  <si>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</si>
  <si>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</si>
  <si>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</si>
  <si>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</si>
  <si>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</si>
  <si>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</si>
  <si>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</si>
  <si>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</si>
  <si>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</si>
  <si>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</si>
  <si>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</si>
  <si>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</si>
  <si>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</si>
  <si>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</si>
  <si>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</si>
  <si>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</si>
  <si>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</si>
  <si>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</si>
  <si>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</si>
  <si>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</si>
  <si>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</si>
  <si>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</si>
  <si>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</si>
  <si>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</si>
  <si>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</si>
  <si>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</si>
  <si>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</si>
  <si>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</si>
  <si>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</si>
  <si>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</si>
  <si>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</si>
  <si>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</si>
  <si>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</si>
  <si>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</si>
  <si>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</si>
  <si>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</si>
  <si>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</si>
  <si>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</si>
  <si>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</si>
  <si>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</si>
  <si>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</si>
  <si>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</si>
  <si>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</si>
  <si>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</si>
  <si>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</si>
  <si>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</si>
  <si>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</si>
  <si>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</si>
  <si>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</si>
  <si>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</si>
  <si>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</si>
  <si>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</si>
  <si>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</si>
  <si>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</si>
  <si>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</si>
  <si>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</si>
  <si>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</si>
  <si>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</si>
  <si>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</si>
  <si>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</si>
  <si>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</si>
  <si>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</si>
  <si>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</si>
  <si>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</si>
  <si>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</si>
  <si>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</si>
  <si>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</si>
  <si>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</si>
  <si>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</si>
  <si>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</si>
  <si>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</si>
  <si>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</si>
  <si>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</si>
  <si>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</si>
  <si>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</si>
  <si>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</si>
  <si>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</si>
  <si>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</si>
  <si>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</si>
  <si>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</si>
  <si>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</si>
  <si>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</si>
  <si>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</si>
  <si>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</si>
  <si>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</si>
  <si>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</si>
  <si>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</si>
  <si>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</si>
  <si>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</si>
  <si>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</si>
  <si>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</si>
  <si>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</si>
  <si>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</si>
  <si>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</si>
  <si>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</si>
  <si>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</si>
  <si>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</si>
  <si>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</si>
  <si>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</si>
  <si>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</si>
  <si>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</si>
  <si>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</si>
  <si>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</si>
  <si>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</si>
  <si>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</si>
  <si>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</si>
  <si>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</si>
  <si>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</si>
  <si>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</si>
  <si>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</si>
  <si>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</si>
  <si>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</si>
  <si>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</si>
  <si>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</si>
  <si>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</si>
  <si>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</si>
  <si>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</si>
  <si>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</si>
  <si>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</si>
  <si>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</si>
  <si>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</si>
  <si>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</si>
  <si>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</si>
  <si>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</si>
  <si>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</si>
  <si>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</si>
  <si>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</si>
  <si>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</si>
  <si>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</si>
  <si>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</si>
  <si>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</si>
  <si>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</si>
  <si>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</si>
  <si>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</si>
  <si>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</si>
  <si>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</si>
  <si>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</si>
  <si>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</si>
  <si>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</si>
  <si>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</si>
  <si>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</si>
  <si>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</si>
  <si>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</si>
  <si>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</si>
  <si>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</si>
  <si>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</si>
  <si>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</si>
  <si>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</si>
  <si>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</si>
  <si>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</si>
  <si>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</si>
  <si>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</si>
  <si>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</si>
  <si>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</si>
  <si>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</si>
  <si>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</si>
  <si>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</si>
  <si>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</si>
  <si>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</si>
  <si>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</si>
  <si>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</si>
  <si>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</si>
  <si>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</si>
  <si>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</si>
  <si>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</si>
  <si>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</si>
  <si>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</si>
  <si>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</si>
  <si>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</si>
  <si>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</si>
  <si>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</si>
  <si>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</si>
  <si>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</si>
  <si>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</si>
  <si>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</si>
  <si>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</si>
  <si>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</si>
  <si>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</si>
  <si>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</si>
  <si>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</si>
  <si>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</si>
  <si>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</si>
  <si>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</si>
  <si>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</si>
  <si>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</si>
  <si>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</si>
  <si>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</si>
  <si>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</si>
  <si>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</si>
  <si>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</si>
  <si>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</si>
  <si>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</si>
  <si>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</si>
  <si>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</si>
  <si>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</si>
  <si>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</si>
  <si>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</si>
  <si>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</si>
  <si>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</si>
  <si>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</si>
  <si>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</si>
  <si>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</si>
  <si>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</si>
  <si>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</si>
  <si>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</si>
  <si>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</si>
  <si>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</si>
  <si>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</si>
  <si>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</si>
  <si>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</si>
  <si>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</si>
  <si>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</si>
  <si>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</si>
  <si>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</si>
  <si>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</si>
  <si>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</si>
  <si>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</si>
  <si>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</si>
  <si>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</si>
  <si>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</si>
  <si>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</si>
  <si>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</si>
  <si>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</si>
  <si>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</si>
  <si>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</si>
  <si>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</si>
  <si>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</si>
  <si>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</si>
  <si>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</si>
  <si>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</si>
  <si>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</si>
  <si>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</si>
  <si>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</si>
  <si>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</si>
  <si>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</si>
  <si>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</si>
  <si>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</si>
  <si>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</si>
  <si>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</si>
  <si>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</si>
  <si>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</si>
  <si>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</si>
  <si>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</si>
  <si>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</si>
  <si>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</si>
  <si>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</si>
  <si>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</si>
  <si>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</si>
  <si>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</si>
  <si>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</si>
  <si>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</si>
  <si>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</si>
  <si>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</si>
  <si>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</si>
  <si>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</si>
  <si>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</si>
  <si>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</si>
  <si>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</si>
  <si>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</si>
  <si>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</si>
  <si>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</si>
  <si>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</si>
  <si>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</si>
  <si>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</si>
  <si>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</si>
  <si>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</si>
  <si>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</si>
  <si>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</si>
  <si>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</si>
  <si>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</si>
  <si>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</si>
  <si>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</si>
  <si>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</si>
  <si>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</si>
  <si>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</si>
  <si>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</si>
  <si>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</si>
  <si>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</si>
  <si>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</si>
  <si>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</si>
  <si>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</si>
  <si>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</si>
  <si>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</si>
  <si>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</si>
  <si>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</si>
  <si>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</si>
  <si>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</si>
  <si>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</si>
  <si>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</si>
  <si>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</si>
  <si>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</si>
  <si>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</si>
  <si>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</si>
  <si>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</si>
  <si>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</si>
  <si>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</si>
  <si>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</si>
  <si>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</si>
  <si>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</si>
  <si>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</si>
  <si>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</si>
  <si>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</si>
  <si>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</si>
  <si>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</si>
  <si>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</si>
  <si>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</si>
  <si>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</si>
  <si>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</si>
  <si>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</si>
  <si>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</si>
  <si>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</si>
  <si>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</si>
  <si>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</si>
  <si>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</si>
  <si>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</si>
  <si>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</si>
  <si>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</si>
  <si>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</si>
  <si>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</si>
  <si>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</si>
  <si>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</si>
  <si>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</si>
  <si>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</si>
  <si>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</si>
  <si>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</si>
  <si>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</si>
  <si>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</si>
  <si>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</si>
  <si>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</si>
  <si>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</si>
  <si>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</si>
  <si>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</si>
  <si>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</si>
  <si>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</si>
  <si>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</si>
  <si>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</si>
  <si>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</si>
  <si>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</si>
  <si>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</si>
  <si>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</si>
  <si>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</si>
  <si>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</si>
  <si>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</si>
  <si>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</si>
  <si>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</si>
  <si>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</si>
  <si>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</si>
  <si>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</si>
  <si>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</si>
  <si>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</si>
  <si>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</si>
  <si>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</si>
  <si>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</si>
  <si>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</si>
  <si>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</si>
  <si>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</si>
  <si>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</si>
  <si>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</si>
  <si>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</si>
  <si>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</si>
  <si>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</si>
  <si>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</si>
  <si>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</si>
  <si>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</si>
  <si>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</si>
  <si>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</si>
  <si>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</si>
  <si>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</si>
  <si>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</si>
  <si>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</si>
  <si>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</si>
  <si>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</si>
  <si>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</si>
  <si>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</si>
  <si>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</si>
  <si>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</si>
  <si>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</si>
  <si>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</si>
  <si>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</si>
  <si>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</si>
  <si>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</si>
  <si>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</si>
  <si>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</si>
  <si>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</si>
  <si>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</si>
  <si>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</si>
  <si>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</si>
  <si>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</si>
  <si>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</si>
  <si>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</si>
  <si>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</si>
  <si>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</si>
  <si>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</si>
  <si>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</si>
  <si>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</si>
  <si>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</si>
  <si>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</si>
  <si>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</si>
  <si>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</si>
  <si>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</si>
  <si>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</si>
  <si>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</si>
  <si>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</si>
  <si>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</si>
  <si>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</si>
  <si>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</si>
  <si>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</si>
  <si>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</si>
  <si>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</si>
  <si>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</si>
  <si>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</si>
  <si>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</si>
  <si>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</si>
  <si>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</si>
  <si>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</si>
  <si>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</si>
  <si>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</si>
  <si>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</si>
  <si>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</si>
  <si>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</si>
  <si>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</si>
  <si>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</si>
  <si>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</si>
  <si>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</si>
  <si>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</si>
  <si>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</si>
  <si>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</si>
  <si>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</si>
  <si>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</si>
  <si>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</si>
  <si>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</si>
  <si>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</si>
  <si>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</si>
  <si>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</si>
  <si>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</si>
  <si>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</si>
  <si>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</si>
  <si>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</si>
  <si>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</si>
  <si>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</si>
  <si>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</si>
  <si>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</si>
  <si>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</si>
  <si>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</si>
  <si>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</si>
  <si>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</si>
  <si>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</si>
  <si>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</si>
  <si>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</si>
  <si>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</si>
  <si>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</si>
  <si>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</si>
  <si>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</si>
  <si>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</si>
  <si>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</si>
  <si>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</si>
  <si>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</si>
  <si>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</si>
  <si>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</si>
  <si>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</si>
  <si>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</si>
  <si>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</si>
  <si>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</si>
  <si>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</si>
  <si>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</si>
  <si>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</si>
  <si>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</si>
  <si>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</si>
  <si>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</si>
  <si>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</si>
  <si>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</si>
  <si>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</si>
  <si>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</si>
  <si>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</si>
  <si>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</si>
  <si>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</si>
  <si>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</si>
  <si>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</si>
  <si>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</si>
  <si>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</si>
  <si>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</si>
  <si>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</si>
  <si>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</si>
  <si>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</si>
  <si>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</si>
  <si>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</si>
  <si>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</si>
  <si>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</si>
  <si>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</si>
  <si>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</si>
  <si>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</si>
  <si>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</si>
  <si>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</si>
  <si>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</si>
  <si>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</si>
  <si>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</si>
  <si>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</si>
  <si>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</si>
  <si>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</si>
  <si>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</si>
  <si>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</si>
  <si>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</si>
  <si>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</si>
  <si>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</si>
  <si>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</si>
  <si>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</si>
  <si>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</si>
  <si>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</si>
  <si>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</si>
  <si>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</si>
  <si>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</si>
  <si>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</si>
  <si>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</si>
  <si>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</si>
  <si>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</si>
  <si>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</si>
  <si>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</si>
  <si>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</si>
  <si>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</si>
  <si>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</si>
  <si>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</si>
  <si>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</si>
  <si>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</si>
  <si>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</si>
  <si>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</si>
  <si>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</si>
  <si>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</si>
  <si>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</si>
  <si>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</si>
  <si>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</si>
  <si>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</si>
  <si>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</si>
  <si>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</si>
  <si>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</si>
  <si>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</si>
  <si>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</si>
  <si>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</si>
  <si>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</si>
  <si>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</si>
  <si>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</si>
  <si>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</si>
  <si>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</si>
  <si>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</si>
  <si>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</si>
  <si>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</si>
  <si>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</si>
  <si>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</si>
  <si>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</si>
  <si>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</si>
  <si>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</si>
  <si>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</si>
  <si>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</si>
  <si>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</si>
  <si>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</si>
  <si>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</si>
  <si>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</si>
  <si>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</si>
  <si>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</si>
  <si>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</si>
  <si>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</si>
  <si>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</si>
  <si>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</si>
  <si>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</si>
  <si>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</si>
  <si>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</si>
  <si>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</si>
  <si>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</si>
  <si>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</si>
  <si>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</si>
  <si>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</si>
  <si>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</si>
  <si>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</si>
  <si>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</si>
  <si>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</si>
  <si>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</si>
  <si>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</si>
  <si>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</si>
  <si>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</si>
  <si>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</si>
  <si>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</si>
  <si>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</si>
  <si>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</si>
  <si>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</si>
  <si>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</si>
  <si>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</si>
  <si>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</si>
  <si>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</si>
  <si>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</si>
  <si>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</si>
  <si>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</si>
  <si>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</si>
  <si>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</si>
  <si>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</si>
  <si>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</si>
  <si>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</si>
  <si>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</si>
  <si>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</si>
  <si>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</si>
  <si>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</si>
  <si>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</si>
  <si>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</si>
  <si>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</si>
  <si>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</si>
  <si>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</si>
  <si>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</si>
  <si>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</si>
  <si>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</si>
  <si>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</si>
  <si>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</si>
  <si>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</si>
  <si>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</si>
  <si>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</si>
  <si>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</si>
  <si>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</si>
  <si>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</si>
  <si>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</si>
  <si>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</si>
  <si>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</si>
  <si>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</si>
  <si>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</si>
  <si>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</si>
  <si>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</si>
  <si>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</si>
  <si>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</si>
  <si>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</si>
  <si>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</si>
  <si>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</si>
  <si>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</si>
  <si>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</si>
  <si>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</si>
  <si>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</si>
  <si>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</si>
  <si>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</si>
  <si>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</si>
  <si>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</si>
  <si>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</si>
  <si>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</si>
  <si>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</si>
  <si>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</si>
  <si>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</si>
  <si>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</si>
  <si>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</si>
  <si>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</si>
  <si>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</si>
  <si>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</si>
  <si>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</si>
  <si>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</si>
  <si>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</si>
  <si>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</si>
  <si>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</si>
  <si>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</si>
  <si>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</si>
  <si>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</si>
  <si>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</si>
  <si>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</si>
  <si>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</si>
  <si>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</si>
  <si>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</si>
  <si>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</si>
  <si>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</si>
  <si>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</si>
  <si>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</si>
  <si>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</si>
  <si>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</si>
  <si>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</si>
  <si>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</si>
  <si>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</si>
  <si>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</si>
  <si>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</si>
  <si>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</si>
  <si>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</si>
  <si>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</si>
  <si>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</si>
  <si>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</si>
  <si>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</si>
  <si>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</si>
  <si>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</si>
  <si>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</si>
  <si>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</si>
  <si>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</si>
  <si>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</si>
  <si>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</si>
  <si>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</si>
  <si>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</si>
  <si>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</si>
  <si>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</si>
  <si>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</si>
  <si>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</si>
  <si>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</si>
  <si>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</si>
  <si>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</si>
  <si>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</si>
  <si>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</si>
  <si>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</si>
  <si>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</si>
  <si>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</si>
  <si>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</si>
  <si>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</si>
  <si>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</si>
  <si>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</si>
  <si>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</si>
  <si>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</si>
  <si>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</si>
  <si>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</si>
  <si>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</si>
  <si>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</si>
  <si>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</si>
  <si>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</si>
  <si>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</si>
  <si>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</si>
  <si>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</si>
  <si>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</si>
  <si>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</si>
  <si>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</si>
  <si>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</si>
  <si>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</si>
  <si>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</si>
  <si>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</si>
  <si>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</si>
  <si>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</si>
  <si>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</si>
  <si>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</si>
  <si>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</si>
  <si>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</si>
  <si>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</si>
  <si>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</si>
  <si>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</si>
  <si>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</si>
  <si>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</si>
  <si>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</si>
  <si>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</si>
  <si>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</si>
  <si>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</si>
  <si>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</si>
  <si>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</si>
  <si>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</si>
  <si>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</si>
  <si>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</si>
  <si>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</si>
  <si>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</si>
  <si>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</si>
  <si>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</si>
  <si>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</si>
  <si>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</si>
  <si>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</si>
  <si>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</si>
  <si>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</si>
  <si>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</si>
  <si>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</si>
  <si>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</si>
  <si>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</si>
  <si>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</si>
  <si>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</si>
  <si>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</si>
  <si>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</si>
  <si>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</si>
  <si>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</si>
  <si>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</si>
  <si>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</si>
  <si>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</si>
  <si>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</si>
  <si>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</si>
  <si>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</si>
  <si>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</si>
  <si>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</si>
  <si>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</si>
  <si>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</si>
  <si>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</si>
  <si>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</si>
  <si>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</si>
  <si>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</si>
  <si>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</si>
  <si>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</si>
  <si>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</si>
  <si>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</si>
  <si>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</si>
  <si>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</si>
  <si>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</si>
  <si>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</si>
  <si>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</si>
  <si>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</si>
  <si>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</si>
  <si>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</si>
  <si>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</si>
  <si>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</si>
  <si>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</si>
  <si>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</si>
  <si>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</si>
  <si>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</si>
  <si>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</si>
  <si>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</si>
  <si>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</si>
  <si>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</si>
  <si>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</si>
  <si>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</si>
  <si>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</si>
  <si>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</si>
  <si>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</si>
  <si>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</si>
  <si>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</si>
  <si>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</si>
  <si>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</si>
  <si>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</si>
  <si>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</si>
  <si>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</si>
  <si>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</si>
  <si>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</si>
  <si>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</si>
  <si>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</si>
  <si>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</si>
  <si>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</si>
  <si>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</si>
  <si>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</si>
  <si>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</si>
  <si>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</si>
  <si>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</si>
  <si>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</si>
  <si>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</si>
  <si>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</si>
  <si>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</si>
  <si>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</si>
  <si>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</si>
  <si>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</si>
  <si>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</si>
  <si>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</si>
  <si>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</si>
  <si>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</si>
  <si>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</si>
  <si>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</si>
  <si>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</si>
  <si>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</si>
  <si>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</si>
  <si>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</si>
  <si>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</si>
  <si>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</si>
  <si>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</si>
  <si>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</si>
  <si>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</si>
  <si>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</si>
  <si>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</si>
  <si>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</si>
  <si>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</si>
  <si>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</si>
  <si>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</si>
  <si>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</si>
  <si>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</si>
  <si>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</si>
  <si>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</si>
  <si>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</si>
  <si>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</si>
  <si>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</si>
  <si>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</si>
  <si>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</si>
  <si>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</si>
  <si>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</si>
  <si>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</si>
  <si>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</si>
  <si>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</si>
  <si>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</si>
  <si>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</si>
  <si>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</si>
  <si>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</si>
  <si>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</si>
  <si>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</si>
  <si>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</si>
  <si>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</si>
  <si>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</si>
  <si>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</si>
  <si>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</si>
  <si>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</si>
  <si>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</si>
  <si>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</si>
  <si>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</si>
  <si>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</si>
  <si>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</si>
  <si>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</si>
  <si>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</si>
  <si>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</si>
  <si>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</si>
  <si>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</si>
  <si>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</si>
  <si>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</si>
  <si>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</si>
  <si>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</si>
  <si>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</si>
  <si>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</si>
  <si>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</si>
  <si>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</si>
  <si>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</si>
  <si>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</si>
  <si>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</si>
  <si>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</si>
  <si>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</si>
  <si>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</si>
  <si>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</si>
  <si>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</si>
  <si>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</si>
  <si>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</si>
  <si>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</si>
  <si>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</si>
  <si>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</si>
  <si>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</si>
  <si>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</si>
  <si>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</si>
  <si>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</si>
  <si>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</si>
  <si>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</si>
  <si>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</si>
  <si>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</si>
  <si>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</si>
  <si>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</si>
  <si>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</si>
  <si>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</si>
  <si>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</si>
  <si>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</si>
  <si>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</si>
  <si>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</si>
  <si>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</si>
  <si>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</si>
  <si>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</si>
  <si>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</si>
  <si>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</si>
  <si>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</si>
  <si>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</si>
  <si>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</si>
  <si>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</si>
  <si>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</si>
  <si>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</si>
  <si>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</si>
  <si>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</si>
  <si>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</si>
  <si>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</si>
  <si>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</si>
  <si>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</si>
  <si>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</si>
  <si>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</si>
  <si>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</si>
  <si>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</si>
  <si>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</si>
  <si>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</si>
  <si>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</si>
  <si>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</si>
  <si>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</si>
  <si>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</si>
  <si>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</si>
  <si>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</si>
  <si>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</si>
  <si>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</si>
  <si>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</si>
  <si>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</si>
  <si>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</si>
  <si>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</si>
  <si>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</si>
  <si>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</si>
  <si>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</si>
  <si>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</si>
  <si>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</si>
  <si>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</si>
  <si>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</si>
  <si>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</si>
  <si>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</si>
  <si>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</si>
  <si>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</si>
  <si>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</si>
  <si>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</si>
  <si>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</si>
  <si>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</si>
  <si>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</si>
  <si>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</si>
  <si>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</si>
  <si>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</si>
  <si>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</si>
  <si>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</si>
  <si>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</si>
  <si>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</si>
  <si>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</si>
  <si>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</si>
  <si>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</si>
  <si>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</si>
  <si>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</si>
  <si>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</si>
  <si>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</si>
  <si>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</si>
  <si>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</si>
  <si>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</si>
  <si>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</si>
  <si>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</si>
  <si>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</si>
  <si>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</si>
  <si>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</si>
  <si>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</si>
  <si>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</si>
  <si>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</si>
  <si>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</si>
  <si>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</si>
  <si>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</si>
  <si>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</si>
  <si>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</si>
  <si>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</si>
  <si>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</si>
  <si>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</si>
  <si>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</si>
  <si>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</si>
  <si>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</si>
  <si>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</si>
  <si>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</si>
  <si>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</si>
  <si>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</si>
  <si>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</si>
  <si>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</si>
  <si>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</si>
  <si>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</si>
  <si>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</si>
  <si>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</si>
  <si>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</si>
  <si>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</si>
  <si>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</si>
  <si>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</si>
  <si>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</si>
  <si>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</si>
  <si>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</si>
  <si>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</si>
  <si>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</si>
  <si>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</si>
  <si>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</si>
  <si>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</si>
  <si>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</si>
  <si>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</si>
  <si>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</si>
  <si>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</si>
  <si>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</si>
  <si>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</si>
  <si>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</si>
  <si>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</si>
  <si>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</si>
  <si>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</si>
  <si>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</si>
  <si>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</si>
  <si>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</si>
  <si>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</si>
  <si>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</si>
  <si>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</si>
  <si>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</si>
  <si>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</si>
  <si>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</si>
  <si>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</si>
  <si>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</si>
  <si>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</si>
  <si>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</si>
  <si>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</si>
  <si>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</si>
  <si>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</si>
  <si>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</si>
  <si>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</si>
  <si>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</si>
  <si>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</si>
  <si>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</si>
  <si>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</si>
  <si>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</si>
  <si>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</si>
  <si>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</si>
  <si>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</si>
  <si>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</si>
  <si>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</si>
  <si>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</si>
  <si>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</si>
  <si>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</si>
  <si>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</si>
  <si>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</si>
  <si>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</si>
  <si>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</si>
  <si>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</si>
  <si>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</si>
  <si>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</si>
  <si>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</si>
  <si>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</si>
  <si>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</si>
  <si>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</si>
  <si>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</si>
  <si>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</si>
  <si>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</si>
  <si>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</si>
  <si>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</si>
  <si>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</si>
  <si>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</si>
  <si>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</si>
  <si>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</si>
  <si>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</si>
  <si>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</si>
  <si>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</si>
  <si>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</si>
  <si>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</si>
  <si>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</si>
  <si>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</si>
  <si>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</si>
  <si>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</si>
  <si>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</si>
  <si>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</si>
  <si>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</si>
  <si>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</si>
  <si>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</si>
  <si>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</si>
  <si>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</si>
  <si>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</si>
  <si>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</si>
  <si>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</si>
  <si>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</si>
  <si>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</si>
  <si>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</si>
  <si>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</si>
  <si>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</si>
  <si>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</si>
  <si>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</si>
  <si>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</si>
  <si>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</si>
  <si>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</si>
  <si>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</si>
  <si>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</si>
  <si>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</si>
  <si>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</si>
  <si>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</si>
  <si>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</si>
  <si>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</si>
  <si>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</si>
  <si>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</si>
  <si>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</si>
  <si>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</si>
  <si>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</si>
  <si>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</si>
  <si>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</si>
  <si>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</si>
  <si>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</si>
  <si>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</si>
  <si>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</si>
  <si>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</si>
  <si>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</si>
  <si>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</si>
  <si>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</si>
  <si>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</si>
  <si>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</si>
  <si>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</si>
  <si>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</si>
  <si>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</si>
  <si>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</si>
  <si>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</si>
  <si>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</si>
  <si>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</si>
  <si>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</si>
  <si>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</si>
  <si>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</si>
  <si>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</si>
  <si>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</si>
  <si>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</si>
  <si>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</si>
  <si>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</si>
  <si>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</si>
  <si>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</si>
  <si>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</si>
  <si>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</si>
  <si>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</si>
  <si>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</si>
  <si>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</si>
  <si>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</si>
  <si>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</si>
  <si>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</si>
  <si>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</si>
  <si>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</si>
  <si>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</si>
  <si>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</si>
  <si>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</si>
  <si>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</si>
  <si>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</si>
  <si>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</si>
  <si>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</si>
  <si>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</si>
  <si>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</si>
  <si>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</si>
  <si>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</si>
  <si>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</si>
  <si>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</si>
  <si>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</si>
  <si>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</si>
  <si>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</si>
  <si>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</si>
  <si>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</si>
  <si>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</si>
  <si>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</si>
  <si>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</si>
  <si>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</si>
  <si>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</si>
  <si>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</si>
  <si>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</si>
  <si>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</si>
  <si>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</si>
  <si>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</si>
  <si>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</si>
  <si>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</si>
  <si>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</si>
  <si>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</si>
  <si>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</si>
  <si>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</si>
  <si>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</si>
  <si>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</si>
  <si>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</si>
  <si>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</si>
  <si>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</si>
  <si>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</si>
  <si>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</si>
  <si>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</si>
  <si>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</si>
  <si>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</si>
  <si>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</si>
  <si>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</si>
  <si>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</si>
  <si>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</si>
  <si>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</si>
  <si>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</si>
  <si>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</si>
  <si>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</si>
  <si>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</si>
  <si>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</si>
  <si>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</si>
  <si>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</si>
  <si>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</si>
  <si>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</si>
  <si>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</si>
  <si>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</si>
  <si>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</si>
  <si>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</si>
  <si>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</si>
  <si>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</si>
  <si>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</si>
  <si>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</si>
  <si>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</si>
  <si>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</si>
  <si>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</si>
  <si>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</si>
  <si>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</si>
  <si>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</si>
  <si>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</si>
  <si>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</si>
  <si>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</si>
  <si>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</si>
  <si>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</si>
  <si>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</si>
  <si>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</si>
  <si>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</si>
  <si>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</si>
  <si>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</si>
  <si>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</si>
  <si>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</si>
  <si>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</si>
  <si>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</si>
  <si>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</si>
  <si>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</si>
  <si>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</si>
  <si>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</si>
  <si>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</si>
  <si>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</si>
  <si>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</si>
  <si>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</si>
  <si>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</si>
  <si>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</si>
  <si>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</si>
  <si>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</si>
  <si>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</si>
  <si>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</si>
  <si>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</si>
  <si>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</si>
  <si>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</si>
  <si>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</si>
  <si>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</si>
  <si>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</si>
  <si>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</si>
  <si>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</si>
  <si>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</si>
  <si>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</si>
  <si>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</si>
  <si>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</si>
  <si>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</si>
  <si>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</si>
  <si>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</si>
  <si>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</si>
  <si>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</si>
  <si>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</si>
  <si>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</si>
  <si>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</si>
  <si>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</si>
  <si>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</si>
  <si>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</si>
  <si>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</si>
  <si>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</si>
  <si>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</si>
  <si>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</si>
  <si>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</si>
  <si>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</si>
  <si>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</si>
  <si>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</si>
  <si>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</si>
  <si>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</si>
  <si>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</si>
  <si>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</si>
  <si>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</si>
  <si>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</si>
  <si>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</si>
  <si>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</si>
  <si>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</si>
  <si>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</si>
  <si>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</si>
  <si>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</si>
  <si>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</si>
  <si>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</si>
  <si>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</si>
  <si>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</si>
  <si>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</si>
  <si>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</si>
  <si>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</si>
  <si>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</si>
  <si>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</si>
  <si>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</si>
  <si>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</si>
  <si>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</si>
  <si>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</si>
  <si>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</si>
  <si>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</si>
  <si>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</si>
  <si>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</si>
  <si>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</si>
  <si>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</si>
  <si>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</si>
  <si>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</si>
  <si>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</si>
  <si>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</si>
  <si>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</si>
  <si>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</si>
  <si>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</si>
  <si>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</si>
  <si>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</si>
  <si>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</si>
  <si>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</si>
  <si>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</si>
  <si>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</si>
  <si>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</si>
  <si>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</si>
  <si>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</si>
  <si>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</si>
  <si>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</si>
  <si>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</si>
  <si>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</si>
  <si>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</si>
  <si>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</si>
  <si>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</si>
  <si>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</si>
  <si>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</si>
  <si>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</si>
  <si>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</si>
  <si>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</si>
  <si>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</si>
  <si>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</si>
  <si>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</si>
  <si>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</si>
  <si>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</si>
  <si>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</si>
  <si>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</si>
  <si>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</si>
  <si>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</si>
  <si>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</si>
  <si>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</si>
  <si>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</si>
  <si>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</si>
  <si>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</si>
  <si>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</si>
  <si>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</si>
  <si>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</si>
  <si>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</si>
  <si>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</si>
  <si>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</si>
  <si>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</si>
  <si>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</si>
  <si>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</si>
  <si>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</si>
  <si>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</si>
  <si>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</si>
  <si>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</si>
  <si>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</si>
  <si>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</si>
  <si>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</si>
  <si>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</si>
  <si>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</si>
  <si>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</si>
  <si>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</si>
  <si>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</si>
  <si>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</si>
  <si>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</si>
  <si>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</si>
  <si>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</si>
  <si>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</si>
  <si>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</si>
  <si>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</si>
  <si>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</si>
  <si>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</si>
  <si>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</si>
  <si>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</si>
  <si>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</si>
  <si>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</si>
  <si>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</si>
  <si>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</si>
  <si>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</si>
  <si>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</si>
  <si>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</si>
  <si>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</si>
  <si>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</si>
  <si>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</si>
  <si>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</si>
  <si>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</si>
  <si>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</si>
  <si>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</si>
  <si>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</si>
  <si>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</si>
  <si>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</si>
  <si>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</si>
  <si>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</si>
  <si>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</si>
  <si>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</si>
  <si>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</si>
  <si>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</si>
  <si>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</si>
  <si>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</si>
  <si>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</si>
  <si>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</si>
  <si>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</si>
  <si>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</si>
  <si>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</si>
  <si>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</si>
  <si>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</si>
  <si>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</si>
  <si>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</si>
  <si>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</si>
  <si>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</si>
  <si>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</si>
  <si>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</si>
  <si>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</si>
  <si>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</si>
  <si>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</si>
  <si>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</si>
  <si>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</si>
  <si>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</si>
  <si>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</si>
  <si>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</si>
  <si>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</si>
  <si>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</si>
  <si>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</si>
  <si>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</si>
  <si>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</si>
  <si>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</si>
  <si>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</si>
  <si>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</si>
  <si>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</si>
  <si>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</si>
  <si>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</si>
  <si>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</si>
  <si>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</si>
  <si>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</si>
  <si>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</si>
  <si>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</si>
  <si>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</si>
  <si>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</si>
  <si>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</si>
  <si>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</si>
  <si>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</si>
  <si>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</si>
  <si>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</si>
  <si>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</si>
  <si>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</si>
  <si>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</si>
  <si>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</si>
  <si>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</si>
  <si>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</si>
  <si>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</si>
  <si>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</si>
  <si>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</si>
  <si>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</si>
  <si>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</si>
  <si>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</si>
  <si>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</si>
  <si>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</si>
  <si>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</si>
  <si>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</si>
  <si>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</si>
  <si>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Curso de Formação Inicial para Novos Auditores do TCDF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</si>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</sst>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b/>
      <sz val="11"/>
      <color rgb="FF000000"/>
      <name val="Calibri"/>
    </font>
    <font>
      <sz val="11"/>
      <color theme="1"/>
      <name val="Calibri"/>
    </font>
    <font>
      <b/>
      <sz val="11"/>
      <color theme="1"/>
      <name val="Calibri"/>
    </font>
    <font>
      <b/>
      <sz val="11"/>
      <color rgb="FF0000FF"/>
      <name val="Calibri"/>
      <scheme val="minor"/>
    </font>
    <font>
      <b/>
      <sz val="14"/>
      <color theme="1"/>
      <name val="Calibri"/>
      <scheme val="minor"/>
    </font>
    <font>
      <i/>
      <sz val="10"/>
      <color rgb="FF666666"/>
      <name val="Calibri"/>
      <scheme val="minor"/>
    </font>
    <font>
      <b/>
      <sz val="11"/>
      <color rgb="FFFFFFFF"/>
      <name val="Calibri"/>
      <scheme val="minor"/>
    </font>
    <font>
      <sz val="11"/>
      <color rgb="FF000000"/>
      <name val="Calibri"/>
      <family val="2"/>
    </font>
    <font>
      <b/>
      <sz val="18"/>
      <color rgb="FFFFFFFF"/>
      <name val="Calibri"/>
      <scheme val="minor"/>
    </font>
    <font>
      <sz val="11"/>
      <color rgb="FF1F4E79"/>
      <name val="Calibri"/>
      <scheme val="minor"/>
    </font>
    <font>
      <b/>
      <sz val="36"/>
      <color rgb="FF1F4E79"/>
      <name val="Calibri"/>
      <scheme val="minor"/>
    </font>
    <font>
      <b/>
      <sz val="13"/>
      <color rgb="FFFFFFFF"/>
      <name val="Calibri"/>
      <scheme val="minor"/>
    </font>
    <font>
      <b/>
      <sz val="14"/>
      <color rgb="FF1F4E79"/>
      <name val="Calibri"/>
      <scheme val="minor"/>
    </font>
    <font>
      <b/>
      <sz val="14"/>
      <color rgb="FFFFFFFF"/>
      <name val="Calibri"/>
      <scheme val="minor"/>
    </font>
    <font>
      <b/>
      <sz val="12"/>
      <color rgb="FF1F4E79"/>
      <name val="Calibri"/>
      <scheme val="minor"/>
    </font>
    <font>
      <b/>
      <sz val="12"/>
      <color rgb="FFFFFFFF"/>
      <name val="Calibri"/>
      <scheme val="minor"/>
    </font>
    <font>
      <b/>
      <sz val="12"/>
      <color rgb="FF999999"/>
      <name val="Calibri"/>
      <scheme val="minor"/>
    </font>
    <font>
      <sz val="11"/>
      <color rgb="FF375623"/>
      <name val="Calibri"/>
      <scheme val="minor"/>
    </font>
    <font>
      <b/>
      <sz val="36"/>
      <color rgb="FF375623"/>
      <name val="Calibri"/>
      <scheme val="minor"/>
    </font>
    <font>
      <b/>
      <sz val="36"/>
      <color rgb="FF806000"/>
      <name val="Calibri"/>
      <scheme val="minor"/>
    </font>
    <font>
      <b/>
      <sz val="12"/>
      <color rgb="FFBF8F00"/>
      <name val="Calibri"/>
      <scheme val="minor"/>
    </font>
    <font>
      <sz val="11"/>
      <color rgb="FF999999"/>
      <name val="Calibri"/>
      <scheme val="minor"/>
    </font>
    <font>
      <i/>
      <sz val="11"/>
      <color rgb="FF999999"/>
      <name val="Calibri"/>
      <scheme val="minor"/>
    </font>
    <font>
      <sz val="11"/>
      <color rgb="FF000000"/>
      <name val="Calibri"/>
      <scheme val="minor"/>
    </font>
    <font>
      <b/>
      <sz val="16"/>
      <color rgb="FFFFFFFF"/>
      <name val="Calibri"/>
      <scheme val="minor"/>
    </font>
    <font>
      <i/>
      <sz val="9"/>
      <color rgb="FF808080"/>
      <name val="Calibri"/>
      <scheme val="minor"/>
    </font>
    <font>
      <b/>
      <sz val="10"/>
      <color rgb="FF1F4E79"/>
      <name val="Calibri"/>
      <scheme val="minor"/>
    </font>
    <font>
      <b/>
      <sz val="22"/>
      <color rgb="FF1F4E79"/>
      <name val="Calibri"/>
      <scheme val="minor"/>
    </font>
    <font>
      <b/>
      <sz val="10"/>
      <color rgb="FFFFFFFF"/>
      <name val="Calibri"/>
      <scheme val="minor"/>
    </font>
    <font>
      <sz val="10"/>
      <color rgb="FF808080"/>
      <name val="Calibri"/>
      <scheme val="minor"/>
    </font>
    <font>
      <sz val="10"/>
      <color theme="1"/>
      <name val="Calibri"/>
      <scheme val="minor"/>
    </font>
    <font>
      <b/>
      <sz val="11"/>
      <color rgb="FF000000"/>
      <name val="Calibri"/>
      <scheme val="minor"/>
    </font>
    <font>
      <b/>
      <sz val="11"/>
      <color rgb="FF999999"/>
      <name val="Calibri"/>
      <scheme val="minor"/>
    </font>
    <font>
      <b/>
      <i/>
      <sz val="9"/>
      <color rgb="FF999999"/>
      <name val="Calibri"/>
      <scheme val="minor"/>
    </font>
    <font>
      <b/>
      <sz val="10"/>
      <color rgb="FFBF8F00"/>
      <name val="Calibri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b/>
      <sz val="11"/>
      <color rgb="FF000000"/>
      <name val="Calibri"/>
      <family val="2"/>
    </font>
    <font>
      <sz val="11"/>
      <color rgb="FF242424"/>
      <name val="Aptos Narrow"/>
      <charset val="1"/>
    </font>
    <font>
      <sz val="11"/>
      <color rgb="FF000000"/>
      <name val="Calibri"/>
      <charset val="1"/>
    </font>
    <font>
      <b/>
      <sz val="14"/>
      <color rgb="FF1F4E78"/>
      <name val="Calibri"/>
      <scheme val="minor"/>
    </font>
    <font>
      <b/>
      <sz val="9"/>
      <color rgb="FF7F7F7F"/>
      <name val="Calibri"/>
      <scheme val="minor"/>
    </font>
    <font>
      <sz val="9"/>
      <color rgb="FF7F7F7F"/>
      <name val="Calibri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16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504</c:v>
                </c:pt>
                <c:pt idx="1">
                  <c:v>603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6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/>
  <sortState xmlns:xlrd2="http://schemas.microsoft.com/office/spreadsheetml/2017/richdata2" ref="B2:T684">
    <sortCondition ref="I1:I684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87" totalsRowShown="0">
  <autoFilter ref="A3:D8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685" activePane="bottomLeft" state="frozen"/>
      <selection pane="bottomLeft" activeCell="D688" sqref="D688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449" si="6">SUM(O386:Q386)</f>
        <v>49</v>
      </c>
      <c r="S386" s="22">
        <v>2</v>
      </c>
      <c r="T386" s="20" t="s">
        <v>1230</v>
      </c>
    </row>
    <row r="387" spans="1:20" ht="23.25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9" si="10">SUM(O586:Q586)</f>
        <v>30</v>
      </c>
      <c r="S586" s="22">
        <v>3</v>
      </c>
      <c r="T586" s="264" t="s">
        <v>1550</v>
      </c>
    </row>
    <row r="587" spans="1:20" ht="23.25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1984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1984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2012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/>
      <c r="N682" s="73"/>
      <c r="O682" s="73"/>
      <c r="P682" s="73"/>
      <c r="Q682" s="73"/>
      <c r="R682" s="73">
        <f t="shared" si="13"/>
        <v>0</v>
      </c>
      <c r="S682" s="70">
        <v>12</v>
      </c>
      <c r="T682" s="20" t="s">
        <v>2043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2114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/>
      <c r="I684" s="69"/>
      <c r="J684" s="69"/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2142</v>
      </c>
      <c r="F693" s="211" t="s">
        <v>22</v>
      </c>
      <c r="G693" s="208" t="s">
        <v>23</v>
      </c>
      <c r="H693" s="212" t="s">
        <v>2143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2144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2145</v>
      </c>
      <c r="E694" s="219" t="s">
        <v>2146</v>
      </c>
      <c r="F694" s="220" t="s">
        <v>51</v>
      </c>
      <c r="G694" s="217" t="s">
        <v>2036</v>
      </c>
      <c r="H694" s="221" t="s">
        <v>2147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2148</v>
      </c>
      <c r="E695" s="210" t="s">
        <v>2149</v>
      </c>
      <c r="F695" s="211" t="s">
        <v>66</v>
      </c>
      <c r="G695" s="260" t="s">
        <v>2073</v>
      </c>
      <c r="H695" s="212" t="s">
        <v>2150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2151</v>
      </c>
      <c r="E696" s="219" t="s">
        <v>2152</v>
      </c>
      <c r="F696" s="220" t="s">
        <v>66</v>
      </c>
      <c r="G696" s="269" t="s">
        <v>2073</v>
      </c>
      <c r="H696" s="221" t="s">
        <v>2153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2154</v>
      </c>
      <c r="E697" s="210" t="s">
        <v>2155</v>
      </c>
      <c r="F697" s="211" t="s">
        <v>66</v>
      </c>
      <c r="G697" s="260" t="s">
        <v>2073</v>
      </c>
      <c r="H697" s="212" t="s">
        <v>2156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2157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2158</v>
      </c>
      <c r="E698" s="219" t="s">
        <v>2159</v>
      </c>
      <c r="F698" s="220" t="s">
        <v>22</v>
      </c>
      <c r="G698" s="217" t="s">
        <v>23</v>
      </c>
      <c r="H698" s="221" t="s">
        <v>2147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2103</v>
      </c>
      <c r="D699" s="209" t="s">
        <v>2160</v>
      </c>
      <c r="E699" s="210" t="s">
        <v>2161</v>
      </c>
      <c r="F699" s="211" t="s">
        <v>22</v>
      </c>
      <c r="G699" s="208" t="s">
        <v>56</v>
      </c>
      <c r="H699" s="212" t="s">
        <v>2162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2163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2164</v>
      </c>
      <c r="E700" s="219" t="s">
        <v>2165</v>
      </c>
      <c r="F700" s="220" t="s">
        <v>51</v>
      </c>
      <c r="G700" s="217" t="s">
        <v>59</v>
      </c>
      <c r="H700" s="221" t="s">
        <v>2166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2167</v>
      </c>
      <c r="E701" s="210" t="s">
        <v>2168</v>
      </c>
      <c r="F701" s="211" t="s">
        <v>51</v>
      </c>
      <c r="G701" s="208" t="s">
        <v>59</v>
      </c>
      <c r="H701" s="212" t="s">
        <v>2169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2170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2171</v>
      </c>
      <c r="E702" s="219" t="s">
        <v>2172</v>
      </c>
      <c r="F702" s="220" t="s">
        <v>22</v>
      </c>
      <c r="G702" s="217" t="s">
        <v>23</v>
      </c>
      <c r="H702" s="221" t="s">
        <v>2173</v>
      </c>
      <c r="I702" s="222">
        <v>46189</v>
      </c>
      <c r="J702" s="222">
        <v>46191</v>
      </c>
      <c r="K702" s="218" t="s">
        <v>32</v>
      </c>
      <c r="L702" s="223">
        <v>9746.07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2174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2175</v>
      </c>
      <c r="E703" s="210" t="s">
        <v>2176</v>
      </c>
      <c r="F703" s="211" t="s">
        <v>51</v>
      </c>
      <c r="G703" s="208" t="s">
        <v>59</v>
      </c>
      <c r="H703" s="212" t="s">
        <v>2147</v>
      </c>
      <c r="I703" s="212" t="s">
        <v>2177</v>
      </c>
      <c r="J703" s="212" t="s">
        <v>2178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2179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2180</v>
      </c>
      <c r="E704" s="219" t="s">
        <v>2181</v>
      </c>
      <c r="F704" s="220" t="s">
        <v>51</v>
      </c>
      <c r="G704" s="217" t="s">
        <v>59</v>
      </c>
      <c r="H704" s="221" t="s">
        <v>2182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/>
      <c r="Q704" s="224">
        <v>0</v>
      </c>
      <c r="R704" s="224">
        <f t="shared" si="14"/>
        <v>2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10" t="s">
        <v>2183</v>
      </c>
      <c r="F705" s="211" t="s">
        <v>66</v>
      </c>
      <c r="G705" s="260" t="s">
        <v>2073</v>
      </c>
      <c r="H705" s="276" t="s">
        <v>2184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2185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2183</v>
      </c>
      <c r="F706" s="220" t="s">
        <v>66</v>
      </c>
      <c r="G706" s="269" t="s">
        <v>2073</v>
      </c>
      <c r="H706" s="277" t="s">
        <v>2186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2187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2183</v>
      </c>
      <c r="F707" s="211" t="s">
        <v>66</v>
      </c>
      <c r="G707" s="260" t="s">
        <v>2073</v>
      </c>
      <c r="H707" s="276" t="s">
        <v>2188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2187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2183</v>
      </c>
      <c r="F708" s="220" t="s">
        <v>66</v>
      </c>
      <c r="G708" s="269" t="s">
        <v>2073</v>
      </c>
      <c r="H708" s="277" t="s">
        <v>2189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2187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2190</v>
      </c>
      <c r="E709" s="210" t="s">
        <v>2191</v>
      </c>
      <c r="F709" s="211" t="s">
        <v>22</v>
      </c>
      <c r="G709" s="208" t="s">
        <v>2057</v>
      </c>
      <c r="H709" s="212" t="s">
        <v>2147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2192</v>
      </c>
      <c r="E710" s="210" t="s">
        <v>2193</v>
      </c>
      <c r="F710" s="220" t="s">
        <v>51</v>
      </c>
      <c r="G710" s="217" t="s">
        <v>59</v>
      </c>
      <c r="H710" s="221" t="s">
        <v>2162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2194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2183</v>
      </c>
      <c r="F711" s="211" t="s">
        <v>66</v>
      </c>
      <c r="G711" s="260" t="s">
        <v>2073</v>
      </c>
      <c r="H711" s="212" t="s">
        <v>2195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2187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2183</v>
      </c>
      <c r="F712" s="220" t="s">
        <v>66</v>
      </c>
      <c r="G712" s="269" t="s">
        <v>2073</v>
      </c>
      <c r="H712" s="221" t="s">
        <v>2196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2187</v>
      </c>
    </row>
    <row r="713" spans="1:21" ht="23.25" customHeight="1" x14ac:dyDescent="0.25">
      <c r="A713" s="208"/>
      <c r="B713" s="209"/>
      <c r="C713" s="218"/>
      <c r="D713" s="209"/>
      <c r="E713" s="244"/>
      <c r="F713" s="211"/>
      <c r="G713" s="208"/>
      <c r="H713" s="212"/>
      <c r="I713" s="213"/>
      <c r="J713" s="213"/>
      <c r="K713" s="209"/>
      <c r="L713" s="223"/>
      <c r="M713" s="214"/>
      <c r="N713" s="215"/>
      <c r="O713" s="216"/>
      <c r="P713" s="216"/>
      <c r="Q713" s="216"/>
      <c r="R713" s="216" t="str">
        <f t="shared" si="14"/>
        <v/>
      </c>
      <c r="S713" s="209"/>
      <c r="T713" s="208"/>
    </row>
    <row r="714" spans="1:21" ht="23.25" customHeight="1" x14ac:dyDescent="0.25">
      <c r="A714" s="217" t="str">
        <f>IF(B714="","",B714&amp;"-"&amp;TEXT(COUNTIF(B$2:B714,B714),"000"))</f>
        <v/>
      </c>
      <c r="B714" s="218"/>
      <c r="C714" s="218"/>
      <c r="D714" s="218"/>
      <c r="E714" s="219"/>
      <c r="F714" s="220"/>
      <c r="G714" s="217"/>
      <c r="H714" s="221"/>
      <c r="I714" s="222"/>
      <c r="J714" s="222"/>
      <c r="K714" s="218"/>
      <c r="L714" s="223"/>
      <c r="M714" s="214"/>
      <c r="N714" s="225"/>
      <c r="O714" s="224"/>
      <c r="P714" s="224"/>
      <c r="Q714" s="224"/>
      <c r="R714" s="224" t="str">
        <f t="shared" si="14"/>
        <v/>
      </c>
      <c r="S714" s="218"/>
      <c r="T714" s="217"/>
    </row>
    <row r="715" spans="1:21" ht="23.25" customHeight="1" x14ac:dyDescent="0.25">
      <c r="A715" s="208" t="str">
        <f>IF(B715="","",B715&amp;"-"&amp;TEXT(COUNTIF(B$2:B715,B715),"000"))</f>
        <v/>
      </c>
      <c r="B715" s="209"/>
      <c r="C715" s="218"/>
      <c r="D715" s="209"/>
      <c r="E715" s="210"/>
      <c r="F715" s="211"/>
      <c r="G715" s="208"/>
      <c r="H715" s="212"/>
      <c r="I715" s="213"/>
      <c r="J715" s="213"/>
      <c r="K715" s="209"/>
      <c r="L715" s="223"/>
      <c r="M715" s="214"/>
      <c r="N715" s="215"/>
      <c r="O715" s="216"/>
      <c r="P715" s="216"/>
      <c r="Q715" s="216"/>
      <c r="R715" s="216" t="str">
        <f t="shared" si="14"/>
        <v/>
      </c>
      <c r="S715" s="209"/>
      <c r="T715" s="208"/>
    </row>
    <row r="716" spans="1:21" ht="23.25" customHeight="1" x14ac:dyDescent="0.25">
      <c r="A716" s="217" t="str">
        <f>IF(B716="","",B716&amp;"-"&amp;TEXT(COUNTIF(B$2:B716,B716),"000"))</f>
        <v/>
      </c>
      <c r="B716" s="218"/>
      <c r="C716" s="218"/>
      <c r="D716" s="218"/>
      <c r="E716" s="219"/>
      <c r="F716" s="220"/>
      <c r="G716" s="217"/>
      <c r="H716" s="221"/>
      <c r="I716" s="222"/>
      <c r="J716" s="222"/>
      <c r="K716" s="218"/>
      <c r="L716" s="223"/>
      <c r="M716" s="214"/>
      <c r="N716" s="225"/>
      <c r="O716" s="224"/>
      <c r="P716" s="224"/>
      <c r="Q716" s="224"/>
      <c r="R716" s="224" t="str">
        <f t="shared" si="14"/>
        <v/>
      </c>
      <c r="S716" s="218"/>
      <c r="T716" s="217"/>
    </row>
    <row r="717" spans="1:21" ht="23.25" customHeight="1" x14ac:dyDescent="0.25">
      <c r="A717" s="208" t="str">
        <f>IF(B717="","",B717&amp;"-"&amp;TEXT(COUNTIF(B$2:B717,B717),"000"))</f>
        <v/>
      </c>
      <c r="B717" s="209"/>
      <c r="C717" s="218"/>
      <c r="D717" s="209"/>
      <c r="E717" s="210"/>
      <c r="F717" s="211"/>
      <c r="G717" s="208"/>
      <c r="H717" s="212"/>
      <c r="I717" s="213"/>
      <c r="J717" s="213"/>
      <c r="K717" s="209"/>
      <c r="L717" s="223"/>
      <c r="M717" s="214"/>
      <c r="N717" s="215"/>
      <c r="O717" s="216"/>
      <c r="P717" s="216"/>
      <c r="Q717" s="216"/>
      <c r="R717" s="216" t="str">
        <f t="shared" si="14"/>
        <v/>
      </c>
      <c r="S717" s="209"/>
      <c r="T717" s="208"/>
    </row>
    <row r="718" spans="1:21" ht="23.25" customHeight="1" x14ac:dyDescent="0.25">
      <c r="A718" s="217" t="str">
        <f>IF(B718="","",B718&amp;"-"&amp;TEXT(COUNTIF(B$2:B718,B718),"000"))</f>
        <v/>
      </c>
      <c r="B718" s="218"/>
      <c r="C718" s="218"/>
      <c r="D718" s="218"/>
      <c r="E718" s="219"/>
      <c r="F718" s="220"/>
      <c r="G718" s="217"/>
      <c r="H718" s="221"/>
      <c r="I718" s="222"/>
      <c r="J718" s="222"/>
      <c r="K718" s="218"/>
      <c r="L718" s="223"/>
      <c r="M718" s="214"/>
      <c r="N718" s="225"/>
      <c r="O718" s="224"/>
      <c r="P718" s="224"/>
      <c r="Q718" s="224"/>
      <c r="R718" s="224" t="str">
        <f t="shared" si="14"/>
        <v/>
      </c>
      <c r="S718" s="218"/>
      <c r="T718" s="217"/>
    </row>
    <row r="719" spans="1:21" ht="23.25" customHeight="1" x14ac:dyDescent="0.25">
      <c r="A719" s="208" t="str">
        <f>IF(B719="","",B719&amp;"-"&amp;TEXT(COUNTIF(B$2:B719,B719),"000"))</f>
        <v/>
      </c>
      <c r="B719" s="209"/>
      <c r="C719" s="218"/>
      <c r="D719" s="209"/>
      <c r="E719" s="210"/>
      <c r="F719" s="211"/>
      <c r="G719" s="208"/>
      <c r="H719" s="212"/>
      <c r="I719" s="213"/>
      <c r="J719" s="213"/>
      <c r="K719" s="209"/>
      <c r="L719" s="223"/>
      <c r="M719" s="214"/>
      <c r="N719" s="215"/>
      <c r="O719" s="216"/>
      <c r="P719" s="216"/>
      <c r="Q719" s="216"/>
      <c r="R719" s="216" t="str">
        <f t="shared" si="14"/>
        <v/>
      </c>
      <c r="S719" s="209"/>
      <c r="T719" s="208"/>
    </row>
    <row r="720" spans="1:21" ht="23.25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87"/>
  <sheetViews>
    <sheetView topLeftCell="A6" workbookViewId="0">
      <selection activeCell="M19" sqref="M1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2197</v>
      </c>
      <c r="F1" s="280" t="s">
        <v>2198</v>
      </c>
    </row>
    <row r="2" spans="1:6" x14ac:dyDescent="0.25">
      <c r="F2" s="281" t="s">
        <v>2199</v>
      </c>
    </row>
    <row r="3" spans="1:6" x14ac:dyDescent="0.25">
      <c r="A3" t="s">
        <v>0</v>
      </c>
      <c r="B3" t="s">
        <v>19</v>
      </c>
      <c r="C3" t="s">
        <v>2200</v>
      </c>
      <c r="D3" t="s">
        <v>2201</v>
      </c>
      <c r="F3" s="281" t="s">
        <v>2202</v>
      </c>
    </row>
    <row r="4" spans="1:6" x14ac:dyDescent="0.25">
      <c r="A4">
        <v>1</v>
      </c>
      <c r="B4" t="s">
        <v>2203</v>
      </c>
      <c r="D4" t="s">
        <v>2204</v>
      </c>
      <c r="F4" s="281" t="s">
        <v>2205</v>
      </c>
    </row>
    <row r="5" spans="1:6" x14ac:dyDescent="0.25">
      <c r="A5">
        <v>2</v>
      </c>
      <c r="B5" t="s">
        <v>1890</v>
      </c>
      <c r="D5" t="s">
        <v>2204</v>
      </c>
      <c r="F5" s="281" t="s">
        <v>2206</v>
      </c>
    </row>
    <row r="6" spans="1:6" x14ac:dyDescent="0.25">
      <c r="A6">
        <v>3</v>
      </c>
      <c r="B6" t="s">
        <v>784</v>
      </c>
      <c r="D6" t="s">
        <v>2204</v>
      </c>
    </row>
    <row r="7" spans="1:6" x14ac:dyDescent="0.25">
      <c r="A7">
        <v>4</v>
      </c>
      <c r="B7" t="s">
        <v>2207</v>
      </c>
      <c r="D7" t="s">
        <v>2204</v>
      </c>
      <c r="F7" s="281" t="s">
        <v>2208</v>
      </c>
    </row>
    <row r="8" spans="1:6" x14ac:dyDescent="0.25">
      <c r="A8">
        <v>5</v>
      </c>
      <c r="B8" t="s">
        <v>2209</v>
      </c>
      <c r="D8" t="s">
        <v>2204</v>
      </c>
    </row>
    <row r="9" spans="1:6" x14ac:dyDescent="0.25">
      <c r="A9">
        <v>6</v>
      </c>
      <c r="B9" t="s">
        <v>1746</v>
      </c>
      <c r="D9" t="s">
        <v>2204</v>
      </c>
    </row>
    <row r="10" spans="1:6" x14ac:dyDescent="0.25">
      <c r="A10">
        <v>7</v>
      </c>
      <c r="B10" t="s">
        <v>1820</v>
      </c>
      <c r="D10" t="s">
        <v>2204</v>
      </c>
    </row>
    <row r="11" spans="1:6" x14ac:dyDescent="0.25">
      <c r="A11">
        <v>8</v>
      </c>
      <c r="B11" t="s">
        <v>1868</v>
      </c>
      <c r="D11" t="s">
        <v>2204</v>
      </c>
    </row>
    <row r="12" spans="1:6" x14ac:dyDescent="0.25">
      <c r="A12">
        <v>10</v>
      </c>
      <c r="B12" t="s">
        <v>2059</v>
      </c>
      <c r="D12" t="s">
        <v>2204</v>
      </c>
    </row>
    <row r="13" spans="1:6" x14ac:dyDescent="0.25">
      <c r="A13">
        <v>11</v>
      </c>
      <c r="B13" t="s">
        <v>1719</v>
      </c>
      <c r="D13" t="s">
        <v>2204</v>
      </c>
    </row>
    <row r="14" spans="1:6" x14ac:dyDescent="0.25">
      <c r="A14">
        <v>12</v>
      </c>
      <c r="B14" t="s">
        <v>1791</v>
      </c>
      <c r="D14" t="s">
        <v>2204</v>
      </c>
    </row>
    <row r="15" spans="1:6" x14ac:dyDescent="0.25">
      <c r="A15">
        <v>13</v>
      </c>
      <c r="B15" t="s">
        <v>2033</v>
      </c>
      <c r="D15" t="s">
        <v>2204</v>
      </c>
    </row>
    <row r="16" spans="1:6" x14ac:dyDescent="0.25">
      <c r="A16">
        <v>14</v>
      </c>
      <c r="B16" t="s">
        <v>1441</v>
      </c>
      <c r="D16" t="s">
        <v>2204</v>
      </c>
    </row>
    <row r="17" spans="1:4" x14ac:dyDescent="0.25">
      <c r="A17">
        <v>15</v>
      </c>
      <c r="B17" t="s">
        <v>441</v>
      </c>
      <c r="D17" t="s">
        <v>2204</v>
      </c>
    </row>
    <row r="18" spans="1:4" x14ac:dyDescent="0.25">
      <c r="A18">
        <v>16</v>
      </c>
      <c r="B18" t="s">
        <v>1478</v>
      </c>
      <c r="D18" t="s">
        <v>2204</v>
      </c>
    </row>
    <row r="19" spans="1:4" x14ac:dyDescent="0.25">
      <c r="A19">
        <v>17</v>
      </c>
      <c r="B19" t="s">
        <v>1359</v>
      </c>
      <c r="D19" t="s">
        <v>2204</v>
      </c>
    </row>
    <row r="20" spans="1:4" x14ac:dyDescent="0.25">
      <c r="A20">
        <v>18</v>
      </c>
      <c r="B20" t="s">
        <v>1601</v>
      </c>
      <c r="D20" t="s">
        <v>2204</v>
      </c>
    </row>
    <row r="21" spans="1:4" x14ac:dyDescent="0.25">
      <c r="A21">
        <v>19</v>
      </c>
      <c r="B21" t="s">
        <v>1028</v>
      </c>
      <c r="D21" t="s">
        <v>2204</v>
      </c>
    </row>
    <row r="22" spans="1:4" x14ac:dyDescent="0.25">
      <c r="A22">
        <v>20</v>
      </c>
      <c r="B22" t="s">
        <v>1705</v>
      </c>
      <c r="D22" t="s">
        <v>2204</v>
      </c>
    </row>
    <row r="23" spans="1:4" x14ac:dyDescent="0.25">
      <c r="A23">
        <v>21</v>
      </c>
      <c r="B23" t="s">
        <v>2210</v>
      </c>
      <c r="D23" t="s">
        <v>2204</v>
      </c>
    </row>
    <row r="24" spans="1:4" x14ac:dyDescent="0.25">
      <c r="A24">
        <v>22</v>
      </c>
      <c r="B24" t="s">
        <v>451</v>
      </c>
      <c r="D24" t="s">
        <v>2204</v>
      </c>
    </row>
    <row r="25" spans="1:4" x14ac:dyDescent="0.25">
      <c r="A25">
        <v>23</v>
      </c>
      <c r="B25" t="s">
        <v>2211</v>
      </c>
      <c r="D25" t="s">
        <v>2204</v>
      </c>
    </row>
    <row r="26" spans="1:4" x14ac:dyDescent="0.25">
      <c r="A26">
        <v>24</v>
      </c>
      <c r="B26" t="s">
        <v>2212</v>
      </c>
      <c r="D26" t="s">
        <v>2204</v>
      </c>
    </row>
    <row r="27" spans="1:4" x14ac:dyDescent="0.25">
      <c r="A27">
        <v>25</v>
      </c>
      <c r="B27" t="s">
        <v>365</v>
      </c>
      <c r="D27" t="s">
        <v>2204</v>
      </c>
    </row>
    <row r="28" spans="1:4" x14ac:dyDescent="0.25">
      <c r="A28">
        <v>26</v>
      </c>
      <c r="B28" t="s">
        <v>57</v>
      </c>
      <c r="D28" t="s">
        <v>2204</v>
      </c>
    </row>
    <row r="29" spans="1:4" x14ac:dyDescent="0.25">
      <c r="A29">
        <v>27</v>
      </c>
      <c r="B29" t="s">
        <v>2213</v>
      </c>
      <c r="D29" t="s">
        <v>2204</v>
      </c>
    </row>
    <row r="30" spans="1:4" x14ac:dyDescent="0.25">
      <c r="A30">
        <v>28</v>
      </c>
      <c r="B30" t="s">
        <v>1591</v>
      </c>
      <c r="D30" t="s">
        <v>2204</v>
      </c>
    </row>
    <row r="31" spans="1:4" x14ac:dyDescent="0.25">
      <c r="A31">
        <v>29</v>
      </c>
      <c r="B31" t="s">
        <v>1701</v>
      </c>
      <c r="D31" t="s">
        <v>2204</v>
      </c>
    </row>
    <row r="32" spans="1:4" x14ac:dyDescent="0.25">
      <c r="A32">
        <v>30</v>
      </c>
      <c r="B32" t="s">
        <v>1894</v>
      </c>
      <c r="D32" t="s">
        <v>2204</v>
      </c>
    </row>
    <row r="33" spans="1:4" x14ac:dyDescent="0.25">
      <c r="A33">
        <v>31</v>
      </c>
      <c r="B33" t="s">
        <v>2214</v>
      </c>
      <c r="D33" t="s">
        <v>2204</v>
      </c>
    </row>
    <row r="34" spans="1:4" x14ac:dyDescent="0.25">
      <c r="A34">
        <v>32</v>
      </c>
      <c r="B34" t="s">
        <v>2215</v>
      </c>
      <c r="D34" t="s">
        <v>2204</v>
      </c>
    </row>
    <row r="35" spans="1:4" x14ac:dyDescent="0.25">
      <c r="A35">
        <v>33</v>
      </c>
      <c r="B35" t="s">
        <v>1046</v>
      </c>
      <c r="D35" t="s">
        <v>2204</v>
      </c>
    </row>
    <row r="36" spans="1:4" x14ac:dyDescent="0.25">
      <c r="A36">
        <v>34</v>
      </c>
      <c r="B36" t="s">
        <v>1125</v>
      </c>
      <c r="D36" t="s">
        <v>2204</v>
      </c>
    </row>
    <row r="37" spans="1:4" x14ac:dyDescent="0.25">
      <c r="A37">
        <v>35</v>
      </c>
      <c r="B37" t="s">
        <v>425</v>
      </c>
      <c r="D37" t="s">
        <v>2204</v>
      </c>
    </row>
    <row r="38" spans="1:4" x14ac:dyDescent="0.25">
      <c r="A38">
        <v>36</v>
      </c>
      <c r="B38" t="s">
        <v>2216</v>
      </c>
      <c r="D38" t="s">
        <v>2204</v>
      </c>
    </row>
    <row r="39" spans="1:4" x14ac:dyDescent="0.25">
      <c r="A39">
        <v>37</v>
      </c>
      <c r="B39" t="s">
        <v>1625</v>
      </c>
      <c r="D39" t="s">
        <v>2204</v>
      </c>
    </row>
    <row r="40" spans="1:4" x14ac:dyDescent="0.25">
      <c r="A40">
        <v>38</v>
      </c>
      <c r="B40" t="s">
        <v>2217</v>
      </c>
      <c r="D40" t="s">
        <v>2204</v>
      </c>
    </row>
    <row r="41" spans="1:4" x14ac:dyDescent="0.25">
      <c r="A41">
        <v>39</v>
      </c>
      <c r="B41" t="s">
        <v>1944</v>
      </c>
      <c r="D41" t="s">
        <v>2204</v>
      </c>
    </row>
    <row r="42" spans="1:4" x14ac:dyDescent="0.25">
      <c r="A42">
        <v>40</v>
      </c>
      <c r="B42" t="s">
        <v>2218</v>
      </c>
      <c r="D42" t="s">
        <v>2204</v>
      </c>
    </row>
    <row r="43" spans="1:4" x14ac:dyDescent="0.25">
      <c r="A43">
        <v>41</v>
      </c>
      <c r="B43" t="s">
        <v>656</v>
      </c>
      <c r="D43" t="s">
        <v>2204</v>
      </c>
    </row>
    <row r="44" spans="1:4" x14ac:dyDescent="0.25">
      <c r="A44">
        <v>42</v>
      </c>
      <c r="B44" t="s">
        <v>546</v>
      </c>
      <c r="D44" t="s">
        <v>2204</v>
      </c>
    </row>
    <row r="45" spans="1:4" x14ac:dyDescent="0.25">
      <c r="A45">
        <v>43</v>
      </c>
      <c r="B45" t="s">
        <v>2219</v>
      </c>
      <c r="D45" t="s">
        <v>2204</v>
      </c>
    </row>
    <row r="46" spans="1:4" x14ac:dyDescent="0.25">
      <c r="A46">
        <v>44</v>
      </c>
      <c r="B46" t="s">
        <v>1630</v>
      </c>
      <c r="D46" t="s">
        <v>2204</v>
      </c>
    </row>
    <row r="47" spans="1:4" x14ac:dyDescent="0.25">
      <c r="A47">
        <v>45</v>
      </c>
      <c r="B47" t="s">
        <v>167</v>
      </c>
      <c r="D47" t="s">
        <v>2204</v>
      </c>
    </row>
    <row r="48" spans="1:4" x14ac:dyDescent="0.25">
      <c r="A48">
        <v>46</v>
      </c>
      <c r="B48" t="s">
        <v>741</v>
      </c>
      <c r="D48" t="s">
        <v>2204</v>
      </c>
    </row>
    <row r="49" spans="1:4" x14ac:dyDescent="0.25">
      <c r="A49">
        <v>47</v>
      </c>
      <c r="B49" t="s">
        <v>1070</v>
      </c>
      <c r="D49" t="s">
        <v>2204</v>
      </c>
    </row>
    <row r="50" spans="1:4" x14ac:dyDescent="0.25">
      <c r="A50">
        <v>48</v>
      </c>
      <c r="B50" t="s">
        <v>2220</v>
      </c>
      <c r="D50" t="s">
        <v>2204</v>
      </c>
    </row>
    <row r="51" spans="1:4" x14ac:dyDescent="0.25">
      <c r="A51">
        <v>49</v>
      </c>
      <c r="B51" t="s">
        <v>2117</v>
      </c>
      <c r="D51" t="s">
        <v>2204</v>
      </c>
    </row>
    <row r="52" spans="1:4" x14ac:dyDescent="0.25">
      <c r="A52">
        <v>50</v>
      </c>
      <c r="B52" t="s">
        <v>2221</v>
      </c>
      <c r="D52" t="s">
        <v>2204</v>
      </c>
    </row>
    <row r="53" spans="1:4" x14ac:dyDescent="0.25">
      <c r="A53">
        <v>51</v>
      </c>
      <c r="B53" t="s">
        <v>808</v>
      </c>
      <c r="D53" t="s">
        <v>2204</v>
      </c>
    </row>
    <row r="54" spans="1:4" x14ac:dyDescent="0.25">
      <c r="A54">
        <v>52</v>
      </c>
      <c r="B54" t="s">
        <v>1334</v>
      </c>
      <c r="D54" t="s">
        <v>2204</v>
      </c>
    </row>
    <row r="55" spans="1:4" x14ac:dyDescent="0.25">
      <c r="A55">
        <v>53</v>
      </c>
      <c r="B55" t="s">
        <v>2222</v>
      </c>
      <c r="D55" t="s">
        <v>2204</v>
      </c>
    </row>
    <row r="56" spans="1:4" x14ac:dyDescent="0.25">
      <c r="A56">
        <v>54</v>
      </c>
      <c r="B56" t="s">
        <v>61</v>
      </c>
      <c r="D56" t="s">
        <v>2204</v>
      </c>
    </row>
    <row r="57" spans="1:4" x14ac:dyDescent="0.25">
      <c r="A57">
        <v>55</v>
      </c>
      <c r="B57" t="s">
        <v>840</v>
      </c>
      <c r="D57" t="s">
        <v>2204</v>
      </c>
    </row>
    <row r="58" spans="1:4" x14ac:dyDescent="0.25">
      <c r="A58">
        <v>56</v>
      </c>
      <c r="B58" t="s">
        <v>1550</v>
      </c>
      <c r="D58" t="s">
        <v>2204</v>
      </c>
    </row>
    <row r="59" spans="1:4" x14ac:dyDescent="0.25">
      <c r="A59">
        <v>57</v>
      </c>
      <c r="B59" t="s">
        <v>2223</v>
      </c>
      <c r="D59" t="s">
        <v>2204</v>
      </c>
    </row>
    <row r="60" spans="1:4" x14ac:dyDescent="0.25">
      <c r="A60">
        <v>58</v>
      </c>
      <c r="B60" t="s">
        <v>1420</v>
      </c>
      <c r="D60" t="s">
        <v>2204</v>
      </c>
    </row>
    <row r="61" spans="1:4" x14ac:dyDescent="0.25">
      <c r="A61">
        <v>59</v>
      </c>
      <c r="B61" t="s">
        <v>1576</v>
      </c>
      <c r="D61" t="s">
        <v>2204</v>
      </c>
    </row>
    <row r="62" spans="1:4" x14ac:dyDescent="0.25">
      <c r="A62">
        <v>60</v>
      </c>
      <c r="B62" t="s">
        <v>1524</v>
      </c>
      <c r="D62" t="s">
        <v>2204</v>
      </c>
    </row>
    <row r="63" spans="1:4" x14ac:dyDescent="0.25">
      <c r="A63">
        <v>61</v>
      </c>
      <c r="B63" t="s">
        <v>2224</v>
      </c>
      <c r="D63" t="s">
        <v>2204</v>
      </c>
    </row>
    <row r="64" spans="1:4" x14ac:dyDescent="0.25">
      <c r="A64">
        <v>62</v>
      </c>
      <c r="B64" t="s">
        <v>2225</v>
      </c>
      <c r="D64" t="s">
        <v>2204</v>
      </c>
    </row>
    <row r="65" spans="1:4" x14ac:dyDescent="0.25">
      <c r="A65">
        <v>63</v>
      </c>
      <c r="B65" t="s">
        <v>2226</v>
      </c>
      <c r="D65" t="s">
        <v>2204</v>
      </c>
    </row>
    <row r="66" spans="1:4" x14ac:dyDescent="0.25">
      <c r="A66">
        <v>64</v>
      </c>
      <c r="B66" t="s">
        <v>2227</v>
      </c>
      <c r="D66" t="s">
        <v>2204</v>
      </c>
    </row>
    <row r="67" spans="1:4" x14ac:dyDescent="0.25">
      <c r="A67">
        <v>65</v>
      </c>
      <c r="B67" t="s">
        <v>2043</v>
      </c>
      <c r="D67" t="s">
        <v>2204</v>
      </c>
    </row>
    <row r="68" spans="1:4" x14ac:dyDescent="0.25">
      <c r="A68">
        <v>66</v>
      </c>
      <c r="B68" t="s">
        <v>1927</v>
      </c>
      <c r="D68" t="s">
        <v>2204</v>
      </c>
    </row>
    <row r="69" spans="1:4" x14ac:dyDescent="0.25">
      <c r="A69">
        <v>67</v>
      </c>
      <c r="B69" t="s">
        <v>2228</v>
      </c>
      <c r="D69" t="s">
        <v>2204</v>
      </c>
    </row>
    <row r="70" spans="1:4" x14ac:dyDescent="0.25">
      <c r="A70">
        <v>68</v>
      </c>
      <c r="B70" t="s">
        <v>2229</v>
      </c>
      <c r="D70" t="s">
        <v>2204</v>
      </c>
    </row>
    <row r="71" spans="1:4" x14ac:dyDescent="0.25">
      <c r="A71">
        <v>69</v>
      </c>
      <c r="B71" t="s">
        <v>1852</v>
      </c>
      <c r="D71" t="s">
        <v>2204</v>
      </c>
    </row>
    <row r="72" spans="1:4" x14ac:dyDescent="0.25">
      <c r="A72">
        <v>70</v>
      </c>
      <c r="B72" t="s">
        <v>2230</v>
      </c>
      <c r="D72" t="s">
        <v>2204</v>
      </c>
    </row>
    <row r="73" spans="1:4" x14ac:dyDescent="0.25">
      <c r="A73">
        <v>71</v>
      </c>
      <c r="B73" t="s">
        <v>2009</v>
      </c>
      <c r="D73" t="s">
        <v>2204</v>
      </c>
    </row>
    <row r="74" spans="1:4" x14ac:dyDescent="0.25">
      <c r="A74">
        <v>72</v>
      </c>
      <c r="B74" t="s">
        <v>1750</v>
      </c>
      <c r="D74" t="s">
        <v>2204</v>
      </c>
    </row>
    <row r="75" spans="1:4" x14ac:dyDescent="0.25">
      <c r="A75">
        <v>73</v>
      </c>
      <c r="B75" t="s">
        <v>1734</v>
      </c>
      <c r="D75" t="s">
        <v>2204</v>
      </c>
    </row>
    <row r="76" spans="1:4" x14ac:dyDescent="0.25">
      <c r="A76">
        <v>74</v>
      </c>
      <c r="B76" t="s">
        <v>2231</v>
      </c>
      <c r="D76" t="s">
        <v>2204</v>
      </c>
    </row>
    <row r="77" spans="1:4" x14ac:dyDescent="0.25">
      <c r="A77">
        <v>75</v>
      </c>
      <c r="B77" t="s">
        <v>88</v>
      </c>
      <c r="D77" t="s">
        <v>2204</v>
      </c>
    </row>
    <row r="78" spans="1:4" x14ac:dyDescent="0.25">
      <c r="A78">
        <v>76</v>
      </c>
      <c r="B78" t="s">
        <v>717</v>
      </c>
      <c r="D78" t="s">
        <v>2204</v>
      </c>
    </row>
    <row r="79" spans="1:4" x14ac:dyDescent="0.25">
      <c r="A79">
        <v>77</v>
      </c>
      <c r="B79" t="s">
        <v>611</v>
      </c>
      <c r="D79" t="s">
        <v>2204</v>
      </c>
    </row>
    <row r="80" spans="1:4" x14ac:dyDescent="0.25">
      <c r="A80">
        <v>78</v>
      </c>
      <c r="B80" t="s">
        <v>324</v>
      </c>
      <c r="D80" t="s">
        <v>2204</v>
      </c>
    </row>
    <row r="81" spans="1:4" x14ac:dyDescent="0.25">
      <c r="A81">
        <v>79</v>
      </c>
      <c r="B81" t="s">
        <v>2232</v>
      </c>
      <c r="D81" t="s">
        <v>2204</v>
      </c>
    </row>
    <row r="82" spans="1:4" x14ac:dyDescent="0.25">
      <c r="A82">
        <v>80</v>
      </c>
      <c r="B82" t="s">
        <v>2233</v>
      </c>
      <c r="D82" t="s">
        <v>2204</v>
      </c>
    </row>
    <row r="83" spans="1:4" x14ac:dyDescent="0.25">
      <c r="A83">
        <v>81</v>
      </c>
      <c r="B83" t="s">
        <v>2234</v>
      </c>
      <c r="D83" t="s">
        <v>2204</v>
      </c>
    </row>
    <row r="84" spans="1:4" x14ac:dyDescent="0.25">
      <c r="A84">
        <v>82</v>
      </c>
      <c r="B84" t="s">
        <v>2235</v>
      </c>
      <c r="D84" t="s">
        <v>2204</v>
      </c>
    </row>
    <row r="85" spans="1:4" x14ac:dyDescent="0.25">
      <c r="A85">
        <v>83</v>
      </c>
      <c r="B85" t="s">
        <v>1871</v>
      </c>
      <c r="D85" t="s">
        <v>2204</v>
      </c>
    </row>
    <row r="86" spans="1:4" x14ac:dyDescent="0.25">
      <c r="A86">
        <v>84</v>
      </c>
      <c r="B86" t="s">
        <v>2236</v>
      </c>
      <c r="D86" t="s">
        <v>2204</v>
      </c>
    </row>
    <row r="87" spans="1:4" x14ac:dyDescent="0.25">
      <c r="A87">
        <v>85</v>
      </c>
      <c r="B87" t="s">
        <v>1940</v>
      </c>
      <c r="D87" t="s">
        <v>2204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5" activePane="bottomLeft" state="frozen"/>
      <selection pane="bottomLeft" activeCell="U83" sqref="U83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2237</v>
      </c>
      <c r="C1" s="96" t="s">
        <v>2238</v>
      </c>
      <c r="D1" s="96" t="s">
        <v>4</v>
      </c>
      <c r="E1" s="96" t="s">
        <v>2239</v>
      </c>
      <c r="F1" s="96" t="s">
        <v>19</v>
      </c>
      <c r="G1" s="96" t="s">
        <v>2240</v>
      </c>
      <c r="H1" s="96" t="s">
        <v>2241</v>
      </c>
      <c r="I1" s="96" t="s">
        <v>2242</v>
      </c>
      <c r="J1" s="96" t="s">
        <v>2243</v>
      </c>
      <c r="L1" s="129" t="s">
        <v>2244</v>
      </c>
      <c r="M1" s="100">
        <v>2026</v>
      </c>
      <c r="U1" s="162" t="s">
        <v>2245</v>
      </c>
      <c r="V1" s="161"/>
      <c r="X1" s="159" t="s">
        <v>2246</v>
      </c>
      <c r="Y1" s="107"/>
      <c r="Z1" s="107"/>
      <c r="AA1" s="107"/>
      <c r="AC1" s="253" t="s">
        <v>2247</v>
      </c>
    </row>
    <row r="2" spans="1:31" x14ac:dyDescent="0.25">
      <c r="A2" s="98" cm="1">
        <f t="array" ref="A2:J11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2248</v>
      </c>
      <c r="M2" s="283" t="s">
        <v>2249</v>
      </c>
      <c r="X2" s="160" t="s">
        <v>2237</v>
      </c>
      <c r="Y2" s="160" t="s">
        <v>19</v>
      </c>
      <c r="Z2" s="160" t="s">
        <v>2250</v>
      </c>
      <c r="AA2" s="160" t="s">
        <v>2251</v>
      </c>
      <c r="AC2" s="254" t="s">
        <v>1</v>
      </c>
      <c r="AD2" s="254" t="s">
        <v>2252</v>
      </c>
      <c r="AE2" s="254" t="s">
        <v>2253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2254</v>
      </c>
      <c r="M3" s="19" t="s">
        <v>2255</v>
      </c>
      <c r="N3" s="19" t="s">
        <v>2256</v>
      </c>
      <c r="O3" s="19" t="s">
        <v>2257</v>
      </c>
      <c r="P3" s="19" t="s">
        <v>2258</v>
      </c>
      <c r="Q3" s="19" t="s">
        <v>2259</v>
      </c>
      <c r="R3" s="19" t="s">
        <v>2260</v>
      </c>
      <c r="S3" s="19" t="s">
        <v>2261</v>
      </c>
      <c r="T3" s="19" t="s">
        <v>2262</v>
      </c>
      <c r="X3" t="s">
        <v>2263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47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48">_xlfn.VSTACK(0,_xlfn._xlws.FILTER(S4:S200,S4:S200&lt;&gt;""))</f>
        <v>0</v>
      </c>
      <c r="X4" t="s">
        <v>2264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2265</v>
      </c>
      <c r="Y5" t="s">
        <v>2059</v>
      </c>
      <c r="Z5">
        <v>1</v>
      </c>
      <c r="AA5">
        <v>0.6</v>
      </c>
      <c r="AC5" s="248">
        <v>2026</v>
      </c>
      <c r="AD5" s="95" t="s">
        <v>2266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2265</v>
      </c>
      <c r="Y6" t="s">
        <v>2217</v>
      </c>
      <c r="Z6">
        <v>1</v>
      </c>
      <c r="AA6">
        <v>0</v>
      </c>
      <c r="AC6" s="248">
        <v>2026</v>
      </c>
      <c r="AD6" s="95" t="s">
        <v>2267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2268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2269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2269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2269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2269</v>
      </c>
      <c r="Y11" s="95" t="s">
        <v>2211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2269</v>
      </c>
      <c r="Y12" s="95" t="s">
        <v>2270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2271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2271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2271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2271</v>
      </c>
      <c r="Y16" s="95" t="s">
        <v>2211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2271</v>
      </c>
      <c r="Y17" s="95" t="s">
        <v>2270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2272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2272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2272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2272</v>
      </c>
      <c r="Y21" s="95" t="s">
        <v>2211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2272</v>
      </c>
      <c r="Y22" s="95" t="s">
        <v>2270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Em andamento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2273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2273</v>
      </c>
      <c r="Y24" s="95" t="s">
        <v>2217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2274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2274</v>
      </c>
      <c r="Y26" s="95" t="s">
        <v>2222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2275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2275</v>
      </c>
      <c r="Y28" s="95" t="s">
        <v>2217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2276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Formação Inicial para Novos Auditores do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2276</v>
      </c>
      <c r="Y30" s="95" t="s">
        <v>2217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2277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2278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2278</v>
      </c>
      <c r="Y33" t="s">
        <v>2230</v>
      </c>
      <c r="Z33">
        <v>4</v>
      </c>
      <c r="AA33">
        <v>0.6</v>
      </c>
      <c r="AC33" s="250"/>
      <c r="AD33" s="251" t="s">
        <v>2279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2278</v>
      </c>
      <c r="Y34" t="s">
        <v>2231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2278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2278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2280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2280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2281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2282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2283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Em andamento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2283</v>
      </c>
      <c r="Y42" t="s">
        <v>2194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2284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2284</v>
      </c>
      <c r="Y44" s="95" t="s">
        <v>2217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2285</v>
      </c>
      <c r="Y45" t="s">
        <v>2286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2285</v>
      </c>
      <c r="Y46" t="s">
        <v>2287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2285</v>
      </c>
      <c r="Y47" t="s">
        <v>2288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R48" t="str">
        <v/>
      </c>
      <c r="S48" t="str">
        <v/>
      </c>
      <c r="T48">
        <v>112</v>
      </c>
      <c r="X48" t="s">
        <v>2285</v>
      </c>
      <c r="Y48" t="s">
        <v>2289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R49" t="str">
        <v/>
      </c>
      <c r="S49" t="str">
        <v/>
      </c>
      <c r="X49" t="s">
        <v>2285</v>
      </c>
      <c r="Y49" t="s">
        <v>2290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R50" t="str">
        <v/>
      </c>
      <c r="S50" t="str">
        <v/>
      </c>
      <c r="X50" t="s">
        <v>2285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R51" t="str">
        <v/>
      </c>
      <c r="S51" t="str">
        <v/>
      </c>
      <c r="X51" t="s">
        <v>2285</v>
      </c>
      <c r="Y51" t="s">
        <v>2291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R52" t="str">
        <v/>
      </c>
      <c r="S52" t="str">
        <v/>
      </c>
      <c r="X52" t="s">
        <v>2285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Formação Inicial para Novos Auditores do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R53" t="str">
        <v/>
      </c>
      <c r="S53" t="str">
        <v/>
      </c>
      <c r="X53" t="s">
        <v>2285</v>
      </c>
      <c r="Y53" t="s">
        <v>2292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Formação Inicial para Novos Auditores do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R54" t="str">
        <v/>
      </c>
      <c r="S54" t="str">
        <v/>
      </c>
      <c r="X54" t="s">
        <v>2285</v>
      </c>
      <c r="Y54" t="s">
        <v>2293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Formação Inicial para Novos Auditores do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Formação Inicial para Novos Auditores do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Formação Inicial para Novos Auditores do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R114" t="str">
        <v/>
      </c>
      <c r="S114" t="str">
        <v/>
      </c>
    </row>
    <row r="115" spans="1:19" x14ac:dyDescent="0.25">
      <c r="R115" t="str">
        <v/>
      </c>
      <c r="S115" t="str">
        <v/>
      </c>
    </row>
    <row r="116" spans="1:19" x14ac:dyDescent="0.25"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8" t="s">
        <v>2294</v>
      </c>
      <c r="B1" s="288"/>
      <c r="C1" s="288"/>
      <c r="D1" s="288"/>
      <c r="E1" s="288"/>
      <c r="F1" s="288"/>
      <c r="G1" s="288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9" t="s">
        <v>2295</v>
      </c>
      <c r="B4" s="290"/>
      <c r="D4" s="291" t="s">
        <v>2296</v>
      </c>
      <c r="E4" s="292"/>
      <c r="G4" s="125" t="s">
        <v>2297</v>
      </c>
    </row>
    <row r="5" spans="1:7" ht="54.95" customHeight="1" thickBot="1" x14ac:dyDescent="0.75">
      <c r="A5" s="115">
        <f>COUNTIF('Ações InCompany'!B:B,2026)</f>
        <v>56</v>
      </c>
      <c r="B5" s="116" t="s">
        <v>2298</v>
      </c>
      <c r="D5" s="123">
        <f>COUNTIFS('Ações InCompany'!B:B,2026,'Ações InCompany'!C:C,"Realizado")</f>
        <v>34</v>
      </c>
      <c r="E5" s="124" t="s">
        <v>2298</v>
      </c>
      <c r="G5" s="126">
        <f>COUNTIFS('Ações InCompany'!B:B,2026,'Ações InCompany'!C:C,"A realizar")</f>
        <v>18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6" t="s">
        <v>2299</v>
      </c>
      <c r="B8" s="286"/>
      <c r="D8" s="286" t="s">
        <v>2300</v>
      </c>
      <c r="E8" s="286"/>
    </row>
    <row r="9" spans="1:7" ht="5.0999999999999996" customHeight="1" x14ac:dyDescent="0.25">
      <c r="A9" s="287"/>
      <c r="B9" s="287"/>
      <c r="D9" s="287"/>
      <c r="E9" s="287"/>
    </row>
    <row r="10" spans="1:7" ht="24.95" customHeight="1" x14ac:dyDescent="0.25">
      <c r="A10" s="108" t="s">
        <v>5</v>
      </c>
      <c r="B10" s="108" t="s">
        <v>2301</v>
      </c>
      <c r="D10" s="108" t="s">
        <v>2302</v>
      </c>
      <c r="E10" s="108" t="s">
        <v>2303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16</v>
      </c>
      <c r="D11" s="109" t="s">
        <v>2304</v>
      </c>
      <c r="E11" s="110">
        <f>SUMIFS('Ações InCompany'!O:O,'Ações InCompany'!B:B,2026,'Ações InCompany'!C:C,"Realizado")</f>
        <v>504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2305</v>
      </c>
      <c r="E12" s="112">
        <f>SUMIFS('Ações InCompany'!P:P,'Ações InCompany'!B:B,2026,'Ações InCompany'!C:C,"Realizado")</f>
        <v>603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2306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2307</v>
      </c>
      <c r="B14" s="114">
        <f>SUM(B11:B13)</f>
        <v>34</v>
      </c>
      <c r="D14" s="113" t="s">
        <v>2308</v>
      </c>
      <c r="E14" s="114">
        <f>SUM(E11:E13)</f>
        <v>1518</v>
      </c>
    </row>
    <row r="30" spans="1:5" ht="17.25" x14ac:dyDescent="0.3">
      <c r="A30" s="286" t="s">
        <v>2309</v>
      </c>
      <c r="B30" s="286"/>
      <c r="C30" s="286"/>
      <c r="D30" s="286"/>
      <c r="E30" s="286"/>
    </row>
    <row r="31" spans="1:5" ht="5.0999999999999996" customHeight="1" x14ac:dyDescent="0.25">
      <c r="A31" s="287"/>
      <c r="B31" s="287"/>
      <c r="C31" s="287"/>
      <c r="D31" s="287"/>
      <c r="E31" s="287"/>
    </row>
    <row r="32" spans="1:5" ht="24.95" customHeight="1" x14ac:dyDescent="0.25">
      <c r="A32" s="108" t="s">
        <v>6</v>
      </c>
      <c r="B32" s="108" t="s">
        <v>2310</v>
      </c>
      <c r="C32" s="108" t="s">
        <v>2311</v>
      </c>
      <c r="D32" s="108" t="s">
        <v>2312</v>
      </c>
      <c r="E32" s="108" t="s">
        <v>2313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6</v>
      </c>
      <c r="D33" s="117">
        <f t="shared" ref="D33:D44" si="0">B33+C33</f>
        <v>12</v>
      </c>
      <c r="E33" s="118">
        <f t="shared" ref="E33:E44" si="1">D33/$D$45</f>
        <v>0.23076923076923078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5.7692307692307696E-2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0.11538461538461539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1</v>
      </c>
      <c r="C36" s="128">
        <f>COUNTIFS('Ações InCompany'!B:B,2026,'Ações InCompany'!C:C,"A realizar",'Ações InCompany'!G:G,A36)</f>
        <v>0</v>
      </c>
      <c r="D36" s="119">
        <f t="shared" si="0"/>
        <v>1</v>
      </c>
      <c r="E36" s="120">
        <f t="shared" si="1"/>
        <v>1.9230769230769232E-2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3.8461538461538464E-2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0.25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7.6923076923076927E-2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3.8461538461538464E-2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0.13461538461538461</v>
      </c>
    </row>
    <row r="42" spans="1:5" ht="24" customHeight="1" x14ac:dyDescent="0.25">
      <c r="A42" s="156" t="s">
        <v>2314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3.8461538461538464E-2</v>
      </c>
    </row>
    <row r="44" spans="1:5" ht="24" customHeight="1" x14ac:dyDescent="0.25">
      <c r="A44" s="148" t="s">
        <v>2315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2307</v>
      </c>
      <c r="B45" s="121">
        <f>SUM(B33:B44)</f>
        <v>34</v>
      </c>
      <c r="C45" s="121">
        <f>SUM(C33:C44)</f>
        <v>18</v>
      </c>
      <c r="D45" s="121">
        <f>SUM(D33:D44)</f>
        <v>52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2316</v>
      </c>
      <c r="B1" s="12" t="s">
        <v>2317</v>
      </c>
      <c r="C1" s="13" t="s">
        <v>2318</v>
      </c>
      <c r="D1" s="13" t="s">
        <v>2319</v>
      </c>
      <c r="E1" s="13" t="s">
        <v>2320</v>
      </c>
    </row>
    <row r="2" spans="1:5" ht="18" customHeight="1" x14ac:dyDescent="0.25">
      <c r="A2" s="12" t="s">
        <v>2321</v>
      </c>
      <c r="B2" s="12" t="s">
        <v>2322</v>
      </c>
      <c r="C2" s="12" t="s">
        <v>1316</v>
      </c>
      <c r="D2" s="12" t="s">
        <v>2323</v>
      </c>
      <c r="E2" s="12" t="s">
        <v>2324</v>
      </c>
    </row>
    <row r="3" spans="1:5" ht="18" customHeight="1" x14ac:dyDescent="0.25">
      <c r="A3" s="12" t="s">
        <v>2321</v>
      </c>
      <c r="B3" s="12" t="s">
        <v>2322</v>
      </c>
      <c r="C3" s="14" t="s">
        <v>23</v>
      </c>
      <c r="D3" s="12" t="s">
        <v>2325</v>
      </c>
      <c r="E3" s="12" t="s">
        <v>2326</v>
      </c>
    </row>
    <row r="4" spans="1:5" ht="18" customHeight="1" x14ac:dyDescent="0.25">
      <c r="A4" s="12" t="s">
        <v>2321</v>
      </c>
      <c r="B4" s="12" t="s">
        <v>2322</v>
      </c>
      <c r="C4" s="12" t="s">
        <v>56</v>
      </c>
      <c r="D4" s="12" t="s">
        <v>2323</v>
      </c>
      <c r="E4" s="12" t="s">
        <v>2327</v>
      </c>
    </row>
    <row r="5" spans="1:5" ht="18" customHeight="1" x14ac:dyDescent="0.25">
      <c r="A5" s="12" t="s">
        <v>2321</v>
      </c>
      <c r="B5" s="12" t="s">
        <v>2322</v>
      </c>
      <c r="C5" s="12" t="s">
        <v>59</v>
      </c>
      <c r="D5" s="12" t="s">
        <v>2328</v>
      </c>
      <c r="E5" s="12" t="s">
        <v>2329</v>
      </c>
    </row>
    <row r="6" spans="1:5" ht="18" customHeight="1" x14ac:dyDescent="0.25">
      <c r="A6" s="12" t="s">
        <v>2321</v>
      </c>
      <c r="B6" s="12" t="s">
        <v>2322</v>
      </c>
      <c r="C6" s="12" t="s">
        <v>2073</v>
      </c>
      <c r="D6" s="12" t="s">
        <v>2330</v>
      </c>
      <c r="E6" s="12" t="s">
        <v>2331</v>
      </c>
    </row>
    <row r="7" spans="1:5" ht="18" customHeight="1" x14ac:dyDescent="0.25">
      <c r="A7" s="12" t="s">
        <v>2321</v>
      </c>
      <c r="B7" s="12" t="s">
        <v>2332</v>
      </c>
      <c r="C7" s="12" t="s">
        <v>30</v>
      </c>
      <c r="D7" s="12" t="s">
        <v>2333</v>
      </c>
      <c r="E7" s="12" t="s">
        <v>2334</v>
      </c>
    </row>
    <row r="8" spans="1:5" ht="18" customHeight="1" x14ac:dyDescent="0.25">
      <c r="A8" s="12" t="s">
        <v>2321</v>
      </c>
      <c r="B8" s="12" t="s">
        <v>2332</v>
      </c>
      <c r="C8" s="12" t="s">
        <v>34</v>
      </c>
      <c r="D8" s="12" t="s">
        <v>2335</v>
      </c>
      <c r="E8" s="12" t="s">
        <v>2336</v>
      </c>
    </row>
    <row r="9" spans="1:5" ht="18" customHeight="1" x14ac:dyDescent="0.25">
      <c r="A9" s="12" t="s">
        <v>2321</v>
      </c>
      <c r="B9" s="12" t="s">
        <v>2337</v>
      </c>
      <c r="C9" s="12" t="s">
        <v>353</v>
      </c>
      <c r="D9" s="12" t="s">
        <v>2338</v>
      </c>
      <c r="E9" s="12" t="s">
        <v>2339</v>
      </c>
    </row>
    <row r="10" spans="1:5" ht="18" customHeight="1" x14ac:dyDescent="0.25">
      <c r="A10" s="12" t="s">
        <v>2321</v>
      </c>
      <c r="B10" s="12" t="s">
        <v>2337</v>
      </c>
      <c r="C10" s="12" t="s">
        <v>157</v>
      </c>
      <c r="D10" s="12" t="s">
        <v>22</v>
      </c>
      <c r="E10" s="12" t="s">
        <v>2340</v>
      </c>
    </row>
    <row r="11" spans="1:5" ht="18" customHeight="1" x14ac:dyDescent="0.25">
      <c r="A11" s="12" t="s">
        <v>2321</v>
      </c>
      <c r="B11" s="12" t="s">
        <v>2337</v>
      </c>
      <c r="C11" s="12" t="s">
        <v>283</v>
      </c>
      <c r="D11" s="12" t="s">
        <v>22</v>
      </c>
      <c r="E11" s="12" t="s">
        <v>2341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2342</v>
      </c>
      <c r="B1" s="5" t="s">
        <v>10</v>
      </c>
      <c r="C1" s="15" t="s">
        <v>2343</v>
      </c>
      <c r="D1" s="15" t="s">
        <v>2238</v>
      </c>
    </row>
    <row r="2" spans="1:4" ht="21" customHeight="1" x14ac:dyDescent="0.25">
      <c r="A2" s="258" t="s">
        <v>22</v>
      </c>
      <c r="B2" s="258" t="s">
        <v>32</v>
      </c>
      <c r="C2" s="12" t="s">
        <v>2344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2345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2316</v>
      </c>
      <c r="B1" s="12" t="s">
        <v>2317</v>
      </c>
      <c r="C1" s="13" t="s">
        <v>2318</v>
      </c>
      <c r="D1" s="13" t="s">
        <v>2319</v>
      </c>
      <c r="E1" s="13" t="s">
        <v>2320</v>
      </c>
    </row>
    <row r="2" spans="1:5" ht="18" customHeight="1" x14ac:dyDescent="0.25">
      <c r="A2" s="12" t="s">
        <v>2346</v>
      </c>
      <c r="B2" s="12" t="s">
        <v>2322</v>
      </c>
      <c r="C2" s="14" t="s">
        <v>23</v>
      </c>
      <c r="D2" s="12" t="s">
        <v>2323</v>
      </c>
      <c r="E2" s="18" t="s">
        <v>2347</v>
      </c>
    </row>
    <row r="3" spans="1:5" ht="18" customHeight="1" x14ac:dyDescent="0.25">
      <c r="A3" s="12" t="s">
        <v>2346</v>
      </c>
      <c r="B3" s="12" t="s">
        <v>2322</v>
      </c>
      <c r="C3" s="12" t="s">
        <v>56</v>
      </c>
      <c r="D3" s="12" t="s">
        <v>2325</v>
      </c>
      <c r="E3" s="12" t="s">
        <v>2348</v>
      </c>
    </row>
    <row r="4" spans="1:5" ht="18" customHeight="1" x14ac:dyDescent="0.25">
      <c r="A4" s="12" t="s">
        <v>2346</v>
      </c>
      <c r="B4" s="12" t="s">
        <v>2322</v>
      </c>
      <c r="C4" s="12" t="s">
        <v>59</v>
      </c>
      <c r="D4" s="12" t="s">
        <v>2328</v>
      </c>
      <c r="E4" s="12" t="s">
        <v>2349</v>
      </c>
    </row>
    <row r="5" spans="1:5" ht="27.75" customHeight="1" x14ac:dyDescent="0.25">
      <c r="A5" s="12" t="s">
        <v>2346</v>
      </c>
      <c r="B5" s="12" t="s">
        <v>2322</v>
      </c>
      <c r="C5" s="12" t="s">
        <v>2036</v>
      </c>
      <c r="D5" s="18" t="s">
        <v>2350</v>
      </c>
      <c r="E5" s="12" t="s">
        <v>2351</v>
      </c>
    </row>
    <row r="6" spans="1:5" ht="18" customHeight="1" x14ac:dyDescent="0.25">
      <c r="A6" s="12" t="s">
        <v>2346</v>
      </c>
      <c r="B6" s="12" t="s">
        <v>2322</v>
      </c>
      <c r="C6" s="12" t="s">
        <v>2073</v>
      </c>
      <c r="D6" s="12" t="s">
        <v>2330</v>
      </c>
      <c r="E6" s="12" t="s">
        <v>2331</v>
      </c>
    </row>
    <row r="7" spans="1:5" ht="18" customHeight="1" x14ac:dyDescent="0.25">
      <c r="A7" s="12" t="s">
        <v>2346</v>
      </c>
      <c r="B7" s="12" t="s">
        <v>2332</v>
      </c>
      <c r="C7" s="12" t="s">
        <v>2057</v>
      </c>
      <c r="D7" s="12" t="s">
        <v>2352</v>
      </c>
      <c r="E7" s="12" t="s">
        <v>2353</v>
      </c>
    </row>
    <row r="8" spans="1:5" ht="18" customHeight="1" x14ac:dyDescent="0.25">
      <c r="A8" s="12" t="s">
        <v>2346</v>
      </c>
      <c r="B8" s="12" t="s">
        <v>2332</v>
      </c>
      <c r="C8" s="12" t="s">
        <v>34</v>
      </c>
      <c r="D8" s="12" t="s">
        <v>2335</v>
      </c>
      <c r="E8" s="12" t="s">
        <v>2336</v>
      </c>
    </row>
    <row r="9" spans="1:5" ht="18" customHeight="1" x14ac:dyDescent="0.25">
      <c r="A9" s="12" t="s">
        <v>2346</v>
      </c>
      <c r="B9" s="12" t="s">
        <v>2332</v>
      </c>
      <c r="C9" s="12" t="s">
        <v>2041</v>
      </c>
      <c r="D9" s="12" t="s">
        <v>2354</v>
      </c>
      <c r="E9" s="18" t="s">
        <v>2355</v>
      </c>
    </row>
    <row r="10" spans="1:5" ht="18" customHeight="1" x14ac:dyDescent="0.25">
      <c r="A10" s="12" t="s">
        <v>2346</v>
      </c>
      <c r="B10" s="12" t="s">
        <v>2356</v>
      </c>
      <c r="C10" s="12" t="s">
        <v>2314</v>
      </c>
      <c r="D10" s="12" t="s">
        <v>2357</v>
      </c>
      <c r="E10" s="18" t="s">
        <v>2358</v>
      </c>
    </row>
    <row r="11" spans="1:5" ht="18" customHeight="1" x14ac:dyDescent="0.25">
      <c r="A11" s="12" t="s">
        <v>2346</v>
      </c>
      <c r="B11" s="12" t="s">
        <v>2356</v>
      </c>
      <c r="C11" s="12" t="s">
        <v>157</v>
      </c>
      <c r="D11" s="12" t="s">
        <v>22</v>
      </c>
      <c r="E11" s="12" t="s">
        <v>2340</v>
      </c>
    </row>
    <row r="12" spans="1:5" ht="18" customHeight="1" x14ac:dyDescent="0.25">
      <c r="A12" s="12" t="s">
        <v>2346</v>
      </c>
      <c r="B12" s="12" t="s">
        <v>2356</v>
      </c>
      <c r="C12" s="12" t="s">
        <v>283</v>
      </c>
      <c r="D12" s="12" t="s">
        <v>22</v>
      </c>
      <c r="E12" s="12" t="s">
        <v>2341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3" t="s">
        <v>2359</v>
      </c>
      <c r="B1" s="293"/>
      <c r="C1" s="293"/>
      <c r="D1" s="293"/>
      <c r="E1" s="293"/>
      <c r="F1" s="293"/>
      <c r="G1" s="293"/>
      <c r="H1" s="293"/>
    </row>
    <row r="2" spans="1:8" x14ac:dyDescent="0.25">
      <c r="A2" s="130" t="s">
        <v>2360</v>
      </c>
    </row>
    <row r="4" spans="1:8" ht="21.95" customHeight="1" x14ac:dyDescent="0.25">
      <c r="A4" s="294" t="s">
        <v>2361</v>
      </c>
      <c r="B4" s="295"/>
      <c r="D4" s="294" t="s">
        <v>2362</v>
      </c>
      <c r="E4" s="295"/>
      <c r="G4" s="294" t="s">
        <v>2363</v>
      </c>
      <c r="H4" s="295"/>
    </row>
    <row r="5" spans="1:8" ht="35.1" customHeight="1" x14ac:dyDescent="0.25">
      <c r="A5" s="298">
        <f>COUNTIF('Ações InCompany'!E:E,"*maratona*")</f>
        <v>13</v>
      </c>
      <c r="B5" s="297"/>
      <c r="D5" s="296">
        <f>SUM(H8:H100)</f>
        <v>1762</v>
      </c>
      <c r="E5" s="297"/>
      <c r="G5" s="296">
        <f>IFERROR(ROUND(D5/A5,0),"-")</f>
        <v>136</v>
      </c>
      <c r="H5" s="297"/>
    </row>
    <row r="6" spans="1:8" ht="9.9499999999999993" customHeight="1" x14ac:dyDescent="0.25"/>
    <row r="7" spans="1:8" ht="24.95" customHeight="1" thickBot="1" x14ac:dyDescent="0.3">
      <c r="A7" s="143" t="s">
        <v>2364</v>
      </c>
      <c r="B7" s="143" t="s">
        <v>2365</v>
      </c>
      <c r="C7" s="143" t="s">
        <v>1</v>
      </c>
      <c r="D7" s="143" t="s">
        <v>2366</v>
      </c>
      <c r="E7" s="143" t="s">
        <v>2367</v>
      </c>
      <c r="F7" s="143" t="s">
        <v>2238</v>
      </c>
      <c r="G7" s="143" t="s">
        <v>5</v>
      </c>
      <c r="H7" s="143" t="s">
        <v>2368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K18" sqref="K1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9" t="s">
        <v>2369</v>
      </c>
      <c r="B1" s="299"/>
      <c r="C1" s="299"/>
      <c r="D1" s="299"/>
      <c r="E1" s="299"/>
      <c r="F1" s="299"/>
    </row>
    <row r="2" spans="1:7" x14ac:dyDescent="0.25">
      <c r="A2" s="300" t="s">
        <v>2370</v>
      </c>
      <c r="B2" s="300"/>
      <c r="C2" s="300"/>
      <c r="D2" s="300"/>
      <c r="E2" s="300"/>
      <c r="F2" s="300"/>
    </row>
    <row r="4" spans="1:7" x14ac:dyDescent="0.25">
      <c r="A4" s="102" t="s">
        <v>19</v>
      </c>
      <c r="B4" s="102" t="s">
        <v>2241</v>
      </c>
      <c r="C4" s="102" t="s">
        <v>2242</v>
      </c>
      <c r="D4" s="102" t="s">
        <v>2371</v>
      </c>
      <c r="E4" s="102" t="s">
        <v>2243</v>
      </c>
      <c r="F4" s="102" t="s">
        <v>2372</v>
      </c>
    </row>
    <row r="5" spans="1:7" x14ac:dyDescent="0.25">
      <c r="A5" t="str" cm="1">
        <f t="array" ref="A5:A44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Carolina Pereira de Oliveira</v>
      </c>
      <c r="B9" s="103">
        <f>IF($A9="","",SUMIFS('GECC 2026'!H$2:H$200,'GECC 2026'!F$2:F$200,$A9))</f>
        <v>1</v>
      </c>
      <c r="C9" s="103">
        <f>IF($A9="","",SUMIFS('GECC 2026'!I$2:I$200,'GECC 2026'!F$2:F$200,$A9))</f>
        <v>0.3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1.3</v>
      </c>
      <c r="F9" s="101">
        <f>IF($A9="","",COUNTIFS('GECC 2026'!F$2:F$200,$A9))</f>
        <v>1</v>
      </c>
    </row>
    <row r="10" spans="1:7" x14ac:dyDescent="0.25">
      <c r="A10" t="str">
        <v>Cássio Murilo Alves Costa Filho</v>
      </c>
      <c r="B10" s="103">
        <f>IF($A10="","",SUMIFS('GECC 2026'!H$2:H$200,'GECC 2026'!F$2:F$200,$A10))</f>
        <v>16</v>
      </c>
      <c r="C10" s="103">
        <f>IF($A10="","",SUMIFS('GECC 2026'!I$2:I$200,'GECC 2026'!F$2:F$200,$A10))</f>
        <v>4.8</v>
      </c>
      <c r="D10" s="255">
        <f>IF($A10="","",SUMIFS('GECC 2026'!$AE$3:$AE$32,'GECC 2026'!$AD$3:$AD$32,$A10))</f>
        <v>16</v>
      </c>
      <c r="E10" s="240">
        <f>IF($A10="","",SUMIFS('GECC 2026'!J$2:J$200,'GECC 2026'!F$2:F$200,$A10)+SUMIFS('GECC 2026'!$AE$3:$AE$32,'GECC 2026'!$AD$3:$AD$32,$A10))</f>
        <v>36.799999999999997</v>
      </c>
      <c r="F10" s="101">
        <f>IF($A10="","",COUNTIFS('GECC 2026'!F$2:F$200,$A10))</f>
        <v>1</v>
      </c>
    </row>
    <row r="11" spans="1:7" x14ac:dyDescent="0.25">
      <c r="A11" t="str">
        <v>Cinthia Thais de Carvalho Luz Thomazi</v>
      </c>
      <c r="B11" s="103">
        <f>IF($A11="","",SUMIFS('GECC 2026'!H$2:H$200,'GECC 2026'!F$2:F$200,$A11))</f>
        <v>61</v>
      </c>
      <c r="C11" s="103">
        <f>IF($A11="","",SUMIFS('GECC 2026'!I$2:I$200,'GECC 2026'!F$2:F$200,$A11))</f>
        <v>7.9800000000000013</v>
      </c>
      <c r="D11" s="255">
        <f>IF($A11="","",SUMIFS('GECC 2026'!$AE$3:$AE$32,'GECC 2026'!$AD$3:$AD$32,$A11))</f>
        <v>0</v>
      </c>
      <c r="E11" s="240">
        <f>IF($A11="","",SUMIFS('GECC 2026'!J$2:J$200,'GECC 2026'!F$2:F$200,$A11)+SUMIFS('GECC 2026'!$AE$3:$AE$32,'GECC 2026'!$AD$3:$AD$32,$A11))</f>
        <v>68.98</v>
      </c>
      <c r="F11" s="101">
        <f>IF($A11="","",COUNTIFS('GECC 2026'!F$2:F$200,$A11))</f>
        <v>12</v>
      </c>
    </row>
    <row r="12" spans="1:7" x14ac:dyDescent="0.25">
      <c r="A12" t="str">
        <v>Davi Assunção Salvador Nery de Castro</v>
      </c>
      <c r="B12" s="103">
        <f>IF($A12="","",SUMIFS('GECC 2026'!H$2:H$200,'GECC 2026'!F$2:F$200,$A12))</f>
        <v>12</v>
      </c>
      <c r="C12" s="103">
        <f>IF($A12="","",SUMIFS('GECC 2026'!I$2:I$200,'GECC 2026'!F$2:F$200,$A12))</f>
        <v>1.2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13.2</v>
      </c>
      <c r="F12" s="101">
        <f>IF($A12="","",COUNTIFS('GECC 2026'!F$2:F$200,$A12))</f>
        <v>1</v>
      </c>
    </row>
    <row r="13" spans="1:7" x14ac:dyDescent="0.25">
      <c r="A13" t="str">
        <v>David da Silva de Araújo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Denise Duarte Guirra Kuhlmann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2.6399999999999997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14.64</v>
      </c>
      <c r="F14" s="101">
        <f>IF($A14="","",COUNTIFS('GECC 2026'!F$2:F$200,$A14))</f>
        <v>3</v>
      </c>
    </row>
    <row r="15" spans="1:7" x14ac:dyDescent="0.25">
      <c r="A15" t="str">
        <v>Diversos</v>
      </c>
      <c r="B15" s="103">
        <f>IF($A15="","",SUMIFS('GECC 2026'!H$2:H$200,'GECC 2026'!F$2:F$200,$A15))</f>
        <v>0</v>
      </c>
      <c r="C15" s="103">
        <f>IF($A15="","",SUMIFS('GECC 2026'!I$2:I$200,'GECC 2026'!F$2:F$200,$A15))</f>
        <v>0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0</v>
      </c>
      <c r="F15" s="101">
        <f>IF($A15="","",COUNTIFS('GECC 2026'!F$2:F$200,$A15))</f>
        <v>2</v>
      </c>
    </row>
    <row r="16" spans="1:7" x14ac:dyDescent="0.25">
      <c r="A16" t="str">
        <v>Eustáquio Rabelo de Souza</v>
      </c>
      <c r="B16" s="103">
        <f>IF($A16="","",SUMIFS('GECC 2026'!H$2:H$200,'GECC 2026'!F$2:F$200,$A16))</f>
        <v>1</v>
      </c>
      <c r="C16" s="103">
        <f>IF($A16="","",SUMIFS('GECC 2026'!I$2:I$200,'GECC 2026'!F$2:F$200,$A16))</f>
        <v>0.3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1.3</v>
      </c>
      <c r="F16" s="101">
        <f>IF($A16="","",COUNTIFS('GECC 2026'!F$2:F$200,$A16))</f>
        <v>1</v>
      </c>
    </row>
    <row r="17" spans="1:6" x14ac:dyDescent="0.25">
      <c r="A17" t="str">
        <v>Felipe da Costa Malaquias</v>
      </c>
      <c r="B17" s="103">
        <f>IF($A17="","",SUMIFS('GECC 2026'!H$2:H$200,'GECC 2026'!F$2:F$200,$A17))</f>
        <v>8</v>
      </c>
      <c r="C17" s="103">
        <f>IF($A17="","",SUMIFS('GECC 2026'!I$2:I$200,'GECC 2026'!F$2:F$200,$A17))</f>
        <v>37.299999999999997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45.3</v>
      </c>
      <c r="F17" s="101">
        <f>IF($A17="","",COUNTIFS('GECC 2026'!F$2:F$200,$A17))</f>
        <v>2</v>
      </c>
    </row>
    <row r="18" spans="1:6" x14ac:dyDescent="0.25">
      <c r="A18" t="str">
        <v>Felipe Ramos Barbosa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Fernanda Viana de Souza</v>
      </c>
      <c r="B19" s="103">
        <f>IF($A19="","",SUMIFS('GECC 2026'!H$2:H$200,'GECC 2026'!F$2:F$200,$A19))</f>
        <v>39</v>
      </c>
      <c r="C19" s="103">
        <f>IF($A19="","",SUMIFS('GECC 2026'!I$2:I$200,'GECC 2026'!F$2:F$200,$A19))</f>
        <v>4.5300000000000011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43.530000000000008</v>
      </c>
      <c r="F19" s="101">
        <f>IF($A19="","",COUNTIFS('GECC 2026'!F$2:F$200,$A19))</f>
        <v>10</v>
      </c>
    </row>
    <row r="20" spans="1:6" x14ac:dyDescent="0.25">
      <c r="A20" t="str">
        <v>Flávio José Fonseca de Souza</v>
      </c>
      <c r="B20" s="103">
        <f>IF($A20="","",SUMIFS('GECC 2026'!H$2:H$200,'GECC 2026'!F$2:F$200,$A20))</f>
        <v>8</v>
      </c>
      <c r="C20" s="103">
        <f>IF($A20="","",SUMIFS('GECC 2026'!I$2:I$200,'GECC 2026'!F$2:F$200,$A20))</f>
        <v>37.299999999999997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45.3</v>
      </c>
      <c r="F20" s="101">
        <f>IF($A20="","",COUNTIFS('GECC 2026'!F$2:F$200,$A20))</f>
        <v>2</v>
      </c>
    </row>
    <row r="21" spans="1:6" x14ac:dyDescent="0.25">
      <c r="A21" t="str">
        <v>Gabriel Heller</v>
      </c>
      <c r="B21" s="103">
        <f>IF($A21="","",SUMIFS('GECC 2026'!H$2:H$200,'GECC 2026'!F$2:F$200,$A21))</f>
        <v>4</v>
      </c>
      <c r="C21" s="103">
        <f>IF($A21="","",SUMIFS('GECC 2026'!I$2:I$200,'GECC 2026'!F$2:F$200,$A21))</f>
        <v>33.200000000000003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37.200000000000003</v>
      </c>
      <c r="F21" s="101">
        <f>IF($A21="","",COUNTIFS('GECC 2026'!F$2:F$200,$A21))</f>
        <v>2</v>
      </c>
    </row>
    <row r="22" spans="1:6" x14ac:dyDescent="0.25">
      <c r="A22" t="str">
        <v>Guilherme Bride Fernandes</v>
      </c>
      <c r="B22" s="103">
        <f>IF($A22="","",SUMIFS('GECC 2026'!H$2:H$200,'GECC 2026'!F$2:F$200,$A22))</f>
        <v>0</v>
      </c>
      <c r="C22" s="103">
        <f>IF($A22="","",SUMIFS('GECC 2026'!I$2:I$200,'GECC 2026'!F$2:F$200,$A22))</f>
        <v>0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0</v>
      </c>
      <c r="F22" s="101">
        <f>IF($A22="","",COUNTIFS('GECC 2026'!F$2:F$200,$A22))</f>
        <v>1</v>
      </c>
    </row>
    <row r="23" spans="1:6" x14ac:dyDescent="0.25">
      <c r="A23" t="str">
        <v>Gustavo Takahashi</v>
      </c>
      <c r="B23" s="103">
        <f>IF($A23="","",SUMIFS('GECC 2026'!H$2:H$200,'GECC 2026'!F$2:F$200,$A23))</f>
        <v>33</v>
      </c>
      <c r="C23" s="103">
        <f>IF($A23="","",SUMIFS('GECC 2026'!I$2:I$200,'GECC 2026'!F$2:F$200,$A23))</f>
        <v>0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33</v>
      </c>
      <c r="F23" s="101">
        <f>IF($A23="","",COUNTIFS('GECC 2026'!F$2:F$200,$A23))</f>
        <v>5</v>
      </c>
    </row>
    <row r="24" spans="1:6" x14ac:dyDescent="0.25">
      <c r="A24" t="str">
        <v>Hamilton de Jesus Lopes Neto</v>
      </c>
      <c r="B24" s="103">
        <f>IF($A24="","",SUMIFS('GECC 2026'!H$2:H$200,'GECC 2026'!F$2:F$200,$A24))</f>
        <v>12</v>
      </c>
      <c r="C24" s="103">
        <f>IF($A24="","",SUMIFS('GECC 2026'!I$2:I$200,'GECC 2026'!F$2:F$200,$A24))</f>
        <v>1.2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13.2</v>
      </c>
      <c r="F24" s="101">
        <f>IF($A24="","",COUNTIFS('GECC 2026'!F$2:F$200,$A24))</f>
        <v>1</v>
      </c>
    </row>
    <row r="25" spans="1:6" x14ac:dyDescent="0.25">
      <c r="A25" t="str">
        <v>Igor Queiroz</v>
      </c>
      <c r="B25" s="103">
        <f>IF($A25="","",SUMIFS('GECC 2026'!H$2:H$200,'GECC 2026'!F$2:F$200,$A25))</f>
        <v>1</v>
      </c>
      <c r="C25" s="103">
        <f>IF($A25="","",SUMIFS('GECC 2026'!I$2:I$200,'GECC 2026'!F$2:F$200,$A25))</f>
        <v>0.3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1.3</v>
      </c>
      <c r="F25" s="101">
        <f>IF($A25="","",COUNTIFS('GECC 2026'!F$2:F$200,$A25))</f>
        <v>1</v>
      </c>
    </row>
    <row r="26" spans="1:6" x14ac:dyDescent="0.25">
      <c r="A26" t="str">
        <v>Indio Artiaga do Brasil Rabelo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3.6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15.6</v>
      </c>
      <c r="F26" s="101">
        <f>IF($A26="","",COUNTIFS('GECC 2026'!F$2:F$200,$A26))</f>
        <v>1</v>
      </c>
    </row>
    <row r="27" spans="1:6" x14ac:dyDescent="0.25">
      <c r="A27" t="str">
        <v>José Roberto Alcuri Júnior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Leonardo de Melo</v>
      </c>
      <c r="B28" s="103">
        <f>IF($A28="","",SUMIFS('GECC 2026'!H$2:H$200,'GECC 2026'!F$2:F$200,$A28))</f>
        <v>0</v>
      </c>
      <c r="C28" s="103">
        <f>IF($A28="","",SUMIFS('GECC 2026'!I$2:I$200,'GECC 2026'!F$2:F$200,$A28))</f>
        <v>0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0</v>
      </c>
      <c r="F28" s="101">
        <f>IF($A28="","",COUNTIFS('GECC 2026'!F$2:F$200,$A28))</f>
        <v>1</v>
      </c>
    </row>
    <row r="29" spans="1:6" x14ac:dyDescent="0.25">
      <c r="A29" t="str">
        <v>Leonardo José Alves Leal Neri</v>
      </c>
      <c r="B29" s="103">
        <f>IF($A29="","",SUMIFS('GECC 2026'!H$2:H$200,'GECC 2026'!F$2:F$200,$A29))</f>
        <v>40</v>
      </c>
      <c r="C29" s="103">
        <f>IF($A29="","",SUMIFS('GECC 2026'!I$2:I$200,'GECC 2026'!F$2:F$200,$A29))</f>
        <v>12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52</v>
      </c>
      <c r="F29" s="101">
        <f>IF($A29="","",COUNTIFS('GECC 2026'!F$2:F$200,$A29))</f>
        <v>2</v>
      </c>
    </row>
    <row r="30" spans="1:6" x14ac:dyDescent="0.25">
      <c r="A30" t="str">
        <v>Luciana Alvim</v>
      </c>
      <c r="B30" s="103">
        <f>IF($A30="","",SUMIFS('GECC 2026'!H$2:H$200,'GECC 2026'!F$2:F$200,$A30))</f>
        <v>60</v>
      </c>
      <c r="C30" s="103">
        <f>IF($A30="","",SUMIFS('GECC 2026'!I$2:I$200,'GECC 2026'!F$2:F$200,$A30))</f>
        <v>94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154</v>
      </c>
      <c r="F30" s="101">
        <f>IF($A30="","",COUNTIFS('GECC 2026'!F$2:F$200,$A30))</f>
        <v>6</v>
      </c>
    </row>
    <row r="31" spans="1:6" x14ac:dyDescent="0.25">
      <c r="A31" t="str">
        <v>Luiz Felipe Tenório de Lima Gondim</v>
      </c>
      <c r="B31" s="103">
        <f>IF($A31="","",SUMIFS('GECC 2026'!H$2:H$200,'GECC 2026'!F$2:F$200,$A31))</f>
        <v>24</v>
      </c>
      <c r="C31" s="103">
        <f>IF($A31="","",SUMIFS('GECC 2026'!I$2:I$200,'GECC 2026'!F$2:F$200,$A31))</f>
        <v>1.44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25.440000000000005</v>
      </c>
      <c r="F31" s="101">
        <f>IF($A31="","",COUNTIFS('GECC 2026'!F$2:F$200,$A31))</f>
        <v>6</v>
      </c>
    </row>
    <row r="32" spans="1:6" x14ac:dyDescent="0.25">
      <c r="A32" t="str">
        <v>Marcelo Bálbio Moraes</v>
      </c>
      <c r="B32" s="103">
        <f>IF($A32="","",SUMIFS('GECC 2026'!H$2:H$200,'GECC 2026'!F$2:F$200,$A32))</f>
        <v>0</v>
      </c>
      <c r="C32" s="103">
        <f>IF($A32="","",SUMIFS('GECC 2026'!I$2:I$200,'GECC 2026'!F$2:F$200,$A32))</f>
        <v>0</v>
      </c>
      <c r="D32" s="255">
        <f>IF($A32="","",SUMIFS('GECC 2026'!$AE$3:$AE$32,'GECC 2026'!$AD$3:$AD$32,$A32))</f>
        <v>16</v>
      </c>
      <c r="E32" s="240">
        <f>IF($A32="","",SUMIFS('GECC 2026'!J$2:J$200,'GECC 2026'!F$2:F$200,$A32)+SUMIFS('GECC 2026'!$AE$3:$AE$32,'GECC 2026'!$AD$3:$AD$32,$A32))</f>
        <v>16</v>
      </c>
      <c r="F32" s="101">
        <f>IF($A32="","",COUNTIFS('GECC 2026'!F$2:F$200,$A32))</f>
        <v>0</v>
      </c>
    </row>
    <row r="33" spans="1:6" x14ac:dyDescent="0.25">
      <c r="A33" t="str">
        <v>Marcelo Santana</v>
      </c>
      <c r="B33" s="103">
        <f>IF($A33="","",SUMIFS('GECC 2026'!H$2:H$200,'GECC 2026'!F$2:F$200,$A33))</f>
        <v>1</v>
      </c>
      <c r="C33" s="103">
        <f>IF($A33="","",SUMIFS('GECC 2026'!I$2:I$200,'GECC 2026'!F$2:F$200,$A33))</f>
        <v>0.3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1.3</v>
      </c>
      <c r="F33" s="101">
        <f>IF($A33="","",COUNTIFS('GECC 2026'!F$2:F$200,$A33))</f>
        <v>1</v>
      </c>
    </row>
    <row r="34" spans="1:6" x14ac:dyDescent="0.25">
      <c r="A34" t="str">
        <v>Mauri Siqueira Montessi</v>
      </c>
      <c r="B34" s="103">
        <f>IF($A34="","",SUMIFS('GECC 2026'!H$2:H$200,'GECC 2026'!F$2:F$200,$A34))</f>
        <v>0</v>
      </c>
      <c r="C34" s="103">
        <f>IF($A34="","",SUMIFS('GECC 2026'!I$2:I$200,'GECC 2026'!F$2:F$200,$A34))</f>
        <v>0</v>
      </c>
      <c r="D34" s="255">
        <f>IF($A34="","",SUMIFS('GECC 2026'!$AE$3:$AE$32,'GECC 2026'!$AD$3:$AD$32,$A34))</f>
        <v>16</v>
      </c>
      <c r="E34" s="240">
        <f>IF($A34="","",SUMIFS('GECC 2026'!J$2:J$200,'GECC 2026'!F$2:F$200,$A34)+SUMIFS('GECC 2026'!$AE$3:$AE$32,'GECC 2026'!$AD$3:$AD$32,$A34))</f>
        <v>16</v>
      </c>
      <c r="F34" s="101">
        <f>IF($A34="","",COUNTIFS('GECC 2026'!F$2:F$200,$A34))</f>
        <v>0</v>
      </c>
    </row>
    <row r="35" spans="1:6" x14ac:dyDescent="0.25">
      <c r="A35" t="str">
        <v>Michel Martins de Morais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Paulo José Góes Daltro</v>
      </c>
      <c r="B36" s="103">
        <f>IF($A36="","",SUMIFS('GECC 2026'!H$2:H$200,'GECC 2026'!F$2:F$200,$A36))</f>
        <v>28</v>
      </c>
      <c r="C36" s="103">
        <f>IF($A36="","",SUMIFS('GECC 2026'!I$2:I$200,'GECC 2026'!F$2:F$200,$A36))</f>
        <v>8.3999999999999986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36.4</v>
      </c>
      <c r="F36" s="101">
        <f>IF($A36="","",COUNTIFS('GECC 2026'!F$2:F$200,$A36))</f>
        <v>3</v>
      </c>
    </row>
    <row r="37" spans="1:6" x14ac:dyDescent="0.25">
      <c r="A37" t="str">
        <v>Priscila Nolasco de Oliveira</v>
      </c>
      <c r="B37" s="103">
        <f>IF($A37="","",SUMIFS('GECC 2026'!H$2:H$200,'GECC 2026'!F$2:F$200,$A37))</f>
        <v>36</v>
      </c>
      <c r="C37" s="103">
        <f>IF($A37="","",SUMIFS('GECC 2026'!I$2:I$200,'GECC 2026'!F$2:F$200,$A37))</f>
        <v>2.16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38.160000000000011</v>
      </c>
      <c r="F37" s="101">
        <f>IF($A37="","",COUNTIFS('GECC 2026'!F$2:F$200,$A37))</f>
        <v>9</v>
      </c>
    </row>
    <row r="38" spans="1:6" x14ac:dyDescent="0.25">
      <c r="A38" t="str">
        <v>Reinaldo Alencar</v>
      </c>
      <c r="B38" s="103">
        <f>IF($A38="","",SUMIFS('GECC 2026'!H$2:H$200,'GECC 2026'!F$2:F$200,$A38))</f>
        <v>48</v>
      </c>
      <c r="C38" s="103">
        <f>IF($A38="","",SUMIFS('GECC 2026'!I$2:I$200,'GECC 2026'!F$2:F$200,$A38))</f>
        <v>7.1999999999999993</v>
      </c>
      <c r="D38" s="255">
        <f>IF($A38="","",SUMIFS('GECC 2026'!$AE$3:$AE$32,'GECC 2026'!$AD$3:$AD$32,$A38))</f>
        <v>0</v>
      </c>
      <c r="E38" s="240">
        <f>IF($A38="","",SUMIFS('GECC 2026'!J$2:J$200,'GECC 2026'!F$2:F$200,$A38)+SUMIFS('GECC 2026'!$AE$3:$AE$32,'GECC 2026'!$AD$3:$AD$32,$A38))</f>
        <v>55.2</v>
      </c>
      <c r="F38" s="101">
        <f>IF($A38="","",COUNTIFS('GECC 2026'!F$2:F$200,$A38))</f>
        <v>3</v>
      </c>
    </row>
    <row r="39" spans="1:6" x14ac:dyDescent="0.25">
      <c r="A39" t="str">
        <v>Rogério Ribeiro</v>
      </c>
      <c r="B39" s="103">
        <f>IF($A39="","",SUMIFS('GECC 2026'!H$2:H$200,'GECC 2026'!F$2:F$200,$A39))</f>
        <v>48</v>
      </c>
      <c r="C39" s="103">
        <f>IF($A39="","",SUMIFS('GECC 2026'!I$2:I$200,'GECC 2026'!F$2:F$200,$A39))</f>
        <v>7.1999999999999993</v>
      </c>
      <c r="D39" s="255">
        <f>IF($A39="","",SUMIFS('GECC 2026'!$AE$3:$AE$32,'GECC 2026'!$AD$3:$AD$32,$A39))</f>
        <v>0</v>
      </c>
      <c r="E39" s="240">
        <f>IF($A39="","",SUMIFS('GECC 2026'!J$2:J$200,'GECC 2026'!F$2:F$200,$A39)+SUMIFS('GECC 2026'!$AE$3:$AE$32,'GECC 2026'!$AD$3:$AD$32,$A39))</f>
        <v>55.2</v>
      </c>
      <c r="F39" s="101">
        <f>IF($A39="","",COUNTIFS('GECC 2026'!F$2:F$200,$A39))</f>
        <v>3</v>
      </c>
    </row>
    <row r="40" spans="1:6" x14ac:dyDescent="0.25">
      <c r="A40" t="str">
        <v>Rômulo Miranda Alvim</v>
      </c>
      <c r="B40" s="103">
        <f>IF($A40="","",SUMIFS('GECC 2026'!H$2:H$200,'GECC 2026'!F$2:F$200,$A40))</f>
        <v>24</v>
      </c>
      <c r="C40" s="103">
        <f>IF($A40="","",SUMIFS('GECC 2026'!I$2:I$200,'GECC 2026'!F$2:F$200,$A40))</f>
        <v>3.6</v>
      </c>
      <c r="D40" s="255">
        <f>IF($A40="","",SUMIFS('GECC 2026'!$AE$3:$AE$32,'GECC 2026'!$AD$3:$AD$32,$A40))</f>
        <v>16</v>
      </c>
      <c r="E40" s="240">
        <f>IF($A40="","",SUMIFS('GECC 2026'!J$2:J$200,'GECC 2026'!F$2:F$200,$A40)+SUMIFS('GECC 2026'!$AE$3:$AE$32,'GECC 2026'!$AD$3:$AD$32,$A40))</f>
        <v>43.6</v>
      </c>
      <c r="F40" s="101">
        <f>IF($A40="","",COUNTIFS('GECC 2026'!F$2:F$200,$A40))</f>
        <v>2</v>
      </c>
    </row>
    <row r="41" spans="1:6" x14ac:dyDescent="0.25">
      <c r="A41" t="str">
        <v>Servidores, colaboradores e estagiários do TCDF</v>
      </c>
      <c r="B41" s="103">
        <f>IF($A41="","",SUMIFS('GECC 2026'!H$2:H$200,'GECC 2026'!F$2:F$200,$A41))</f>
        <v>0</v>
      </c>
      <c r="C41" s="103">
        <f>IF($A41="","",SUMIFS('GECC 2026'!I$2:I$200,'GECC 2026'!F$2:F$200,$A41))</f>
        <v>0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0</v>
      </c>
      <c r="F41" s="101">
        <f>IF($A41="","",COUNTIFS('GECC 2026'!F$2:F$200,$A41))</f>
        <v>1</v>
      </c>
    </row>
    <row r="42" spans="1:6" x14ac:dyDescent="0.25">
      <c r="A42" t="str">
        <v>Silvia Lima Damasceno Carvalho</v>
      </c>
      <c r="B42" s="103">
        <f>IF($A42="","",SUMIFS('GECC 2026'!H$2:H$200,'GECC 2026'!F$2:F$200,$A42))</f>
        <v>1</v>
      </c>
      <c r="C42" s="103">
        <f>IF($A42="","",SUMIFS('GECC 2026'!I$2:I$200,'GECC 2026'!F$2:F$200,$A42))</f>
        <v>0.3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1.3</v>
      </c>
      <c r="F42" s="101">
        <f>IF($A42="","",COUNTIFS('GECC 2026'!F$2:F$200,$A42))</f>
        <v>1</v>
      </c>
    </row>
    <row r="43" spans="1:6" x14ac:dyDescent="0.25">
      <c r="A43" t="str">
        <v>Tarsila Firmino Ely</v>
      </c>
      <c r="B43" s="103">
        <f>IF($A43="","",SUMIFS('GECC 2026'!H$2:H$200,'GECC 2026'!F$2:F$200,$A43))</f>
        <v>56</v>
      </c>
      <c r="C43" s="103">
        <f>IF($A43="","",SUMIFS('GECC 2026'!I$2:I$200,'GECC 2026'!F$2:F$200,$A43))</f>
        <v>96.4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152.4</v>
      </c>
      <c r="F43" s="101">
        <f>IF($A43="","",COUNTIFS('GECC 2026'!F$2:F$200,$A43))</f>
        <v>5</v>
      </c>
    </row>
    <row r="44" spans="1:6" x14ac:dyDescent="0.25">
      <c r="A44" t="str">
        <v>Túllio Herbeth Teixeira Moraes</v>
      </c>
      <c r="B44" s="103">
        <f>IF($A44="","",SUMIFS('GECC 2026'!H$2:H$200,'GECC 2026'!F$2:F$200,$A44))</f>
        <v>3</v>
      </c>
      <c r="C44" s="103">
        <f>IF($A44="","",SUMIFS('GECC 2026'!I$2:I$200,'GECC 2026'!F$2:F$200,$A44))</f>
        <v>0.44999999999999996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3.45</v>
      </c>
      <c r="F44" s="101">
        <f>IF($A44="","",COUNTIFS('GECC 2026'!F$2:F$200,$A44))</f>
        <v>1</v>
      </c>
    </row>
    <row r="45" spans="1:6" x14ac:dyDescent="0.25">
      <c r="B45" s="103" t="str">
        <f>IF($A45="","",SUMIFS('GECC 2026'!H$2:H$200,'GECC 2026'!F$2:F$200,$A45))</f>
        <v/>
      </c>
      <c r="C45" s="103" t="str">
        <f>IF($A45="","",SUMIFS('GECC 2026'!I$2:I$200,'GECC 2026'!F$2:F$200,$A45))</f>
        <v/>
      </c>
      <c r="D45" s="255" t="str">
        <f>IF($A45="","",SUMIFS('GECC 2026'!$AE$3:$AE$32,'GECC 2026'!$AD$3:$AD$32,$A45))</f>
        <v/>
      </c>
      <c r="E45" s="240" t="str">
        <f>IF($A45="","",SUMIFS('GECC 2026'!J$2:J$200,'GECC 2026'!F$2:F$200,$A45)+SUMIFS('GECC 2026'!$AE$3:$AE$32,'GECC 2026'!$AD$3:$AD$32,$A45))</f>
        <v/>
      </c>
      <c r="F45" s="101" t="str">
        <f>IF($A45="","",COUNTIFS('GECC 2026'!F$2:F$200,$A45))</f>
        <v/>
      </c>
    </row>
    <row r="46" spans="1:6" x14ac:dyDescent="0.25">
      <c r="B46" s="103" t="str">
        <f>IF($A46="","",SUMIFS('GECC 2026'!H$2:H$200,'GECC 2026'!F$2:F$200,$A46))</f>
        <v/>
      </c>
      <c r="C46" s="103" t="str">
        <f>IF($A46="","",SUMIFS('GECC 2026'!I$2:I$200,'GECC 2026'!F$2:F$200,$A46))</f>
        <v/>
      </c>
      <c r="D46" s="255" t="str">
        <f>IF($A46="","",SUMIFS('GECC 2026'!$AE$3:$AE$32,'GECC 2026'!$AD$3:$AD$32,$A46))</f>
        <v/>
      </c>
      <c r="E46" s="240" t="str">
        <f>IF($A46="","",SUMIFS('GECC 2026'!J$2:J$200,'GECC 2026'!F$2:F$200,$A46)+SUMIFS('GECC 2026'!$AE$3:$AE$32,'GECC 2026'!$AD$3:$AD$32,$A46))</f>
        <v/>
      </c>
      <c r="F46" s="101" t="str">
        <f>IF($A46="","",COUNTIFS('GECC 2026'!F$2:F$200,$A46))</f>
        <v/>
      </c>
    </row>
    <row r="47" spans="1:6" x14ac:dyDescent="0.25">
      <c r="B47" s="103" t="str">
        <f>IF($A47="","",SUMIFS('GECC 2026'!H$2:H$200,'GECC 2026'!F$2:F$200,$A47))</f>
        <v/>
      </c>
      <c r="C47" s="103" t="str">
        <f>IF($A47="","",SUMIFS('GECC 2026'!I$2:I$200,'GECC 2026'!F$2:F$200,$A47))</f>
        <v/>
      </c>
      <c r="D47" s="255" t="str">
        <f>IF($A47="","",SUMIFS('GECC 2026'!$AE$3:$AE$32,'GECC 2026'!$AD$3:$AD$32,$A47))</f>
        <v/>
      </c>
      <c r="E47" s="240" t="str">
        <f>IF($A47="","",SUMIFS('GECC 2026'!J$2:J$200,'GECC 2026'!F$2:F$200,$A47)+SUMIFS('GECC 2026'!$AE$3:$AE$32,'GECC 2026'!$AD$3:$AD$32,$A47))</f>
        <v/>
      </c>
      <c r="F47" s="101" t="str">
        <f>IF($A47="","",COUNTIFS('GECC 2026'!F$2:F$200,$A47))</f>
        <v/>
      </c>
    </row>
    <row r="48" spans="1:6" x14ac:dyDescent="0.25">
      <c r="B48" s="103" t="str">
        <f>IF($A48="","",SUMIFS('GECC 2026'!H$2:H$200,'GECC 2026'!F$2:F$200,$A48))</f>
        <v/>
      </c>
      <c r="C48" s="103" t="str">
        <f>IF($A48="","",SUMIFS('GECC 2026'!I$2:I$200,'GECC 2026'!F$2:F$200,$A48))</f>
        <v/>
      </c>
      <c r="D48" s="255" t="str">
        <f>IF($A48="","",SUMIFS('GECC 2026'!$AE$3:$AE$32,'GECC 2026'!$AD$3:$AD$32,$A48))</f>
        <v/>
      </c>
      <c r="E48" s="240" t="str">
        <f>IF($A48="","",SUMIFS('GECC 2026'!J$2:J$200,'GECC 2026'!F$2:F$200,$A48)+SUMIFS('GECC 2026'!$AE$3:$AE$32,'GECC 2026'!$AD$3:$AD$32,$A48))</f>
        <v/>
      </c>
      <c r="F48" s="101" t="str">
        <f>IF($A48="","",COUNTIFS('GECC 2026'!F$2:F$200,$A48))</f>
        <v/>
      </c>
    </row>
    <row r="49" spans="2:6" x14ac:dyDescent="0.25">
      <c r="B49" s="103" t="str">
        <f>IF($A49="","",SUMIFS('GECC 2026'!H$2:H$200,'GECC 2026'!F$2:F$200,$A49))</f>
        <v/>
      </c>
      <c r="C49" s="103" t="str">
        <f>IF($A49="","",SUMIFS('GECC 2026'!I$2:I$200,'GECC 2026'!F$2:F$200,$A49))</f>
        <v/>
      </c>
      <c r="D49" s="255" t="str">
        <f>IF($A49="","",SUMIFS('GECC 2026'!$AE$3:$AE$32,'GECC 2026'!$AD$3:$AD$32,$A49))</f>
        <v/>
      </c>
      <c r="E49" s="240" t="str">
        <f>IF($A49="","",SUMIFS('GECC 2026'!J$2:J$200,'GECC 2026'!F$2:F$200,$A49)+SUMIFS('GECC 2026'!$AE$3:$AE$32,'GECC 2026'!$AD$3:$AD$32,$A49))</f>
        <v/>
      </c>
      <c r="F49" s="101" t="str">
        <f>IF($A49="","",COUNTIFS('GECC 2026'!F$2:F$200,$A49))</f>
        <v/>
      </c>
    </row>
    <row r="50" spans="2:6" x14ac:dyDescent="0.25">
      <c r="B50" s="103" t="str">
        <f>IF($A50="","",SUMIFS('GECC 2026'!H$2:H$200,'GECC 2026'!F$2:F$200,$A50))</f>
        <v/>
      </c>
      <c r="C50" s="103" t="str">
        <f>IF($A50="","",SUMIFS('GECC 2026'!I$2:I$200,'GECC 2026'!F$2:F$200,$A50))</f>
        <v/>
      </c>
      <c r="D50" s="255" t="str">
        <f>IF($A50="","",SUMIFS('GECC 2026'!$AE$3:$AE$32,'GECC 2026'!$AD$3:$AD$32,$A50))</f>
        <v/>
      </c>
      <c r="E50" s="240" t="str">
        <f>IF($A50="","",SUMIFS('GECC 2026'!J$2:J$200,'GECC 2026'!F$2:F$200,$A50)+SUMIFS('GECC 2026'!$AE$3:$AE$32,'GECC 2026'!$AD$3:$AD$32,$A50))</f>
        <v/>
      </c>
      <c r="F50" s="101" t="str">
        <f>IF($A50="","",COUNTIFS('GECC 2026'!F$2:F$200,$A50))</f>
        <v/>
      </c>
    </row>
    <row r="51" spans="2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2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2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2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2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2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2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2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2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2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2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2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2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2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2308</v>
      </c>
      <c r="B105" s="242">
        <f>SUM(B5:B100)</f>
        <v>708</v>
      </c>
      <c r="C105" s="242">
        <f>SUM(C5:C100)</f>
        <v>391.38000000000005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112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www.w3.org/XML/1998/namespace"/>
    <ds:schemaRef ds:uri="fe686eaa-0658-4f15-b230-9e46c4d089fd"/>
    <ds:schemaRef ds:uri="http://purl.org/dc/terms/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2026-07-07T20:05:39Z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