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59" documentId="13_ncr:1_{6A2CC3E2-FAFB-4D8F-B284-5E8FB5045DFE}" xr6:coauthVersionLast="47" xr6:coauthVersionMax="47" xr10:uidLastSave="{44CE9081-ECEF-4213-A14C-9635A2ED85D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<sst xmlns="http://schemas.openxmlformats.org/spreadsheetml/2006/main" count="7407" uniqueCount="3260">
  <si>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</si>
  <si>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</si>
  <si>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</si>
  <si>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</si>
  <si>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</si>
  <si>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</si>
  <si>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</si>
  <si>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</si>
  <si>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</si>
  <si>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</si>
  <si>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</si>
  <si>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</si>
  <si>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</si>
  <si>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</si>
  <si>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</si>
  <si>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</si>
  <si>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</si>
  <si>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</si>
  <si>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</si>
  <si>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</si>
  <si>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</si>
  <si>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</si>
  <si>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</si>
  <si>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</si>
  <si>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</si>
  <si>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</si>
  <si>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</si>
  <si>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</si>
  <si>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</si>
  <si>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</si>
  <si>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</si>
  <si>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</si>
  <si>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</si>
  <si>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</si>
  <si>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</si>
  <si>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</si>
  <si>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</si>
  <si>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</si>
  <si>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</si>
  <si>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</si>
  <si>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</si>
  <si>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</si>
  <si>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</si>
  <si>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</si>
  <si>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</si>
  <si>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</si>
  <si>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</si>
  <si>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</si>
  <si>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</si>
  <si>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</si>
  <si>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</si>
  <si>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</si>
  <si>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</si>
  <si>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</si>
  <si>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</si>
  <si>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</si>
  <si>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</si>
  <si>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</si>
  <si>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</si>
  <si>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</si>
  <si>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</si>
  <si>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</si>
  <si>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</si>
  <si>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</si>
  <si>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</si>
  <si>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</si>
  <si>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</si>
  <si>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</si>
  <si>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</si>
  <si>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</si>
  <si>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</si>
  <si>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</si>
  <si>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</si>
  <si>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</si>
  <si>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</si>
  <si>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</si>
  <si>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</si>
  <si>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</si>
  <si>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</si>
  <si>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</si>
  <si>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</si>
  <si>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</si>
  <si>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</si>
  <si>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</si>
  <si>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</si>
  <si>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</si>
  <si>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</si>
  <si>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</si>
  <si>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</si>
  <si>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</si>
  <si>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</si>
  <si>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</si>
  <si>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</si>
  <si>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</si>
  <si>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</si>
  <si>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</si>
  <si>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</si>
  <si>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</si>
  <si>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</si>
  <si>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</si>
  <si>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</si>
  <si>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</si>
  <si>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</si>
  <si>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</si>
  <si>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</si>
  <si>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</si>
  <si>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</si>
  <si>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</si>
  <si>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</si>
  <si>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</si>
  <si>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</si>
  <si>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</si>
  <si>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</si>
  <si>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</si>
  <si>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</si>
  <si>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</si>
  <si>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</si>
  <si>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</si>
  <si>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</si>
  <si>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</si>
  <si>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</si>
  <si>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</si>
  <si>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</si>
  <si>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</si>
  <si>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</si>
  <si>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</si>
  <si>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</si>
  <si>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</si>
  <si>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</si>
  <si>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</si>
  <si>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</si>
  <si>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</si>
  <si>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</si>
  <si>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</si>
  <si>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</si>
  <si>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</si>
  <si>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</si>
  <si>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</si>
  <si>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</si>
  <si>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</si>
  <si>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</si>
  <si>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</si>
  <si>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</si>
  <si>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</si>
  <si>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</si>
  <si>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</si>
  <si>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</si>
  <si>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</si>
  <si>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</si>
  <si>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</si>
  <si>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</si>
  <si>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</si>
  <si>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</si>
  <si>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</si>
  <si>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</si>
  <si>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</si>
  <si>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</si>
  <si>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</si>
  <si>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</si>
  <si>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</si>
  <si>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</si>
  <si>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</si>
  <si>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</si>
  <si>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</si>
  <si>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</si>
  <si>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</si>
  <si>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</si>
  <si>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</si>
  <si>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</si>
  <si>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</si>
  <si>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</si>
  <si>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</si>
  <si>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</si>
  <si>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</si>
  <si>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</si>
  <si>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</si>
  <si>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</si>
  <si>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</si>
  <si>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</si>
  <si>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</si>
  <si>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</si>
  <si>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</si>
  <si>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</si>
  <si>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</si>
  <si>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</si>
  <si>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</si>
  <si>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</si>
  <si>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</si>
  <si>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</si>
  <si>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</si>
  <si>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</si>
  <si>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</si>
  <si>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</si>
  <si>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</si>
  <si>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</si>
  <si>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</si>
  <si>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</si>
  <si>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</si>
  <si>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</si>
  <si>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</si>
  <si>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</si>
  <si>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</si>
  <si>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</si>
  <si>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</si>
  <si>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</si>
  <si>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</si>
  <si>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</si>
  <si>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</si>
  <si>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</si>
  <si>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</si>
  <si>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</si>
  <si>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</si>
  <si>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</si>
  <si>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</si>
  <si>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</si>
  <si>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</si>
  <si>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</si>
  <si>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</si>
  <si>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</si>
  <si>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</si>
  <si>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</si>
  <si>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</si>
  <si>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</si>
  <si>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</si>
  <si>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</si>
  <si>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</si>
  <si>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</si>
  <si>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</si>
  <si>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</si>
  <si>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</si>
  <si>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</si>
  <si>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</si>
  <si>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</si>
  <si>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</si>
  <si>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</si>
  <si>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</si>
  <si>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</si>
  <si>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</si>
  <si>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</si>
  <si>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</si>
  <si>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</si>
  <si>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</si>
  <si>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</si>
  <si>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</si>
  <si>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</si>
  <si>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</si>
  <si>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</si>
  <si>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</si>
  <si>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</si>
  <si>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</si>
  <si>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</si>
  <si>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</si>
  <si>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</si>
  <si>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</si>
  <si>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</si>
  <si>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</si>
  <si>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</si>
  <si>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</si>
  <si>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</si>
  <si>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</si>
  <si>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</si>
  <si>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</si>
  <si>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</si>
  <si>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</si>
  <si>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</si>
  <si>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</si>
  <si>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</si>
  <si>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</si>
  <si>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</si>
  <si>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</si>
  <si>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</si>
  <si>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</si>
  <si>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</si>
  <si>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</si>
  <si>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</si>
  <si>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</si>
  <si>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</si>
  <si>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</si>
  <si>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</si>
  <si>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</si>
  <si>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</si>
  <si>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</si>
  <si>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</si>
  <si>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</si>
  <si>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</si>
  <si>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</si>
  <si>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</si>
  <si>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</si>
  <si>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</si>
  <si>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</si>
  <si>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</si>
  <si>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</si>
  <si>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</si>
  <si>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</si>
  <si>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</si>
  <si>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</si>
  <si>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</si>
  <si>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</si>
  <si>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</si>
  <si>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</si>
  <si>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</si>
  <si>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</si>
  <si>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</si>
  <si>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</si>
  <si>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</si>
  <si>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</si>
  <si>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</si>
  <si>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</si>
  <si>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</si>
  <si>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</si>
  <si>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</si>
  <si>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</si>
  <si>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</si>
  <si>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</si>
  <si>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</si>
  <si>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</si>
  <si>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</si>
  <si>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</si>
  <si>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</si>
  <si>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</si>
  <si>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</si>
  <si>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</si>
  <si>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</si>
  <si>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</si>
  <si>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</si>
  <si>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</si>
  <si>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</si>
  <si>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</si>
  <si>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</si>
  <si>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</si>
  <si>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</si>
  <si>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</si>
  <si>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</si>
  <si>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</si>
  <si>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</si>
  <si>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</si>
  <si>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</si>
  <si>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</si>
  <si>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</si>
  <si>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</si>
  <si>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</si>
  <si>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</si>
  <si>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</si>
  <si>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</si>
  <si>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</si>
  <si>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</si>
  <si>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</si>
  <si>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</si>
  <si>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</si>
  <si>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</si>
  <si>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</si>
  <si>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</si>
  <si>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</si>
  <si>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</si>
  <si>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</si>
  <si>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</si>
  <si>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</si>
  <si>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</si>
  <si>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</si>
  <si>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</si>
  <si>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</si>
  <si>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</si>
  <si>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</si>
  <si>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</si>
  <si>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</si>
  <si>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</si>
  <si>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</si>
  <si>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</si>
  <si>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</si>
  <si>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</si>
  <si>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</si>
  <si>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</si>
  <si>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</si>
  <si>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</si>
  <si>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</si>
  <si>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</si>
  <si>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</si>
  <si>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</si>
  <si>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</si>
  <si>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</si>
  <si>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</si>
  <si>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</si>
  <si>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</si>
  <si>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</si>
  <si>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</si>
  <si>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</si>
  <si>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</si>
  <si>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</si>
  <si>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</si>
  <si>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</si>
  <si>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</si>
  <si>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</si>
  <si>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</si>
  <si>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</si>
  <si>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</si>
  <si>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</si>
  <si>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</si>
  <si>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</si>
  <si>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</si>
  <si>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</si>
  <si>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</si>
  <si>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</si>
  <si>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</si>
  <si>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</si>
  <si>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</si>
  <si>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</si>
  <si>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</si>
  <si>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</si>
  <si>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</si>
  <si>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</si>
  <si>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</si>
  <si>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</si>
  <si>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</si>
  <si>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</si>
  <si>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</si>
  <si>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</si>
  <si>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</si>
  <si>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</si>
  <si>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</si>
  <si>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</si>
  <si>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</si>
  <si>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</si>
  <si>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</si>
  <si>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</si>
  <si>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</si>
  <si>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</si>
  <si>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</si>
  <si>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</si>
  <si>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</si>
  <si>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</si>
  <si>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</si>
  <si>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</si>
  <si>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</si>
  <si>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</si>
  <si>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</si>
  <si>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</si>
  <si>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</si>
  <si>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</si>
  <si>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</si>
  <si>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</si>
  <si>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</si>
  <si>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</si>
  <si>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</si>
  <si>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</si>
  <si>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</si>
  <si>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</si>
  <si>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</si>
  <si>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</si>
  <si>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</si>
  <si>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</si>
  <si>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</si>
  <si>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</si>
  <si>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</si>
  <si>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</si>
  <si>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</si>
  <si>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</si>
  <si>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</si>
  <si>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</si>
  <si>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</si>
  <si>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</si>
  <si>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</si>
  <si>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</si>
  <si>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</si>
  <si>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</si>
  <si>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</si>
  <si>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</si>
  <si>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</si>
  <si>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</si>
  <si>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</si>
  <si>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</si>
  <si>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</si>
  <si>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</si>
  <si>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</si>
  <si>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</si>
  <si>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</si>
  <si>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</si>
  <si>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</si>
  <si>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</si>
  <si>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</si>
  <si>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</si>
  <si>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</si>
  <si>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</si>
  <si>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</si>
  <si>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</si>
  <si>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</si>
  <si>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</si>
  <si>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</si>
  <si>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</si>
  <si>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</si>
  <si>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</si>
  <si>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</si>
  <si>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</si>
  <si>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</si>
  <si>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</si>
  <si>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</si>
  <si>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</si>
  <si>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</si>
  <si>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</si>
  <si>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</si>
  <si>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</si>
  <si>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</si>
  <si>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</si>
  <si>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</si>
  <si>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</si>
  <si>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</si>
  <si>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</si>
  <si>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</si>
  <si>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</si>
  <si>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</si>
  <si>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</si>
  <si>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</si>
  <si>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</si>
  <si>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</si>
  <si>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</si>
  <si>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</si>
  <si>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</si>
  <si>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</si>
  <si>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</si>
  <si>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</si>
  <si>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</si>
  <si>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</si>
  <si>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</si>
  <si>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</si>
  <si>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</si>
  <si>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</si>
  <si>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</si>
  <si>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</si>
  <si>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</si>
  <si>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</si>
  <si>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</si>
  <si>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</si>
  <si>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</si>
  <si>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</si>
  <si>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</si>
  <si>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</si>
  <si>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</si>
  <si>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</si>
  <si>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</si>
  <si>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</si>
  <si>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</si>
  <si>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</si>
  <si>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</si>
  <si>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</si>
  <si>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</si>
  <si>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</si>
  <si>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</si>
  <si>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</si>
  <si>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</si>
  <si>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</si>
  <si>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</si>
  <si>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</si>
  <si>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</si>
  <si>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</si>
  <si>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</si>
  <si>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</si>
  <si>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</si>
  <si>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</si>
  <si>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</si>
  <si>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</si>
  <si>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</si>
  <si>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</si>
  <si>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</si>
  <si>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</si>
  <si>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</si>
  <si>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</si>
  <si>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</si>
  <si>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</si>
  <si>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</si>
  <si>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</si>
  <si>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</si>
  <si>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</si>
  <si>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</si>
  <si>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</si>
  <si>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</si>
  <si>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</si>
  <si>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</si>
  <si>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</si>
  <si>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</si>
  <si>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</si>
  <si>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</si>
  <si>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</si>
  <si>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</si>
  <si>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</si>
  <si>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</si>
  <si>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</si>
  <si>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</si>
  <si>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</si>
  <si>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</si>
  <si>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</si>
  <si>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</si>
  <si>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</si>
  <si>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</si>
  <si>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</si>
  <si>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</si>
  <si>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</si>
  <si>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</si>
  <si>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</si>
  <si>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</si>
  <si>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</si>
  <si>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</si>
  <si>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</si>
  <si>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</si>
  <si>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</si>
  <si>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</si>
  <si>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</si>
  <si>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</si>
  <si>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</si>
  <si>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</si>
  <si>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</si>
  <si>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</si>
  <si>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</si>
  <si>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</si>
  <si>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</si>
  <si>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</si>
  <si>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</si>
  <si>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</si>
  <si>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</si>
  <si>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</si>
  <si>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</si>
  <si>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</si>
  <si>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</si>
  <si>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</si>
  <si>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</si>
  <si>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</si>
  <si>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</si>
  <si>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</si>
  <si>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</si>
  <si>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</si>
  <si>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</si>
  <si>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</si>
  <si>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</si>
  <si>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</si>
  <si>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</si>
  <si>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</si>
  <si>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</si>
  <si>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</si>
  <si>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</si>
  <si>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</si>
  <si>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</si>
  <si>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</si>
  <si>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</si>
  <si>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</si>
  <si>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</si>
  <si>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</si>
  <si>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</si>
  <si>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</si>
  <si>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</si>
  <si>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</si>
  <si>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</si>
  <si>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</si>
  <si>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</si>
  <si>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</si>
  <si>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</si>
  <si>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</si>
  <si>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</si>
  <si>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</si>
  <si>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</si>
  <si>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</si>
  <si>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</si>
  <si>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</si>
  <si>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</si>
  <si>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</si>
  <si>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</si>
  <si>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</si>
  <si>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</si>
  <si>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</si>
  <si>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</si>
  <si>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</si>
  <si>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</si>
  <si>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</si>
  <si>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</si>
  <si>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</si>
  <si>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</si>
  <si>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</si>
  <si>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</si>
  <si>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</si>
  <si>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</si>
  <si>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</si>
  <si>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</si>
  <si>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</si>
  <si>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</si>
  <si>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</si>
  <si>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</si>
  <si>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</si>
  <si>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</si>
  <si>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</si>
  <si>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</si>
  <si>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</si>
  <si>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</si>
  <si>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</si>
  <si>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</si>
  <si>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</si>
  <si>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</si>
  <si>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</si>
  <si>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</si>
  <si>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</si>
  <si>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</si>
  <si>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</si>
  <si>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</si>
  <si>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</si>
  <si>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</si>
  <si>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</si>
  <si>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</si>
  <si>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</si>
  <si>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</si>
  <si>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</si>
  <si>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</si>
  <si>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</si>
  <si>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</si>
  <si>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</si>
  <si>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</si>
  <si>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</si>
  <si>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</si>
  <si>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</si>
  <si>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</si>
  <si>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</si>
  <si>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</si>
  <si>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</si>
  <si>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</si>
  <si>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</si>
  <si>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</si>
  <si>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</si>
  <si>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</si>
  <si>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</si>
  <si>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</si>
  <si>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</si>
  <si>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</si>
  <si>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</si>
  <si>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</si>
  <si>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</si>
  <si>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</si>
  <si>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</si>
  <si>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</si>
  <si>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</si>
  <si>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</si>
  <si>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</si>
  <si>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</si>
  <si>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</si>
  <si>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</si>
  <si>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</si>
  <si>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</si>
  <si>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</si>
  <si>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</si>
  <si>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</si>
  <si>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</si>
  <si>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</si>
  <si>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</si>
  <si>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</si>
  <si>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</si>
  <si>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</si>
  <si>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</si>
  <si>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</si>
  <si>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</si>
  <si>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</si>
  <si>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</si>
  <si>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</si>
  <si>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</si>
  <si>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</si>
  <si>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</si>
  <si>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</si>
  <si>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</si>
  <si>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</si>
  <si>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</si>
  <si>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</si>
  <si>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</si>
  <si>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</si>
  <si>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</si>
  <si>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</si>
  <si>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</si>
  <si>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</si>
  <si>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</si>
  <si>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</si>
  <si>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</si>
  <si>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</si>
  <si>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</si>
  <si>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</si>
  <si>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</si>
  <si>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</si>
  <si>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</si>
  <si>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</si>
  <si>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</si>
  <si>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</si>
  <si>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</si>
  <si>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</si>
  <si>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</si>
  <si>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</si>
  <si>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</si>
  <si>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</si>
  <si>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</si>
  <si>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</si>
  <si>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</si>
  <si>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</si>
  <si>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</si>
  <si>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</si>
  <si>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</si>
  <si>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</si>
  <si>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</si>
  <si>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</si>
  <si>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</si>
  <si>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</si>
  <si>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</si>
  <si>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</si>
  <si>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</si>
  <si>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</si>
  <si>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</si>
  <si>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</si>
  <si>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</si>
  <si>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</si>
  <si>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</si>
  <si>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</si>
  <si>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</si>
  <si>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</si>
  <si>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</si>
  <si>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</si>
  <si>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</si>
  <si>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</si>
  <si>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</si>
  <si>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</si>
  <si>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</si>
  <si>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</si>
  <si>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</si>
  <si>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</si>
  <si>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</si>
  <si>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</si>
  <si>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</si>
  <si>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</si>
  <si>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</si>
  <si>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</si>
  <si>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</si>
  <si>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</si>
  <si>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</si>
  <si>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</si>
  <si>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</si>
  <si>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</si>
  <si>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</si>
  <si>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</si>
  <si>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</si>
  <si>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</si>
  <si>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</si>
  <si>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</si>
  <si>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</si>
  <si>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</si>
  <si>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</si>
  <si>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</si>
  <si>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</si>
  <si>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</si>
  <si>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</si>
  <si>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</si>
  <si>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</si>
  <si>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</si>
  <si>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</si>
  <si>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</si>
  <si>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</si>
  <si>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</si>
  <si>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</si>
  <si>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</si>
  <si>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</si>
  <si>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</si>
  <si>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</si>
  <si>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</si>
  <si>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</si>
  <si>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</si>
  <si>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</si>
  <si>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</si>
  <si>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</si>
  <si>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</si>
  <si>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</si>
  <si>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</si>
  <si>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</si>
  <si>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</si>
  <si>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</si>
  <si>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</si>
  <si>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</si>
  <si>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</si>
  <si>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</si>
  <si>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</si>
  <si>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</si>
  <si>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</si>
  <si>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</si>
  <si>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</si>
  <si>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</si>
  <si>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</si>
  <si>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</si>
  <si>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</si>
  <si>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</si>
  <si>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</si>
  <si>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</si>
  <si>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</si>
  <si>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</si>
  <si>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</si>
  <si>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</si>
  <si>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</si>
  <si>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</si>
  <si>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</si>
  <si>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</si>
  <si>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</si>
  <si>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</si>
  <si>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</si>
  <si>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</si>
  <si>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</si>
  <si>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</si>
  <si>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</si>
  <si>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</si>
  <si>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</si>
  <si>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</si>
  <si>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</si>
  <si>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</si>
  <si>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</si>
  <si>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</si>
  <si>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</si>
  <si>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</si>
  <si>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</si>
  <si>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</si>
  <si>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</si>
  <si>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</si>
  <si>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</si>
  <si>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</si>
  <si>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</si>
  <si>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</si>
  <si>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</si>
  <si>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</si>
  <si>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</si>
  <si>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</si>
  <si>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</si>
  <si>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</si>
  <si>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</si>
  <si>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</si>
  <si>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</si>
  <si>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</si>
  <si>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</si>
  <si>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</si>
  <si>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</si>
  <si>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</si>
  <si>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</si>
  <si>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</si>
  <si>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</si>
  <si>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</si>
  <si>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</si>
  <si>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</si>
  <si>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</si>
  <si>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</si>
  <si>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</si>
  <si>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</si>
  <si>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</si>
  <si>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</si>
  <si>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</si>
  <si>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</si>
  <si>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</si>
  <si>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</si>
  <si>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</si>
  <si>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</si>
  <si>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</si>
  <si>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</si>
  <si>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</si>
  <si>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</si>
  <si>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</si>
  <si>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</si>
  <si>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</si>
  <si>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</si>
  <si>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</si>
  <si>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</si>
  <si>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</si>
  <si>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</si>
  <si>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</si>
  <si>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</si>
  <si>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</si>
  <si>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</si>
  <si>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</si>
  <si>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</si>
  <si>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</si>
  <si>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</si>
  <si>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</si>
  <si>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</si>
  <si>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</si>
  <si>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</si>
  <si>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</si>
  <si>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</si>
  <si>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</si>
  <si>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</si>
  <si>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</si>
  <si>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</si>
  <si>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</si>
  <si>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</si>
  <si>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</si>
  <si>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</si>
  <si>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</si>
  <si>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</si>
  <si>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</si>
  <si>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</si>
  <si>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</si>
  <si>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</si>
  <si>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</si>
  <si>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</si>
  <si>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</si>
  <si>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</si>
  <si>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</si>
  <si>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</si>
  <si>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</si>
  <si>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</si>
  <si>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</si>
  <si>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</si>
  <si>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</si>
  <si>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</si>
  <si>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</si>
  <si>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</si>
  <si>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</si>
  <si>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</si>
  <si>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</si>
  <si>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</si>
  <si>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</si>
  <si>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</si>
  <si>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</si>
  <si>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</si>
  <si>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</si>
  <si>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</si>
  <si>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</si>
  <si>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</si>
  <si>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</si>
  <si>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</si>
  <si>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</si>
  <si>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</si>
  <si>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</si>
  <si>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</si>
  <si>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</si>
  <si>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</si>
  <si>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</si>
  <si>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</si>
  <si>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</si>
  <si>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</si>
  <si>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</si>
  <si>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</si>
  <si>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</si>
  <si>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</si>
  <si>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</si>
  <si>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</si>
  <si>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</si>
  <si>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</si>
  <si>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</si>
  <si>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</si>
  <si>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</si>
  <si>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</si>
  <si>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</si>
  <si>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</si>
  <si>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</si>
  <si>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</si>
  <si>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</si>
  <si>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</si>
  <si>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</si>
  <si>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</si>
  <si>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</si>
  <si>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</si>
  <si>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</si>
  <si>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</si>
  <si>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</si>
  <si>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</si>
  <si>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</si>
  <si>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</si>
  <si>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</si>
  <si>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</si>
  <si>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</si>
  <si>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</si>
  <si>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</si>
  <si>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</si>
  <si>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</si>
  <si>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</si>
  <si>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</si>
  <si>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</si>
  <si>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</si>
  <si>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</si>
  <si>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</si>
  <si>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</si>
  <si>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</si>
  <si>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</si>
  <si>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</si>
  <si>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</si>
  <si>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</si>
  <si>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</si>
  <si>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</si>
  <si>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</si>
  <si>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</si>
  <si>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</si>
  <si>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</si>
  <si>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</si>
  <si>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</si>
  <si>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</si>
  <si>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</si>
  <si>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</si>
  <si>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</si>
  <si>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</si>
  <si>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</si>
  <si>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</si>
  <si>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</si>
  <si>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</si>
  <si>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</si>
  <si>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</si>
  <si>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</si>
  <si>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</si>
  <si>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</si>
  <si>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</si>
  <si>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</si>
  <si>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</si>
  <si>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</si>
  <si>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</si>
  <si>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</si>
  <si>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</si>
  <si>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</si>
  <si>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</si>
  <si>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</si>
  <si>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</si>
  <si>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</si>
  <si>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</si>
  <si>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</si>
  <si>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</si>
  <si>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</si>
  <si>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</si>
  <si>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</si>
  <si>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</si>
  <si>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</si>
  <si>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</si>
  <si>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</si>
  <si>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</si>
  <si>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</si>
  <si>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</si>
  <si>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</si>
  <si>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</si>
  <si>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</si>
  <si>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</si>
  <si>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</si>
  <si>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</si>
  <si>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</si>
  <si>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</si>
  <si>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</si>
  <si>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</si>
  <si>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</si>
  <si>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</si>
  <si>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</si>
  <si>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</si>
  <si>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</si>
  <si>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</si>
  <si>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</si>
  <si>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</si>
  <si>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</si>
  <si>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</si>
  <si>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</si>
  <si>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</si>
  <si>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</si>
  <si>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</si>
  <si>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</si>
  <si>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</si>
  <si>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</si>
  <si>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</si>
  <si>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</si>
  <si>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</si>
  <si>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</si>
  <si>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</si>
  <si>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</si>
  <si>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</si>
  <si>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</si>
  <si>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</si>
  <si>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</si>
  <si>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</si>
  <si>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</si>
  <si>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</si>
  <si>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</si>
  <si>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</si>
  <si>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</si>
  <si>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</si>
  <si>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</si>
  <si>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</si>
  <si>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</si>
  <si>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</si>
  <si>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</si>
  <si>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</si>
  <si>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</si>
  <si>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</si>
  <si>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</si>
  <si>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</si>
  <si>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</si>
  <si>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</si>
  <si>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</si>
  <si>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</si>
  <si>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</si>
  <si>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</si>
  <si>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</si>
  <si>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</si>
  <si>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</si>
  <si>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</si>
  <si>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</si>
  <si>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</si>
  <si>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</si>
  <si>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</si>
  <si>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</si>
  <si>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</si>
  <si>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</si>
  <si>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</si>
  <si>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</si>
  <si>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</si>
  <si>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</si>
  <si>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</si>
  <si>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</si>
  <si>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</si>
  <si>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</si>
  <si>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</si>
  <si>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</si>
  <si>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</si>
  <si>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</si>
  <si>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</si>
  <si>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</si>
  <si>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</si>
  <si>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</si>
  <si>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</si>
  <si>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</si>
  <si>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</si>
  <si>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</si>
  <si>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</si>
  <si>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</si>
  <si>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</si>
  <si>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</si>
  <si>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</si>
  <si>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</si>
  <si>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</si>
  <si>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</si>
  <si>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</si>
  <si>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</si>
  <si>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</si>
  <si>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</si>
  <si>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</si>
  <si>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</si>
  <si>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</si>
  <si>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</si>
  <si>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</si>
  <si>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</si>
  <si>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</si>
  <si>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</si>
  <si>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</si>
  <si>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</si>
  <si>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</si>
  <si>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</si>
  <si>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</si>
  <si>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</si>
  <si>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</si>
  <si>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</si>
  <si>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</si>
  <si>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</si>
  <si>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</si>
  <si>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</si>
  <si>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</si>
  <si>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</si>
  <si>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</si>
  <si>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</si>
  <si>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</si>
  <si>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</si>
  <si>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</si>
  <si>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</si>
  <si>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</si>
  <si>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</si>
  <si>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</si>
  <si>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</si>
  <si>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</si>
  <si>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</si>
  <si>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</si>
  <si>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</si>
  <si>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</si>
  <si>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</si>
  <si>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</si>
  <si>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</si>
  <si>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</si>
  <si>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</si>
  <si>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</si>
  <si>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</si>
  <si>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</si>
  <si>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</si>
  <si>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</si>
  <si>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</si>
  <si>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</si>
  <si>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</si>
  <si>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</si>
  <si>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</si>
  <si>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</si>
  <si>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</si>
  <si>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</si>
  <si>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</si>
  <si>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</si>
  <si>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</si>
  <si>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</si>
  <si>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</si>
  <si>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</si>
  <si>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</si>
  <si>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</si>
  <si>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</si>
  <si>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</si>
  <si>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</si>
  <si>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</si>
  <si>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</si>
  <si>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</si>
  <si>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</si>
  <si>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</si>
  <si>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</si>
  <si>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</si>
  <si>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</si>
  <si>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</si>
  <si>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</si>
  <si>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</si>
  <si>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</si>
  <si>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</si>
  <si>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</si>
  <si>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</si>
  <si>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</si>
  <si>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</si>
  <si>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</si>
  <si>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</si>
  <si>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</si>
  <si>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</si>
  <si>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</si>
  <si>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</si>
  <si>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</si>
  <si>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</si>
  <si>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</si>
  <si>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</si>
  <si>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</si>
  <si>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</si>
  <si>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</si>
  <si>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</si>
  <si>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</si>
  <si>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</si>
  <si>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</si>
  <si>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</si>
  <si>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</si>
  <si>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</si>
  <si>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</si>
  <si>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</si>
  <si>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</si>
  <si>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</si>
  <si>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</si>
  <si>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</si>
  <si>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</si>
  <si>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</si>
  <si>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</si>
  <si>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</si>
  <si>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</si>
  <si>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</si>
  <si>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</si>
  <si>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</si>
  <si>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</si>
  <si>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</si>
  <si>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</si>
  <si>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</si>
  <si>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</si>
  <si>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</si>
  <si>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</si>
  <si>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</si>
  <si>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</si>
  <si>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</si>
  <si>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</si>
  <si>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</si>
  <si>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</si>
  <si>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</si>
  <si>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</si>
  <si>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</si>
  <si>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</si>
  <si>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</si>
  <si>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</si>
  <si>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</si>
  <si>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</si>
  <si>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</si>
  <si>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</si>
  <si>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</si>
  <si>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</si>
  <si>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</si>
  <si>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</si>
  <si>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</si>
  <si>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</si>
  <si>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</si>
  <si>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</si>
  <si>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</si>
  <si>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</si>
  <si>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</si>
  <si>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</si>
  <si>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</si>
  <si>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</si>
  <si>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</si>
  <si>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</si>
  <si>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</si>
  <si>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</si>
  <si>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</si>
  <si>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</si>
  <si>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</si>
  <si>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</si>
  <si>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</si>
  <si>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</si>
  <si>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</si>
  <si>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</si>
  <si>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</si>
  <si>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</si>
  <si>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</si>
  <si>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</si>
  <si>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</si>
  <si>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</si>
  <si>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</si>
  <si>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</si>
  <si>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</si>
  <si>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</si>
  <si>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</si>
  <si>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</si>
  <si>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</si>
  <si>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</si>
  <si>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</si>
  <si>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</si>
  <si>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</si>
  <si>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</si>
  <si>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</si>
  <si>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</si>
  <si>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</si>
  <si>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</si>
  <si>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</si>
  <si>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</si>
  <si>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</si>
  <si>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</si>
  <si>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</si>
  <si>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</si>
  <si>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</si>
  <si>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</si>
  <si>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</si>
  <si>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</si>
  <si>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</si>
  <si>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</si>
  <si>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</si>
  <si>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</si>
  <si>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</si>
  <si>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</si>
  <si>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</si>
  <si>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</si>
  <si>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</si>
  <si>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</si>
  <si>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</si>
  <si>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</si>
  <si>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</si>
  <si>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</si>
  <si>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</si>
  <si>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</si>
  <si>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</si>
  <si>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</si>
  <si>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</si>
  <si>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</si>
  <si>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</si>
  <si>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</si>
  <si>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</si>
  <si>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</si>
  <si>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</si>
  <si>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</si>
  <si>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</si>
  <si>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</si>
  <si>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</si>
  <si>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</si>
  <si>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</si>
  <si>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</si>
  <si>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</si>
  <si>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</si>
  <si>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</si>
  <si>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</si>
  <si>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</si>
  <si>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</si>
  <si>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</si>
  <si>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</si>
  <si>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</si>
  <si>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</si>
  <si>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</si>
  <si>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</si>
  <si>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</si>
  <si>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</si>
  <si>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</si>
  <si>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</si>
  <si>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</si>
  <si>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</si>
  <si>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</si>
  <si>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</si>
  <si>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</si>
  <si>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</si>
  <si>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</si>
  <si>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</si>
  <si>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</si>
  <si>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</si>
  <si>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</si>
  <si>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</si>
  <si>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</si>
  <si>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</si>
  <si>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</si>
  <si>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</si>
  <si>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</si>
  <si>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</si>
  <si>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</si>
  <si>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</si>
  <si>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</si>
  <si>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</si>
  <si>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</si>
  <si>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</si>
  <si>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</si>
  <si>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</si>
  <si>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</si>
  <si>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</si>
  <si>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</si>
  <si>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</si>
  <si>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</si>
  <si>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</si>
  <si>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</si>
  <si>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</si>
  <si>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</si>
  <si>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</si>
  <si>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</si>
  <si>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</si>
  <si>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</si>
  <si>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</si>
  <si>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</si>
  <si>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</si>
  <si>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</si>
  <si>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</si>
  <si>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</si>
  <si>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</si>
  <si>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</si>
  <si>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</si>
  <si>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</si>
  <si>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</si>
  <si>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</si>
  <si>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</si>
  <si>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</si>
  <si>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</si>
  <si>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</si>
  <si>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</si>
  <si>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</si>
  <si>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</si>
  <si>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</si>
  <si>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</si>
  <si>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</si>
  <si>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</si>
  <si>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</si>
  <si>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</si>
  <si>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</si>
  <si>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</si>
  <si>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</si>
  <si>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</si>
  <si>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</si>
  <si>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</si>
  <si>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</si>
  <si>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</si>
  <si>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</si>
  <si>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</si>
  <si>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</si>
  <si>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</si>
  <si>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</si>
  <si>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</si>
  <si>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</si>
  <si>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</si>
  <si>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</si>
  <si>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</si>
  <si>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</si>
  <si>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</si>
  <si>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</si>
  <si>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</si>
  <si>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</si>
  <si>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</si>
  <si>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</si>
  <si>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</si>
  <si>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</si>
  <si>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</si>
  <si>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</si>
  <si>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</si>
  <si>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</si>
  <si>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</si>
  <si>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</si>
  <si>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</si>
  <si>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</si>
  <si>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</si>
  <si>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</si>
  <si>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</si>
  <si>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</si>
  <si>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</si>
  <si>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</si>
  <si>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</si>
  <si>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</si>
  <si>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</si>
  <si>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</si>
  <si>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</si>
  <si>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</si>
  <si>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</si>
  <si>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</si>
  <si>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</si>
  <si>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</si>
  <si>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</si>
  <si>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</si>
  <si>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</si>
  <si>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</si>
  <si>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</si>
  <si>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</si>
  <si>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</si>
  <si>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</si>
  <si>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</si>
  <si>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</si>
  <si>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</si>
  <si>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</si>
  <si>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</si>
  <si>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</si>
  <si>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</si>
  <si>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</si>
  <si>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</si>
  <si>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</si>
  <si>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</si>
  <si>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</si>
  <si>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</si>
  <si>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</si>
  <si>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</si>
  <si>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</si>
  <si>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</si>
  <si>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</si>
  <si>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</si>
  <si>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</si>
  <si>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</si>
  <si>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</si>
  <si>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</si>
  <si>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</si>
  <si>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</si>
  <si>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</si>
  <si>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</si>
  <si>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</si>
  <si>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</si>
  <si>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</si>
  <si>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</si>
  <si>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</si>
  <si>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</si>
  <si>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</si>
  <si>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</si>
  <si>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</si>
  <si>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</si>
  <si>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</si>
  <si>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</si>
  <si>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</si>
  <si>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</si>
  <si>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</si>
  <si>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</si>
  <si>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</si>
  <si>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</si>
  <si>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</si>
  <si>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</si>
  <si>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</si>
  <si>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</si>
  <si>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</si>
  <si>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</si>
  <si>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</si>
  <si>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</si>
  <si>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</si>
  <si>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</si>
  <si>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</si>
  <si>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</si>
  <si>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</si>
  <si>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</si>
  <si>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</si>
  <si>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</si>
  <si>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</si>
  <si>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</si>
  <si>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</si>
  <si>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</si>
  <si>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</si>
  <si>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</si>
  <si>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</si>
  <si>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</si>
  <si>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</si>
  <si>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</si>
  <si>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</si>
  <si>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</si>
  <si>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</si>
  <si>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</si>
  <si>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</si>
  <si>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</si>
  <si>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</si>
  <si>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</si>
  <si>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</si>
  <si>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</si>
  <si>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</si>
  <si>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</si>
  <si>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</si>
  <si>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</si>
  <si>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</si>
  <si>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</si>
  <si>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</si>
  <si>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</si>
  <si>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</si>
  <si>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</si>
  <si>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</si>
  <si>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</si>
  <si>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</si>
  <si>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</si>
  <si>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</si>
  <si>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</si>
  <si>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</si>
  <si>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</si>
  <si>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</si>
  <si>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</si>
  <si>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</si>
  <si>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</si>
  <si>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</si>
  <si>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</si>
  <si>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</si>
  <si>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</si>
  <si>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</si>
  <si>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</si>
  <si>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</si>
  <si>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</si>
  <si>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</si>
  <si>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</si>
  <si>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</si>
  <si>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</si>
  <si>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</si>
  <si>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</si>
  <si>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</si>
  <si>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</si>
  <si>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</si>
  <si>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</si>
  <si>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</si>
  <si>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</si>
  <si>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</si>
  <si>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</si>
  <si>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</si>
  <si>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</si>
  <si>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</si>
  <si>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</si>
  <si>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</si>
  <si>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</si>
  <si>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</si>
  <si>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</si>
  <si>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</si>
  <si>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</si>
  <si>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</si>
  <si>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</si>
  <si>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</si>
  <si>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</si>
  <si>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</si>
  <si>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</si>
  <si>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</si>
  <si>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</si>
  <si>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</si>
  <si>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</si>
  <si>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</si>
  <si>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</si>
  <si>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</si>
  <si>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</si>
  <si>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</si>
  <si>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</si>
  <si>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</si>
  <si>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</si>
  <si>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</si>
  <si>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</si>
  <si>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</si>
  <si>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</si>
  <si>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</si>
  <si>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</si>
  <si>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</si>
  <si>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</si>
  <si>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</si>
  <si>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</si>
  <si>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</si>
  <si>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</si>
  <si>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</si>
  <si>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</si>
  <si>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</si>
  <si>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</si>
  <si>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</si>
  <si>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</si>
  <si>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</si>
  <si>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</si>
  <si>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</si>
  <si>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</si>
  <si>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</si>
  <si>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</si>
  <si>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</si>
  <si>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</si>
  <si>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</si>
  <si>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</si>
  <si>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</si>
  <si>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</si>
  <si>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</si>
  <si>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</si>
  <si>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</si>
  <si>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</si>
  <si>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</si>
  <si>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</si>
  <si>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</si>
  <si>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</si>
  <si>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</si>
  <si>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</si>
  <si>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</si>
  <si>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</si>
  <si>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</si>
  <si>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</si>
  <si>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</si>
  <si>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</si>
  <si>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</si>
  <si>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</si>
  <si>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</si>
  <si>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</si>
  <si>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</si>
  <si>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</si>
  <si>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</si>
  <si>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</si>
  <si>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</si>
  <si>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</si>
  <si>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</si>
  <si>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</si>
  <si>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</si>
  <si>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</si>
  <si>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</si>
  <si>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</si>
  <si>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</si>
  <si>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</si>
  <si>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</si>
  <si>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</si>
  <si>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</si>
  <si>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</si>
  <si>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</si>
  <si>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</si>
  <si>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</si>
  <si>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</si>
  <si>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</si>
  <si>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</si>
  <si>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</si>
  <si>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</si>
  <si>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</si>
  <si>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</si>
  <si>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</si>
  <si>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</si>
  <si>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</si>
  <si>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</si>
  <si>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</si>
  <si>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</si>
  <si>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</si>
  <si>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</si>
  <si>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</si>
  <si>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</si>
  <si>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</si>
  <si>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</si>
  <si>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</si>
  <si>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</si>
  <si>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</si>
  <si>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</si>
  <si>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</si>
  <si>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</si>
  <si>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</si>
  <si>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</si>
  <si>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</si>
  <si>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</si>
  <si>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</si>
  <si>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</si>
  <si>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</si>
  <si>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</si>
  <si>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</si>
  <si>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</si>
  <si>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</si>
  <si>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</si>
  <si>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</si>
  <si>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</si>
  <si>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</si>
  <si>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</si>
  <si>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</si>
  <si>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</si>
  <si>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</si>
  <si>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</si>
  <si>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</si>
  <si>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</si>
  <si>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</si>
  <si>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</si>
  <si>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</si>
  <si>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</si>
  <si>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</si>
  <si>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</si>
  <si>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</si>
  <si>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</si>
  <si>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</si>
  <si>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</si>
  <si>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</si>
  <si>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</si>
  <si>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</si>
  <si>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</si>
  <si>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</si>
  <si>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</si>
  <si>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</si>
  <si>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</si>
  <si>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</si>
  <si>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</si>
  <si>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</si>
  <si>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</si>
  <si>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</si>
  <si>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</si>
  <si>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</si>
  <si>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</si>
  <si>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</si>
  <si>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</si>
  <si>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</si>
  <si>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</si>
  <si>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</si>
  <si>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</si>
  <si>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</si>
  <si>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</si>
  <si>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</si>
  <si>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</si>
  <si>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</si>
  <si>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</si>
  <si>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</si>
  <si>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</si>
  <si>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</si>
  <si>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</si>
  <si>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</si>
  <si>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</si>
  <si>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</si>
  <si>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</si>
  <si>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</si>
  <si>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</si>
  <si>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</si>
  <si>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</si>
  <si>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</si>
  <si>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</si>
  <si>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</si>
  <si>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</si>
  <si>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</si>
  <si>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</si>
  <si>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</si>
  <si>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</si>
  <si>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</si>
  <si>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</si>
  <si>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</si>
  <si>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</si>
  <si>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</si>
  <si>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</si>
  <si>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</si>
  <si>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</si>
  <si>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</si>
  <si>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</si>
  <si>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</si>
  <si>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</si>
  <si>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</si>
  <si>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</si>
  <si>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</si>
  <si>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</si>
  <si>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</si>
  <si>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</si>
  <si>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</si>
  <si>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</si>
  <si>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</si>
  <si>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</si>
  <si>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</si>
  <si>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</si>
  <si>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</si>
  <si>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</si>
  <si>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</si>
  <si>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</si>
  <si>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</si>
  <si>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</si>
  <si>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</si>
  <si>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</si>
  <si>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</si>
  <si>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</si>
  <si>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</si>
  <si>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</si>
  <si>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</si>
  <si>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</si>
  <si>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</si>
  <si>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</si>
  <si>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</si>
  <si>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</si>
  <si>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</si>
  <si>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</si>
  <si>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</si>
  <si>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</si>
  <si>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</si>
  <si>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</si>
  <si>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</si>
  <si>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</si>
  <si>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</si>
  <si>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</si>
  <si>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</si>
  <si>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</si>
  <si>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</si>
  <si>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</si>
  <si>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</si>
  <si>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</si>
  <si>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</si>
  <si>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</si>
  <si>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</si>
  <si>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</si>
  <si>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</si>
  <si>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</si>
  <si>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</si>
  <si>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</si>
  <si>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</si>
  <si>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</si>
  <si>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</si>
  <si>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</si>
  <si>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</si>
  <si>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</si>
  <si>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</si>
  <si>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</si>
  <si>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</si>
  <si>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</si>
  <si>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</si>
  <si>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</si>
  <si>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</si>
  <si>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</si>
  <si>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</si>
  <si>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</si>
  <si>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</si>
  <si>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</si>
  <si>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</si>
  <si>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</si>
  <si>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</si>
  <si>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</si>
  <si>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</si>
  <si>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</si>
  <si>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</si>
  <si>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</si>
  <si>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</si>
  <si>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</si>
  <si>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</si>
  <si>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</si>
  <si>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</si>
  <si>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</si>
  <si>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</si>
  <si>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</si>
  <si>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</si>
  <si>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</si>
  <si>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</si>
  <si>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</si>
  <si>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</si>
  <si>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</si>
  <si>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</si>
  <si>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</si>
  <si>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</si>
  <si>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</si>
  <si>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</si>
  <si>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</si>
  <si>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</si>
  <si>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</si>
  <si>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</si>
  <si>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</si>
  <si>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</si>
  <si>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</si>
  <si>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</si>
  <si>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</si>
  <si>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</si>
  <si>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</si>
  <si>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</si>
  <si>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</si>
  <si>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</si>
  <si>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</si>
  <si>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</si>
  <si>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</si>
  <si>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</si>
  <si>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</si>
  <si>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</si>
  <si>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</si>
  <si>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</si>
  <si>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</si>
  <si>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</si>
  <si>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</si>
  <si>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</si>
  <si>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</si>
  <si>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</si>
  <si>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</si>
  <si>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</si>
  <si>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</si>
  <si>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</si>
  <si>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</si>
  <si>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</si>
  <si>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</si>
  <si>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</si>
  <si>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</si>
  <si>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</si>
  <si>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</si>
  <si>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</si>
  <si>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</si>
  <si>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</si>
  <si>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</si>
  <si>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</si>
  <si>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</si>
  <si>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</si>
  <si>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</si>
  <si>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</si>
  <si>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</si>
  <si>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</si>
  <si>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</si>
  <si>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</si>
  <si>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</si>
  <si>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</si>
  <si>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</si>
  <si>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</si>
  <si>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</si>
  <si>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</si>
  <si>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</si>
  <si>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</si>
  <si>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</si>
  <si>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</si>
  <si>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</si>
  <si>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</si>
  <si>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</si>
  <si>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</si>
  <si>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</si>
  <si>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</si>
  <si>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</si>
  <si>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</si>
  <si>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</si>
  <si>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</si>
  <si>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</si>
  <si>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</si>
  <si>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</si>
  <si>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</si>
  <si>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</si>
  <si>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</si>
  <si>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</si>
  <si>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</si>
  <si>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</si>
  <si>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</si>
  <si>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</si>
  <si>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</si>
  <si>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</si>
  <si>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</si>
  <si>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</si>
  <si>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</si>
  <si>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</si>
  <si>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</si>
  <si>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</si>
  <si>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</si>
  <si>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</si>
  <si>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</si>
  <si>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</si>
  <si>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</si>
  <si>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</si>
  <si>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</si>
  <si>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</si>
  <si>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</si>
  <si>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</si>
  <si>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</si>
  <si>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</si>
  <si>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</si>
  <si>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</si>
  <si>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</si>
  <si>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</si>
  <si>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</si>
  <si>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</si>
  <si>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</si>
  <si>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</si>
  <si>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</si>
  <si>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</si>
  <si>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</si>
  <si>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</si>
  <si>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</si>
  <si>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</si>
  <si>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</si>
  <si>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</si>
  <si>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</si>
  <si>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</si>
  <si>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</si>
  <si>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</si>
  <si>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</si>
  <si>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</si>
  <si>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</si>
  <si>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</si>
  <si>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</si>
  <si>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</si>
  <si>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</si>
  <si>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</si>
  <si>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</si>
  <si>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</si>
  <si>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</si>
  <si>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</si>
  <si>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</si>
  <si>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</si>
  <si>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</si>
  <si>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</si>
  <si>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</si>
  <si>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</si>
  <si>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</si>
  <si>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</si>
  <si>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</si>
  <si>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</si>
  <si>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</si>
  <si>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</si>
  <si>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</si>
  <si>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</si>
  <si>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</si>
  <si>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</si>
  <si>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</si>
  <si>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</si>
  <si>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</si>
  <si>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</si>
  <si>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</si>
  <si>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</si>
  <si>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</si>
  <si>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</si>
  <si>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</si>
  <si>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</si>
  <si>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</si>
  <si>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</si>
  <si>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</si>
  <si>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</si>
  <si>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</si>
  <si>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</si>
  <si>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</si>
  <si>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</si>
  <si>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</si>
  <si>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</si>
  <si>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</si>
  <si>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</si>
  <si>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</si>
  <si>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</si>
  <si>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</si>
  <si>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</si>
  <si>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</si>
  <si>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</si>
  <si>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</si>
  <si>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</si>
  <si>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</si>
  <si>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</si>
  <si>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</si>
  <si>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</si>
  <si>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</si>
  <si>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</si>
  <si>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</si>
  <si>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</si>
  <si>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</si>
  <si>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</si>
  <si>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</si>
  <si>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</si>
  <si>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</si>
  <si>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</si>
  <si>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</si>
  <si>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</si>
  <si>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</si>
  <si>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</si>
  <si>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</si>
  <si>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</si>
  <si>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</si>
  <si>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</si>
  <si>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</si>
  <si>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</si>
  <si>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</si>
  <si>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</si>
  <si>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</si>
  <si>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</si>
  <si>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</si>
  <si>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</si>
  <si>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</si>
  <si>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</si>
  <si>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</si>
  <si>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</si>
  <si>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</si>
  <si>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</si>
  <si>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</si>
  <si>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</si>
  <si>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</si>
  <si>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</si>
  <si>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</si>
  <si>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</si>
  <si>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</si>
  <si>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</si>
  <si>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</si>
  <si>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</si>
  <si>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</si>
  <si>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</si>
  <si>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</si>
  <si>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</si>
  <si>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</si>
  <si>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</si>
  <si>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</si>
  <si>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</si>
  <si>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</si>
  <si>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</si>
  <si>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</si>
  <si>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</si>
  <si>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</si>
  <si>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</si>
  <si>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</si>
  <si>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</si>
  <si>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</si>
  <si>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</si>
  <si>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</si>
  <si>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</si>
  <si>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</si>
  <si>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</si>
  <si>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</si>
  <si>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</si>
  <si>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</si>
  <si>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</si>
  <si>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</si>
  <si>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</si>
  <si>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</si>
  <si>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</si>
  <si>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</si>
  <si>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</si>
  <si>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</si>
  <si>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</si>
  <si>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</si>
  <si>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</si>
  <si>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</si>
  <si>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</si>
  <si>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</si>
  <si>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</si>
  <si>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</si>
  <si>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</si>
  <si>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</si>
  <si>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</si>
  <si>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</si>
  <si>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</si>
  <si>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</si>
  <si>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</si>
  <si>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</si>
  <si>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</si>
  <si>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</si>
  <si>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</si>
  <si>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</si>
  <si>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</si>
  <si>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</si>
  <si>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</si>
  <si>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</si>
  <si>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</si>
  <si>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</si>
  <si>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</si>
  <si>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</si>
  <si>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</si>
  <si>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</si>
  <si>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</si>
  <si>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</si>
  <si>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</si>
  <si>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</si>
  <si>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</si>
  <si>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</si>
  <si>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</si>
  <si>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</si>
  <si>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</si>
  <si>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</si>
  <si>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</si>
  <si>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</si>
  <si>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</si>
  <si>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</si>
  <si>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</si>
  <si>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</si>
  <si>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</si>
  <si>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</si>
  <si>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</si>
  <si>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</si>
  <si>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</si>
  <si>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</si>
  <si>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</si>
  <si>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</si>
  <si>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</si>
  <si>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</si>
  <si>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</si>
  <si>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</si>
  <si>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</si>
  <si>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</si>
  <si>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</si>
  <si>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</si>
  <si>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</si>
  <si>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</si>
  <si>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</si>
  <si>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</si>
  <si>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</si>
  <si>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</si>
  <si>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</si>
  <si>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</si>
  <si>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</si>
  <si>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</si>
  <si>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</si>
  <si>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</si>
  <si>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</si>
  <si>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</si>
  <si>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</si>
  <si>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</si>
  <si>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</si>
  <si>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</si>
  <si>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</si>
  <si>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</si>
  <si>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</si>
  <si>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</si>
  <si>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</si>
  <si>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</si>
  <si>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</si>
  <si>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</si>
  <si>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</si>
  <si>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</si>
  <si>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</si>
  <si>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</si>
  <si>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</si>
  <si>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</si>
  <si>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</si>
  <si>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</si>
  <si>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</si>
  <si>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</si>
  <si>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</si>
  <si>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</si>
  <si>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</si>
  <si>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</si>
  <si>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</si>
  <si>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</si>
  <si>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</si>
  <si>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</si>
  <si>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</si>
  <si>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</si>
  <si>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</si>
  <si>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</si>
  <si>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</si>
  <si>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</si>
  <si>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</si>
  <si>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</si>
  <si>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</si>
  <si>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</si>
  <si>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</si>
  <si>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</si>
  <si>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</si>
  <si>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</si>
  <si>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</si>
  <si>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</si>
  <si>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</si>
  <si>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</si>
  <si>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</si>
  <si>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</si>
  <si>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</si>
  <si>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</si>
  <si>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</si>
  <si>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</si>
  <si>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</si>
  <si>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</si>
  <si>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</si>
  <si>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</si>
  <si>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</si>
  <si>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</si>
  <si>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</si>
  <si>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</si>
  <si>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</si>
  <si>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</si>
  <si>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</si>
  <si>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</si>
  <si>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</si>
  <si>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</si>
  <si>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</si>
  <si>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</si>
  <si>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</si>
  <si>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</si>
  <si>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</si>
  <si>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</si>
  <si>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</si>
  <si>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</si>
  <si>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</si>
  <si>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</si>
  <si>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</si>
  <si>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</si>
  <si>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</si>
  <si>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</si>
  <si>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</si>
  <si>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</si>
  <si>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</si>
  <si>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</si>
  <si>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</si>
  <si>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</si>
  <si>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</si>
  <si>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</si>
  <si>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</si>
  <si>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</si>
  <si>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</si>
  <si>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</si>
  <si>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</si>
  <si>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</si>
  <si>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</si>
  <si>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</si>
  <si>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</si>
  <si>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</si>
  <si>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</si>
  <si>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</si>
  <si>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</si>
  <si>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</si>
  <si>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</si>
  <si>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</si>
  <si>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</si>
  <si>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</si>
  <si>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</si>
  <si>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</si>
  <si>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</si>
  <si>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</si>
  <si>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</si>
  <si>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</si>
  <si>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</si>
  <si>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</si>
  <si>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</si>
  <si>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</si>
  <si>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</si>
  <si>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</si>
  <si>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</si>
  <si>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</si>
  <si>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</si>
  <si>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</si>
  <si>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</si>
  <si>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</si>
  <si>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</si>
  <si>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</si>
  <si>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</si>
  <si>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</si>
  <si>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</si>
  <si>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</si>
  <si>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</si>
  <si>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</si>
  <si>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</si>
  <si>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</si>
  <si>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</si>
  <si>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</si>
  <si>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</si>
  <si>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</si>
  <si>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</si>
  <si>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</si>
  <si>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</si>
  <si>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</si>
  <si>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</si>
  <si>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</si>
  <si>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</si>
  <si>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</si>
  <si>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</si>
  <si>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</si>
  <si>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</si>
  <si>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</si>
  <si>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</si>
  <si>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</si>
  <si>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</si>
  <si>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</si>
  <si>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</si>
  <si>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</si>
  <si>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</si>
  <si>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</si>
  <si>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</si>
  <si>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</si>
  <si>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</si>
  <si>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</si>
  <si>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</si>
  <si>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</si>
  <si>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</si>
  <si>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</si>
  <si>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</si>
  <si>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</si>
  <si>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</si>
  <si>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</si>
  <si>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</si>
  <si>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</si>
  <si>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</si>
  <si>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</si>
  <si>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</si>
  <si>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</si>
  <si>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</si>
  <si>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</si>
  <si>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</si>
  <si>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</si>
  <si>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</si>
  <si>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</si>
  <si>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</si>
  <si>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</si>
  <si>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</si>
  <si>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</si>
  <si>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</si>
  <si>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</si>
  <si>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</si>
  <si>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</si>
  <si>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</si>
  <si>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</si>
  <si>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</si>
  <si>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</si>
  <si>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</si>
  <si>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</si>
  <si>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</si>
  <si>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</si>
  <si>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</si>
  <si>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</si>
  <si>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</si>
  <si>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</si>
  <si>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</si>
  <si>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</si>
  <si>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</si>
  <si>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</si>
  <si>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</si>
  <si>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</si>
  <si>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</si>
  <si>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</si>
  <si>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</si>
  <si>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</si>
  <si>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</si>
  <si>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</si>
  <si>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</si>
  <si>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</si>
  <si>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</si>
  <si>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</si>
  <si>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</si>
  <si>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</si>
  <si>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</si>
  <si>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</si>
  <si>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</si>
  <si>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</si>
  <si>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</si>
  <si>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</si>
  <si>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</si>
  <si>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</si>
  <si>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</si>
  <si>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</si>
  <si>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</si>
  <si>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</si>
  <si>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</si>
  <si>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</si>
  <si>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</si>
  <si>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</si>
  <si>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</si>
  <si>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</si>
  <si>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</si>
  <si>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</si>
  <si>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</si>
  <si>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</si>
  <si>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</si>
  <si>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</si>
  <si>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</si>
  <si>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</si>
  <si>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</si>
  <si>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</si>
  <si>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</si>
  <si>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</si>
  <si>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</si>
  <si>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</si>
  <si>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</si>
  <si>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</si>
  <si>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</si>
  <si>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</si>
  <si>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</si>
  <si>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</si>
  <si>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</si>
  <si>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</si>
  <si>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</si>
  <si>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</si>
  <si>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</si>
  <si>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</si>
  <si>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</si>
  <si>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</si>
  <si>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</si>
  <si>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</si>
  <si>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</si>
  <si>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</si>
  <si>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</si>
  <si>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</si>
  <si>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</si>
  <si>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</si>
  <si>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</si>
  <si>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</si>
  <si>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</si>
  <si>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</si>
  <si>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</si>
  <si>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</si>
  <si>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</si>
  <si>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</si>
  <si>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</si>
  <si>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</si>
  <si>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</si>
  <si>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</si>
  <si>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</si>
  <si>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</si>
  <si>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</si>
  <si>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</si>
  <si>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</si>
  <si>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</si>
  <si>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</si>
  <si>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</si>
  <si>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</si>
  <si>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</si>
  <si>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</si>
  <si>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</si>
  <si>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</si>
  <si>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</si>
  <si>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</si>
  <si>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</si>
  <si>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</si>
  <si>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</si>
  <si>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</si>
  <si>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</si>
  <si>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</si>
  <si>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</si>
  <si>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</si>
  <si>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</si>
  <si>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</si>
  <si>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</si>
  <si>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</si>
  <si>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</si>
  <si>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</si>
  <si>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</si>
  <si>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</si>
  <si>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</si>
  <si>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</si>
  <si>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</si>
  <si>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</si>
  <si>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</si>
  <si>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</si>
  <si>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</si>
  <si>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</si>
  <si>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</si>
  <si>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</si>
  <si>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</si>
  <si>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</si>
  <si>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</si>
  <si>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</si>
  <si>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</si>
  <si>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</si>
  <si>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</si>
  <si>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</si>
  <si>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</si>
  <si>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</si>
  <si>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</si>
  <si>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</si>
  <si>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</si>
  <si>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</si>
  <si>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</si>
  <si>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</si>
  <si>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</si>
  <si>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</si>
  <si>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</si>
  <si>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</si>
  <si>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</si>
  <si>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</si>
  <si>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</si>
  <si>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</si>
  <si>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</si>
  <si>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</si>
  <si>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</si>
  <si>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</si>
  <si>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</si>
  <si>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</si>
  <si>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</si>
  <si>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</si>
  <si>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</si>
  <si>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</si>
  <si>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</si>
  <si>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</si>
  <si>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</si>
  <si>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</si>
  <si>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</si>
  <si>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</si>
  <si>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</si>
  <si>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</si>
  <si>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</si>
  <si>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</si>
  <si>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</si>
  <si>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</si>
  <si>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</si>
  <si>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</si>
  <si>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</si>
  <si>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</si>
  <si>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</si>
  <si>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</si>
  <si>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</si>
  <si>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</si>
  <si>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</si>
  <si>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</si>
  <si>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</si>
  <si>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</si>
  <si>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</si>
  <si>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</si>
  <si>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</si>
  <si>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</si>
  <si>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</si>
  <si>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</si>
  <si>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</si>
  <si>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</si>
  <si>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</si>
  <si>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</si>
  <si>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</si>
  <si>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</si>
  <si>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</si>
  <si>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</si>
  <si>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</si>
  <si>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</si>
  <si>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</si>
  <si>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</si>
  <si>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</si>
  <si>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</si>
  <si>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</si>
  <si>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</si>
  <si>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</si>
  <si>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</si>
  <si>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</si>
  <si>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</si>
  <si>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</si>
  <si>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</si>
  <si>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</si>
  <si>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</si>
  <si>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</si>
  <si>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</si>
  <si>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</si>
  <si>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</si>
  <si>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</si>
  <si>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</si>
  <si>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</si>
  <si>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</si>
  <si>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</si>
  <si>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</si>
  <si>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</si>
  <si>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</si>
  <si>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</si>
  <si>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</si>
  <si>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</si>
  <si>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</si>
  <si>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</si>
  <si>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</si>
  <si>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</si>
  <si>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</si>
  <si>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</si>
  <si>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</si>
  <si>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</si>
  <si>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</si>
  <si>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</si>
  <si>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</si>
  <si>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</si>
  <si>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</si>
  <si>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</si>
  <si>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</si>
  <si>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</si>
  <si>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</si>
  <si>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</si>
  <si>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</si>
  <si>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</si>
  <si>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</si>
  <si>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</si>
  <si>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</si>
  <si>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</si>
  <si>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</si>
  <si>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</si>
  <si>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</si>
  <si>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</si>
  <si>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</si>
  <si>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</si>
  <si>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</si>
  <si>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</si>
  <si>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</si>
  <si>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</si>
  <si>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</si>
  <si>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</si>
  <si>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</si>
  <si>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</si>
  <si>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</si>
  <si>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</si>
  <si>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</si>
  <si>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</si>
  <si>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</si>
  <si>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</si>
  <si>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</si>
  <si>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</si>
  <si>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</si>
  <si>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</si>
  <si>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</si>
  <si>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</si>
  <si>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</si>
  <si>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</si>
  <si>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</si>
  <si>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</si>
  <si>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</si>
  <si>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</si>
  <si>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</si>
  <si>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</si>
  <si>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</si>
  <si>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</si>
  <si>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</si>
  <si>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</si>
  <si>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</si>
  <si>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</si>
  <si>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</si>
  <si>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</si>
  <si>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</si>
  <si>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</si>
  <si>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</si>
  <si>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</si>
  <si>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</si>
  <si>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</si>
  <si>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</si>
  <si>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</si>
  <si>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</si>
  <si>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</si>
  <si>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</si>
  <si>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</si>
  <si>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</si>
  <si>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</si>
  <si>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</si>
  <si>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</si>
  <si>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</si>
  <si>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</si>
  <si>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</si>
  <si>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</si>
  <si>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</si>
  <si>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</si>
  <si>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</si>
  <si>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</si>
  <si>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</si>
  <si>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</si>
  <si>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</si>
  <si>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</si>
  <si>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</si>
  <si>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</si>
  <si>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</si>
  <si>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</si>
  <si>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</si>
  <si>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</si>
  <si>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</si>
  <si>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</si>
  <si>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</si>
  <si>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</si>
  <si>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</si>
  <si>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</si>
  <si>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</si>
  <si>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</si>
  <si>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</si>
  <si>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</si>
  <si>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</si>
  <si>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</si>
  <si>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</si>
  <si>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</si>
  <si>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</si>
  <si>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</si>
  <si>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</si>
  <si>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</si>
  <si>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</si>
  <si>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</si>
  <si>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</si>
  <si>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</si>
  <si>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</si>
  <si>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</si>
  <si>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</si>
  <si>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</si>
  <si>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</si>
  <si>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</si>
  <si>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</si>
  <si>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</si>
  <si>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</si>
  <si>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</si>
  <si>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</si>
  <si>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</si>
  <si>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</si>
  <si>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</si>
  <si>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</si>
  <si>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</si>
  <si>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</si>
  <si>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</si>
  <si>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</si>
  <si>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</si>
  <si>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</si>
  <si>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</si>
  <si>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</si>
  <si>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</si>
  <si>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</si>
  <si>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</si>
  <si>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</si>
  <si>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</si>
  <si>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</si>
  <si>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</si>
  <si>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</si>
  <si>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</si>
  <si>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</si>
  <si>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</si>
  <si>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</si>
  <si>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</si>
  <si>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</si>
  <si>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</si>
  <si>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</si>
  <si>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</si>
  <si>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</si>
  <si>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</si>
  <si>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</si>
  <si>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</si>
  <si>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</si>
  <si>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</si>
  <si>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</si>
  <si>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</si>
  <si>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</si>
  <si>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</si>
  <si>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</si>
  <si>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</si>
  <si>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</si>
  <si>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</si>
  <si>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</si>
  <si>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</si>
  <si>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</si>
  <si>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</si>
  <si>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</si>
  <si>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</si>
  <si>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</si>
  <si>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</si>
  <si>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</si>
  <si>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</si>
  <si>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</si>
  <si>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</si>
  <si>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</si>
  <si>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</si>
  <si>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</si>
  <si>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</si>
  <si>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</si>
  <si>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</si>
  <si>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</si>
  <si>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</si>
  <si>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</si>
  <si>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</si>
  <si>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</si>
  <si>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</si>
  <si>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</si>
  <si>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</si>
  <si>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</si>
  <si>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</si>
  <si>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</si>
  <si>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</si>
  <si>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</si>
  <si>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</si>
  <si>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</si>
  <si>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</si>
  <si>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</si>
  <si>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</si>
  <si>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</si>
  <si>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</si>
  <si>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</si>
  <si>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</si>
  <si>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</si>
  <si>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</si>
  <si>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</si>
  <si>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</si>
  <si>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</si>
  <si>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</si>
  <si>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</si>
  <si>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</si>
  <si>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</si>
  <si>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</si>
  <si>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</si>
  <si>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</si>
  <si>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</si>
  <si>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</si>
  <si>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</si>
  <si>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</si>
  <si>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</si>
  <si>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</si>
  <si>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</si>
  <si>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</si>
  <si>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</si>
  <si>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</si>
  <si>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</si>
  <si>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</si>
  <si>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</si>
  <si>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</si>
  <si>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</si>
  <si>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</si>
  <si>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</si>
  <si>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</si>
  <si>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</si>
  <si>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</si>
  <si>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</si>
  <si>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</si>
  <si>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</si>
  <si>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</si>
  <si>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</si>
  <si>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</si>
  <si>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</si>
  <si>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</si>
  <si>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</si>
  <si>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</si>
  <si>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</si>
  <si>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</si>
  <si>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</si>
  <si>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</si>
  <si>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</si>
  <si>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</si>
  <si>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</si>
  <si>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</si>
  <si>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</si>
  <si>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</si>
  <si>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</si>
  <si>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</si>
  <si>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</si>
  <si>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</si>
  <si>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</si>
  <si>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</si>
  <si>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</si>
  <si>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</si>
  <si>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</si>
  <si>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</si>
  <si>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</si>
  <si>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</si>
  <si>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</si>
  <si>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</si>
  <si>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</si>
  <si>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</si>
  <si>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</si>
  <si>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</si>
  <si>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</si>
  <si>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</si>
  <si>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</si>
  <si>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</si>
  <si>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</si>
  <si>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</si>
  <si>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</si>
  <si>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</si>
  <si>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</si>
  <si>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</si>
  <si>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</si>
  <si>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</si>
  <si>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</si>
  <si>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</si>
  <si>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</si>
  <si>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</si>
  <si>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</si>
  <si>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</si>
  <si>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</si>
  <si>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</si>
  <si>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</si>
  <si>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</si>
  <si>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</si>
  <si>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</si>
  <si>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</si>
  <si>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</si>
  <si>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</si>
  <si>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</si>
  <si>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</si>
  <si>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</si>
  <si>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</si>
  <si>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</si>
  <si>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</si>
  <si>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</si>
  <si>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</si>
  <si>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</si>
  <si>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</si>
  <si>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</si>
  <si>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</si>
  <si>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</si>
  <si>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</si>
  <si>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</si>
  <si>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</si>
  <si>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</si>
  <si>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</si>
  <si>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</si>
  <si>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</si>
  <si>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</si>
  <si>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</si>
  <si>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</si>
  <si>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</si>
  <si>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</si>
  <si>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</si>
  <si>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</si>
  <si>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</si>
  <si>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</si>
  <si>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</si>
  <si>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</si>
  <si>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</si>
  <si>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</si>
  <si>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</si>
  <si>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</si>
  <si>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</si>
  <si>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</si>
  <si>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</si>
  <si>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</si>
  <si>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</si>
  <si>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</si>
  <si>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</si>
  <si>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</si>
  <si>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</si>
  <si>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</si>
  <si>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</si>
  <si>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</si>
  <si>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</si>
  <si>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</si>
  <si>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</si>
  <si>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</si>
  <si>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</si>
  <si>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</si>
  <si>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</si>
  <si>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</si>
  <si>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</si>
  <si>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</si>
  <si>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</si>
  <si>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</si>
  <si>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</si>
  <si>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</si>
  <si>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</si>
  <si>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</si>
  <si>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</si>
  <si>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</si>
  <si>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</si>
  <si>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</si>
  <si>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</si>
  <si>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</si>
  <si>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</si>
  <si>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</si>
  <si>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</si>
  <si>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</si>
  <si>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</si>
  <si>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</si>
  <si>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</si>
  <si>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</si>
  <si>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</si>
  <si>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</si>
  <si>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</si>
  <si>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</si>
  <si>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</si>
  <si>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</si>
  <si>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</si>
  <si>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</si>
  <si>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</si>
  <si>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</si>
  <si>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</si>
  <si>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</si>
  <si>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</si>
  <si>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</si>
  <si>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</si>
  <si>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</si>
  <si>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</si>
  <si>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</si>
  <si>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</si>
  <si>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</si>
  <si>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</si>
  <si>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</si>
  <si>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</si>
  <si>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</si>
  <si>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</si>
  <si>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</si>
  <si>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</si>
  <si>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</si>
  <si>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</si>
  <si>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</si>
  <si>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</si>
  <si>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</si>
  <si>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</si>
  <si>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</si>
  <si>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</si>
  <si>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</si>
  <si>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</si>
  <si>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</si>
  <si>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</si>
  <si>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</si>
  <si>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</si>
  <si>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</si>
  <si>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</si>
  <si>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</si>
  <si>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</si>
  <si>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</si>
  <si>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</si>
  <si>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</si>
  <si>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</si>
  <si>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</si>
  <si>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</si>
  <si>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</si>
  <si>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</si>
  <si>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</si>
  <si>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</si>
  <si>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</si>
  <si>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</si>
  <si>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</si>
  <si>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</si>
  <si>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</si>
  <si>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</si>
  <si>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</si>
  <si>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</si>
  <si>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</si>
  <si>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</si>
  <si>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Cinthia Thais de Carvalho Luz Thomazi; Fernanda Viana de Souza; Luiz Felipe Tenório de Lima Gondim; Yasmin Carla Marchioro Silverio; Karine Caroline de Oliveira; Abdiel Andrade; Ana Cristina Borges Carvalho</t>
  </si>
  <si>
    <t>Ana Cristina Borges Carvalho; Cinthia Thais de Carvalho Luz Thomazi; Fernanda Viana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</si>
</sst>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H1" zoomScaleNormal="100" workbookViewId="0">
      <pane ySplit="1" topLeftCell="A710" activePane="bottomLeft" state="frozen"/>
      <selection pane="bottomLeft" activeCell="T717" sqref="T71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3258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3259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Cinthia Thais de Carvalho Luz Thomazi; Fernanda Viana de Souza; Luiz Felipe Tenório de Lima Gondim; Yasmin Carla Marchioro Silverio; Karine Caroline de Oliveira; Abdiel Andrade; Ana Cristina Borges Carvalho</v>
      </c>
      <c r="R48">
        <f ca="1"/>
        <v>7</v>
      </c>
      <c r="S48">
        <f ca="1"/>
        <v>102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</v>
      </c>
      <c r="R49">
        <f ca="1"/>
        <v>3</v>
      </c>
      <c r="S49">
        <f ca="1"/>
        <v>105</v>
      </c>
      <c r="T49">
        <f ca="1"/>
        <v>102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Cinthia Thais de Carvalho Luz Thomazi</v>
      </c>
      <c r="G97">
        <f ca="1"/>
        <v>7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Fernanda Viana de Souza</v>
      </c>
      <c r="G98">
        <f ca="1"/>
        <v>7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Luiz Felipe Tenório de Lima Gondim</v>
      </c>
      <c r="G99">
        <f ca="1"/>
        <v>7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Yasmin Carla Marchioro Silverio</v>
      </c>
      <c r="G100">
        <f ca="1"/>
        <v>7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Karine Caroline de Oliveira</v>
      </c>
      <c r="G101">
        <f ca="1"/>
        <v>7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2026-059</v>
      </c>
      <c r="C102" t="str">
        <f ca="1"/>
        <v>A realizar</v>
      </c>
      <c r="D102" t="str">
        <f ca="1"/>
        <v>TCendo o Futuro 5</v>
      </c>
      <c r="E102">
        <f ca="1"/>
        <v>4</v>
      </c>
      <c r="F102" t="str">
        <f ca="1"/>
        <v>Abdiel Andrade</v>
      </c>
      <c r="G102">
        <f ca="1"/>
        <v>7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A realizar</v>
      </c>
      <c r="D103" t="str">
        <f ca="1"/>
        <v>TCendo o Futuro 5</v>
      </c>
      <c r="E103">
        <f ca="1"/>
        <v>4</v>
      </c>
      <c r="F103" t="str">
        <f ca="1"/>
        <v>Ana Cristina Borges Carvalho</v>
      </c>
      <c r="G103">
        <f ca="1"/>
        <v>7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Ana Cristina Borges Carvalho</v>
      </c>
      <c r="G104">
        <f ca="1"/>
        <v>3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Cinthia Thais de Carvalho Luz Thomazi</v>
      </c>
      <c r="G105">
        <f ca="1"/>
        <v>3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Fernanda Viana de Souza</v>
      </c>
      <c r="G106">
        <f ca="1"/>
        <v>3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A realizar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A realizar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5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4</v>
      </c>
      <c r="C6" s="25">
        <f ca="1">IF($A6="","",SUMIFS('GECC 2026'!I$2:I$200,'GECC 2026'!F$2:F$200,$A6))</f>
        <v>1.2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5.2</v>
      </c>
      <c r="F6" s="23">
        <f ca="1">IF($A6="","",COUNTIFS('GECC 2026'!F$2:F$200,$A6))</f>
        <v>1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12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15.600000000000001</v>
      </c>
      <c r="F7" s="23">
        <f ca="1">IF($A7="","",COUNTIFS('GECC 2026'!F$2:F$200,$A7))</f>
        <v>3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47</v>
      </c>
      <c r="C18" s="25">
        <f ca="1">IF($A18="","",SUMIFS('GECC 2026'!I$2:I$200,'GECC 2026'!F$2:F$200,$A18))</f>
        <v>10.499999999999998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57.500000000000014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24.099999999999998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37</v>
      </c>
      <c r="C28" s="25">
        <f ca="1">IF($A28="","",SUMIFS('GECC 2026'!I$2:I$200,'GECC 2026'!F$2:F$200,$A28))</f>
        <v>11.100000000000001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48.099999999999994</v>
      </c>
      <c r="F28" s="23">
        <f ca="1">IF($A28="","",COUNTIFS('GECC 2026'!F$2:F$200,$A28))</f>
        <v>10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2</v>
      </c>
      <c r="C36" s="25">
        <f ca="1">IF($A36="","",SUMIFS('GECC 2026'!I$2:I$200,'GECC 2026'!F$2:F$200,$A36))</f>
        <v>0.6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2.6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7.2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31.2</v>
      </c>
      <c r="F44" s="23">
        <f ca="1">IF($A44="","",COUNTIFS('GECC 2026'!F$2:F$200,$A44))</f>
        <v>6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24</v>
      </c>
      <c r="C46" s="25">
        <f ca="1">IF($A46="","",SUMIFS('GECC 2026'!I$2:I$200,'GECC 2026'!F$2:F$200,$A46))</f>
        <v>5.0399999999999991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29.04</v>
      </c>
      <c r="F46" s="23">
        <f ca="1">IF($A46="","",COUNTIFS('GECC 2026'!F$2:F$200,$A46))</f>
        <v>3</v>
      </c>
    </row>
    <row r="47" spans="1:6" x14ac:dyDescent="0.25">
      <c r="A47" t="str">
        <f ca="1"/>
        <v>Matheus Viana de Souza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1</v>
      </c>
    </row>
    <row r="48" spans="1:6" x14ac:dyDescent="0.25">
      <c r="A48" t="str">
        <f ca="1"/>
        <v>Mauri Siqueira Montessi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Michel Martins de Morais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16</v>
      </c>
      <c r="E49" s="92">
        <f ca="1">IF($A49="","",SUMIFS('GECC 2026'!J$2:J$200,'GECC 2026'!F$2:F$200,$A49)+SUMIFS('GECC 2026'!$AE$3:$AE$32,'GECC 2026'!$AD$3:$AD$32,$A49))</f>
        <v>16</v>
      </c>
      <c r="F49" s="23">
        <f ca="1">IF($A49="","",COUNTIFS('GECC 2026'!F$2:F$200,$A49))</f>
        <v>0</v>
      </c>
    </row>
    <row r="50" spans="1:6" x14ac:dyDescent="0.25">
      <c r="A50" t="str">
        <f ca="1"/>
        <v>Paulo José Góes Daltro</v>
      </c>
      <c r="B50" s="25">
        <f ca="1">IF($A50="","",SUMIFS('GECC 2026'!H$2:H$200,'GECC 2026'!F$2:F$200,$A50))</f>
        <v>0</v>
      </c>
      <c r="C50" s="25">
        <f ca="1">IF($A50="","",SUMIFS('GECC 2026'!I$2:I$200,'GECC 2026'!F$2:F$200,$A50))</f>
        <v>0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0</v>
      </c>
      <c r="F50" s="23">
        <f ca="1">IF($A50="","",COUNTIFS('GECC 2026'!F$2:F$200,$A50))</f>
        <v>2</v>
      </c>
    </row>
    <row r="51" spans="1:6" x14ac:dyDescent="0.25">
      <c r="A51" t="str">
        <f ca="1"/>
        <v>Priscila Nolasco de Oliveira</v>
      </c>
      <c r="B51" s="25">
        <f ca="1">IF($A51="","",SUMIFS('GECC 2026'!H$2:H$200,'GECC 2026'!F$2:F$200,$A51))</f>
        <v>20</v>
      </c>
      <c r="C51" s="25">
        <f ca="1">IF($A51="","",SUMIFS('GECC 2026'!I$2:I$200,'GECC 2026'!F$2:F$200,$A51))</f>
        <v>6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26</v>
      </c>
      <c r="F51" s="23">
        <f ca="1">IF($A51="","",COUNTIFS('GECC 2026'!F$2:F$200,$A51))</f>
        <v>5</v>
      </c>
    </row>
    <row r="52" spans="1:6" x14ac:dyDescent="0.25">
      <c r="A52" t="str">
        <f ca="1"/>
        <v>Rafael Nóbrega Campos</v>
      </c>
      <c r="B52" s="25">
        <f ca="1">IF($A52="","",SUMIFS('GECC 2026'!H$2:H$200,'GECC 2026'!F$2:F$200,$A52))</f>
        <v>5</v>
      </c>
      <c r="C52" s="25">
        <f ca="1">IF($A52="","",SUMIFS('GECC 2026'!I$2:I$200,'GECC 2026'!F$2:F$200,$A52))</f>
        <v>1.5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6.5</v>
      </c>
      <c r="F52" s="23">
        <f ca="1">IF($A52="","",COUNTIFS('GECC 2026'!F$2:F$200,$A52))</f>
        <v>1</v>
      </c>
    </row>
    <row r="53" spans="1:6" x14ac:dyDescent="0.25">
      <c r="A53" t="str">
        <f ca="1"/>
        <v>Reinaldo Alencar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Renan Dias da Silva</v>
      </c>
      <c r="B54" s="25">
        <f ca="1">IF($A54="","",SUMIFS('GECC 2026'!H$2:H$200,'GECC 2026'!F$2:F$200,$A54))</f>
        <v>4</v>
      </c>
      <c r="C54" s="25">
        <f ca="1">IF($A54="","",SUMIFS('GECC 2026'!I$2:I$200,'GECC 2026'!F$2:F$200,$A54))</f>
        <v>1.2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5.2</v>
      </c>
      <c r="F54" s="23">
        <f ca="1">IF($A54="","",COUNTIFS('GECC 2026'!F$2:F$200,$A54))</f>
        <v>1</v>
      </c>
    </row>
    <row r="55" spans="1:6" x14ac:dyDescent="0.25">
      <c r="A55" t="str">
        <f ca="1"/>
        <v>Rogério Ribeiro</v>
      </c>
      <c r="B55" s="25">
        <f ca="1">IF($A55="","",SUMIFS('GECC 2026'!H$2:H$200,'GECC 2026'!F$2:F$200,$A55))</f>
        <v>48</v>
      </c>
      <c r="C55" s="25">
        <f ca="1">IF($A55="","",SUMIFS('GECC 2026'!I$2:I$200,'GECC 2026'!F$2:F$200,$A55))</f>
        <v>7.1999999999999993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55.2</v>
      </c>
      <c r="F55" s="23">
        <f ca="1">IF($A55="","",COUNTIFS('GECC 2026'!F$2:F$200,$A55))</f>
        <v>3</v>
      </c>
    </row>
    <row r="56" spans="1:6" x14ac:dyDescent="0.25">
      <c r="A56" t="str">
        <f ca="1"/>
        <v>Rômulo Miranda Alvim</v>
      </c>
      <c r="B56" s="25">
        <f ca="1">IF($A56="","",SUMIFS('GECC 2026'!H$2:H$200,'GECC 2026'!F$2:F$200,$A56))</f>
        <v>24</v>
      </c>
      <c r="C56" s="25">
        <f ca="1">IF($A56="","",SUMIFS('GECC 2026'!I$2:I$200,'GECC 2026'!F$2:F$200,$A56))</f>
        <v>3.6</v>
      </c>
      <c r="D56" s="100">
        <f ca="1">IF($A56="","",SUMIFS('GECC 2026'!$AE$3:$AE$32,'GECC 2026'!$AD$3:$AD$32,$A56))</f>
        <v>16</v>
      </c>
      <c r="E56" s="92">
        <f ca="1">IF($A56="","",SUMIFS('GECC 2026'!J$2:J$200,'GECC 2026'!F$2:F$200,$A56)+SUMIFS('GECC 2026'!$AE$3:$AE$32,'GECC 2026'!$AD$3:$AD$32,$A56))</f>
        <v>43.6</v>
      </c>
      <c r="F56" s="23">
        <f ca="1">IF($A56="","",COUNTIFS('GECC 2026'!F$2:F$200,$A56))</f>
        <v>2</v>
      </c>
    </row>
    <row r="57" spans="1:6" x14ac:dyDescent="0.25">
      <c r="A57" t="str">
        <f ca="1"/>
        <v>Sara Cristina Lins Ramos</v>
      </c>
      <c r="B57" s="25">
        <f ca="1">IF($A57="","",SUMIFS('GECC 2026'!H$2:H$200,'GECC 2026'!F$2:F$200,$A57))</f>
        <v>8</v>
      </c>
      <c r="C57" s="25">
        <f ca="1">IF($A57="","",SUMIFS('GECC 2026'!I$2:I$200,'GECC 2026'!F$2:F$200,$A57))</f>
        <v>2.4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10.4</v>
      </c>
      <c r="F57" s="23">
        <f ca="1">IF($A57="","",COUNTIFS('GECC 2026'!F$2:F$200,$A57))</f>
        <v>1</v>
      </c>
    </row>
    <row r="58" spans="1:6" x14ac:dyDescent="0.25">
      <c r="A58" t="str">
        <f ca="1"/>
        <v>Servidores, colaboradores e estagiários do TCDF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1</v>
      </c>
    </row>
    <row r="59" spans="1:6" x14ac:dyDescent="0.25">
      <c r="A59" t="str">
        <f ca="1"/>
        <v>Silvia Lima Damasceno Carvalho</v>
      </c>
      <c r="B59" s="25">
        <f ca="1">IF($A59="","",SUMIFS('GECC 2026'!H$2:H$200,'GECC 2026'!F$2:F$200,$A59))</f>
        <v>21</v>
      </c>
      <c r="C59" s="25">
        <f ca="1">IF($A59="","",SUMIFS('GECC 2026'!I$2:I$200,'GECC 2026'!F$2:F$200,$A59))</f>
        <v>6.3000000000000007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27.299999999999997</v>
      </c>
      <c r="F59" s="23">
        <f ca="1">IF($A59="","",COUNTIFS('GECC 2026'!F$2:F$200,$A59))</f>
        <v>6</v>
      </c>
    </row>
    <row r="60" spans="1:6" x14ac:dyDescent="0.25">
      <c r="A60" t="str">
        <f ca="1"/>
        <v>Tarsila Firmino Ely</v>
      </c>
      <c r="B60" s="25">
        <f ca="1">IF($A60="","",SUMIFS('GECC 2026'!H$2:H$200,'GECC 2026'!F$2:F$200,$A60))</f>
        <v>88</v>
      </c>
      <c r="C60" s="25">
        <f ca="1">IF($A60="","",SUMIFS('GECC 2026'!I$2:I$200,'GECC 2026'!F$2:F$200,$A60))</f>
        <v>83.6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171.6</v>
      </c>
      <c r="F60" s="23">
        <f ca="1">IF($A60="","",COUNTIFS('GECC 2026'!F$2:F$200,$A60))</f>
        <v>7</v>
      </c>
    </row>
    <row r="61" spans="1:6" x14ac:dyDescent="0.25">
      <c r="A61" t="str">
        <f ca="1"/>
        <v>Thiago Magalhães de Oliveira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1</v>
      </c>
    </row>
    <row r="62" spans="1:6" x14ac:dyDescent="0.25">
      <c r="A62" t="str">
        <f ca="1"/>
        <v>Túllio Herbeth Teixeira Moraes</v>
      </c>
      <c r="B62" s="25">
        <f ca="1">IF($A62="","",SUMIFS('GECC 2026'!H$2:H$200,'GECC 2026'!F$2:F$200,$A62))</f>
        <v>9</v>
      </c>
      <c r="C62" s="25">
        <f ca="1">IF($A62="","",SUMIFS('GECC 2026'!I$2:I$200,'GECC 2026'!F$2:F$200,$A62))</f>
        <v>2.6999999999999997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11.7</v>
      </c>
      <c r="F62" s="23">
        <f ca="1">IF($A62="","",COUNTIFS('GECC 2026'!F$2:F$200,$A62))</f>
        <v>3</v>
      </c>
    </row>
    <row r="63" spans="1:6" x14ac:dyDescent="0.25">
      <c r="A63" t="str">
        <f ca="1"/>
        <v>Valéria Feitoza</v>
      </c>
      <c r="B63" s="25">
        <f ca="1">IF($A63="","",SUMIFS('GECC 2026'!H$2:H$200,'GECC 2026'!F$2:F$200,$A63))</f>
        <v>2</v>
      </c>
      <c r="C63" s="25">
        <f ca="1">IF($A63="","",SUMIFS('GECC 2026'!I$2:I$200,'GECC 2026'!F$2:F$200,$A63))</f>
        <v>0.6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2.6</v>
      </c>
      <c r="F63" s="23">
        <f ca="1">IF($A63="","",COUNTIFS('GECC 2026'!F$2:F$200,$A63))</f>
        <v>3</v>
      </c>
    </row>
    <row r="64" spans="1:6" x14ac:dyDescent="0.25">
      <c r="A64" t="str">
        <f ca="1"/>
        <v>Wibys Pereira</v>
      </c>
      <c r="B64" s="25">
        <f ca="1">IF($A64="","",SUMIFS('GECC 2026'!H$2:H$200,'GECC 2026'!F$2:F$200,$A64))</f>
        <v>4</v>
      </c>
      <c r="C64" s="25">
        <f ca="1">IF($A64="","",SUMIFS('GECC 2026'!I$2:I$200,'GECC 2026'!F$2:F$200,$A64))</f>
        <v>1.2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5.2</v>
      </c>
      <c r="F64" s="23">
        <f ca="1">IF($A64="","",COUNTIFS('GECC 2026'!F$2:F$200,$A64))</f>
        <v>1</v>
      </c>
    </row>
    <row r="65" spans="1:6" x14ac:dyDescent="0.25">
      <c r="A65" t="str">
        <f ca="1"/>
        <v>Yasmin Carla Marchioro Silverio</v>
      </c>
      <c r="B65" s="25">
        <f ca="1">IF($A65="","",SUMIFS('GECC 2026'!H$2:H$200,'GECC 2026'!F$2:F$200,$A65))</f>
        <v>12</v>
      </c>
      <c r="C65" s="25">
        <f ca="1">IF($A65="","",SUMIFS('GECC 2026'!I$2:I$200,'GECC 2026'!F$2:F$200,$A65))</f>
        <v>3.5999999999999996</v>
      </c>
      <c r="D65" s="100">
        <f ca="1">IF($A65="","",SUMIFS('GECC 2026'!$AE$3:$AE$32,'GECC 2026'!$AD$3:$AD$32,$A65))</f>
        <v>0</v>
      </c>
      <c r="E65" s="92">
        <f ca="1">IF($A65="","",SUMIFS('GECC 2026'!J$2:J$200,'GECC 2026'!F$2:F$200,$A65)+SUMIFS('GECC 2026'!$AE$3:$AE$32,'GECC 2026'!$AD$3:$AD$32,$A65))</f>
        <v>15.600000000000001</v>
      </c>
      <c r="F65" s="23">
        <f ca="1">IF($A65="","",COUNTIFS('GECC 2026'!F$2:F$200,$A65))</f>
        <v>3</v>
      </c>
    </row>
    <row r="66" spans="1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1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1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1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1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1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1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1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1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1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1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1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1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1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1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Cinthia Thais de Carvalho Luz Thomazi; Fernanda Viana de Souza; Luiz Felipe Tenório de Lima Gondim; Yasmin Carla Marchioro Silverio; Karine Caroline de Oliveira; Abdiel Andrade; Ana Cristina Borges Carvalho</v>
      </c>
      <c r="R5">
        <f t="shared" si="1"/>
        <v>7</v>
      </c>
      <c r="S5">
        <f t="shared" si="2"/>
        <v>6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Cinthia Thais de Carvalho Luz Thomazi; Fernanda Viana de Souza; Luiz Felipe Tenório de Lima Gondim; Yasmin Carla Marchioro Silverio; Karine Caroline de Oliveira; Abdiel Andrade; Ana Cristina Borges Carvalho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2026-09-18T17:44:54Z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