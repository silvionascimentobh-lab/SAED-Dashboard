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414" documentId="13_ncr:1_{6A2CC3E2-FAFB-4D8F-B284-5E8FB5045DFE}" xr6:coauthVersionLast="47" xr6:coauthVersionMax="47" xr10:uidLastSave="{607AC972-B1DB-4098-8125-DFF22B54AA6A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8" i="28" l="1" a="1"/>
  <c r="A735" i="3"/>
  <c r="A736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D61" i="23" l="1"/>
  <c r="E61" i="23"/>
  <c r="F61" i="23"/>
  <c r="B61" i="23"/>
  <c r="C61" i="23"/>
  <c r="B8" i="27" l="1"/>
  <c r="A8" i="27"/>
  <c r="L4" i="20"/>
  <c r="R4" i="20" s="1" a="1"/>
  <c r="R4" i="20" s="1"/>
  <c r="S4" i="20" s="1" a="1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/>
  <c r="T4" i="20" s="1" a="1"/>
  <c r="T4" i="20" l="1"/>
  <c r="A2" i="20" s="1" a="1"/>
  <c r="E105" i="23" l="1"/>
  <c r="A5" i="23" a="1"/>
  <c r="A2" i="20"/>
  <c r="D60" i="23" l="1"/>
  <c r="B24" i="23"/>
  <c r="F49" i="23"/>
  <c r="C47" i="23"/>
  <c r="B47" i="23"/>
  <c r="C15" i="23"/>
  <c r="B39" i="23"/>
  <c r="F58" i="23"/>
  <c r="E57" i="23"/>
  <c r="D54" i="23"/>
  <c r="C58" i="23"/>
  <c r="C28" i="23"/>
  <c r="D56" i="23"/>
  <c r="D34" i="23"/>
  <c r="C19" i="23"/>
  <c r="F43" i="23"/>
  <c r="B55" i="23"/>
  <c r="C53" i="23"/>
  <c r="C8" i="23"/>
  <c r="B12" i="23"/>
  <c r="B45" i="23"/>
  <c r="C11" i="23"/>
  <c r="C48" i="23"/>
  <c r="B49" i="23"/>
  <c r="C29" i="23"/>
  <c r="D40" i="23"/>
  <c r="C14" i="23"/>
  <c r="F16" i="23"/>
  <c r="F20" i="23"/>
  <c r="E38" i="23"/>
  <c r="E15" i="23"/>
  <c r="D8" i="23"/>
  <c r="F35" i="23"/>
  <c r="F25" i="23"/>
  <c r="B34" i="23"/>
  <c r="B41" i="23"/>
  <c r="B59" i="23"/>
  <c r="C20" i="23"/>
  <c r="E28" i="23"/>
  <c r="F39" i="23"/>
  <c r="D32" i="23"/>
  <c r="C33" i="23"/>
  <c r="E44" i="23"/>
  <c r="E55" i="23"/>
  <c r="E41" i="23"/>
  <c r="C17" i="23"/>
  <c r="C57" i="23"/>
  <c r="E47" i="23"/>
  <c r="E33" i="23"/>
  <c r="E9" i="23"/>
  <c r="F52" i="23"/>
  <c r="B51" i="23"/>
  <c r="E35" i="23"/>
  <c r="D37" i="23"/>
  <c r="E56" i="23"/>
  <c r="D19" i="23"/>
  <c r="C30" i="23"/>
  <c r="C41" i="23"/>
  <c r="F57" i="23"/>
  <c r="C59" i="23"/>
  <c r="C40" i="23"/>
  <c r="B31" i="23"/>
  <c r="C35" i="23"/>
  <c r="C51" i="23"/>
  <c r="B44" i="23"/>
  <c r="F60" i="23"/>
  <c r="E52" i="23"/>
  <c r="E20" i="23"/>
  <c r="C44" i="23"/>
  <c r="C43" i="23"/>
  <c r="F37" i="23"/>
  <c r="B36" i="23"/>
  <c r="F18" i="23"/>
  <c r="E18" i="23"/>
  <c r="B25" i="23"/>
  <c r="F56" i="23"/>
  <c r="F36" i="23"/>
  <c r="D18" i="23"/>
  <c r="D53" i="23"/>
  <c r="C34" i="23"/>
  <c r="B20" i="23"/>
  <c r="C37" i="23"/>
  <c r="E13" i="23"/>
  <c r="D11" i="23"/>
  <c r="D28" i="23"/>
  <c r="C52" i="23"/>
  <c r="E8" i="23"/>
  <c r="D12" i="23"/>
  <c r="D6" i="23"/>
  <c r="E36" i="23"/>
  <c r="C38" i="23"/>
  <c r="D49" i="23"/>
  <c r="B18" i="23"/>
  <c r="C60" i="23"/>
  <c r="B9" i="23"/>
  <c r="C7" i="23"/>
  <c r="D24" i="23"/>
  <c r="B48" i="23"/>
  <c r="D46" i="23"/>
  <c r="F40" i="23"/>
  <c r="B22" i="23"/>
  <c r="E46" i="23"/>
  <c r="B23" i="23"/>
  <c r="E53" i="23"/>
  <c r="E31" i="23"/>
  <c r="B13" i="23"/>
  <c r="F14" i="23"/>
  <c r="F48" i="23"/>
  <c r="F10" i="23"/>
  <c r="D58" i="23"/>
  <c r="D59" i="23"/>
  <c r="D9" i="23"/>
  <c r="F29" i="23"/>
  <c r="D57" i="23"/>
  <c r="B16" i="23"/>
  <c r="C6" i="23"/>
  <c r="E59" i="23"/>
  <c r="F9" i="23"/>
  <c r="B8" i="23"/>
  <c r="D17" i="23"/>
  <c r="D10" i="23"/>
  <c r="E26" i="23"/>
  <c r="F41" i="23"/>
  <c r="C12" i="23"/>
  <c r="D44" i="23"/>
  <c r="D30" i="23"/>
  <c r="F8" i="23"/>
  <c r="D41" i="23"/>
  <c r="E17" i="23"/>
  <c r="D29" i="23"/>
  <c r="D43" i="23"/>
  <c r="D38" i="23"/>
  <c r="E49" i="23"/>
  <c r="F44" i="23"/>
  <c r="F38" i="23"/>
  <c r="C49" i="23"/>
  <c r="B7" i="23"/>
  <c r="B30" i="23"/>
  <c r="C39" i="23"/>
  <c r="F34" i="23"/>
  <c r="D36" i="23"/>
  <c r="C16" i="23"/>
  <c r="C42" i="23"/>
  <c r="B58" i="23"/>
  <c r="E37" i="23"/>
  <c r="B57" i="23"/>
  <c r="E48" i="23"/>
  <c r="D22" i="23"/>
  <c r="D20" i="23"/>
  <c r="E40" i="23"/>
  <c r="D52" i="23"/>
  <c r="E51" i="23"/>
  <c r="C46" i="23"/>
  <c r="C55" i="23"/>
  <c r="C27" i="23"/>
  <c r="C54" i="23"/>
  <c r="B19" i="23"/>
  <c r="D14" i="23"/>
  <c r="D47" i="23"/>
  <c r="D51" i="23"/>
  <c r="F46" i="23"/>
  <c r="F28" i="23"/>
  <c r="E6" i="23"/>
  <c r="C45" i="23"/>
  <c r="D27" i="23"/>
  <c r="F51" i="23"/>
  <c r="E27" i="23"/>
  <c r="D42" i="23"/>
  <c r="C18" i="23"/>
  <c r="F26" i="23"/>
  <c r="F55" i="23"/>
  <c r="D31" i="23"/>
  <c r="F53" i="23"/>
  <c r="D13" i="23"/>
  <c r="B60" i="23"/>
  <c r="E14" i="23"/>
  <c r="E30" i="23"/>
  <c r="F47" i="23"/>
  <c r="F30" i="23"/>
  <c r="E16" i="23"/>
  <c r="B17" i="23"/>
  <c r="D25" i="23"/>
  <c r="F50" i="23"/>
  <c r="E12" i="23"/>
  <c r="C25" i="23"/>
  <c r="B29" i="23"/>
  <c r="B6" i="23"/>
  <c r="F21" i="23"/>
  <c r="B35" i="23"/>
  <c r="E54" i="23"/>
  <c r="E19" i="23"/>
  <c r="F11" i="23"/>
  <c r="C56" i="23"/>
  <c r="D45" i="23"/>
  <c r="D50" i="23"/>
  <c r="F32" i="23"/>
  <c r="C10" i="23"/>
  <c r="D35" i="23"/>
  <c r="B56" i="23"/>
  <c r="D21" i="23"/>
  <c r="F7" i="23"/>
  <c r="E29" i="23"/>
  <c r="F24" i="23"/>
  <c r="B21" i="23"/>
  <c r="E10" i="23"/>
  <c r="F27" i="23"/>
  <c r="F13" i="23"/>
  <c r="F12" i="23"/>
  <c r="C21" i="23"/>
  <c r="E25" i="23"/>
  <c r="C26" i="23"/>
  <c r="B11" i="23"/>
  <c r="E45" i="23"/>
  <c r="B54" i="23"/>
  <c r="E11" i="23"/>
  <c r="E22" i="23"/>
  <c r="C24" i="23"/>
  <c r="B27" i="23"/>
  <c r="B38" i="23"/>
  <c r="B42" i="23"/>
  <c r="C22" i="23"/>
  <c r="B10" i="23"/>
  <c r="E50" i="23"/>
  <c r="F59" i="23"/>
  <c r="B46" i="23"/>
  <c r="E34" i="23"/>
  <c r="D26" i="23"/>
  <c r="B33" i="23"/>
  <c r="F6" i="23"/>
  <c r="B43" i="23"/>
  <c r="F15" i="23"/>
  <c r="F33" i="23"/>
  <c r="E42" i="23"/>
  <c r="B32" i="23"/>
  <c r="E58" i="23"/>
  <c r="C31" i="23"/>
  <c r="C9" i="23"/>
  <c r="D39" i="23"/>
  <c r="E32" i="23"/>
  <c r="B53" i="23"/>
  <c r="E24" i="23"/>
  <c r="B37" i="23"/>
  <c r="B28" i="23"/>
  <c r="D7" i="23"/>
  <c r="D48" i="23"/>
  <c r="F54" i="23"/>
  <c r="C36" i="23"/>
  <c r="C50" i="23"/>
  <c r="C13" i="23"/>
  <c r="D23" i="23"/>
  <c r="F19" i="23"/>
  <c r="C32" i="23"/>
  <c r="B26" i="23"/>
  <c r="D55" i="23"/>
  <c r="B14" i="23"/>
  <c r="E7" i="23"/>
  <c r="B40" i="23"/>
  <c r="E23" i="23"/>
  <c r="F45" i="23"/>
  <c r="F31" i="23"/>
  <c r="F22" i="23"/>
  <c r="E60" i="23"/>
  <c r="E21" i="23"/>
  <c r="D16" i="23"/>
  <c r="D15" i="23"/>
  <c r="B52" i="23"/>
  <c r="E43" i="23"/>
  <c r="F17" i="23"/>
  <c r="E39" i="23"/>
  <c r="F23" i="23"/>
  <c r="F42" i="23"/>
  <c r="C23" i="23"/>
  <c r="B50" i="23"/>
  <c r="B15" i="23"/>
  <c r="D33" i="23"/>
  <c r="A5" i="23"/>
  <c r="F5" i="23" l="1"/>
  <c r="F105" i="23" s="1"/>
  <c r="B5" i="23"/>
  <c r="B105" i="23" s="1"/>
  <c r="C5" i="23"/>
  <c r="C105" i="23" s="1"/>
  <c r="E5" i="23"/>
  <c r="G5" i="23"/>
  <c r="D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<sst xmlns="http://schemas.openxmlformats.org/spreadsheetml/2006/main" count="7343" uniqueCount="3225">
  <si>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</si>
  <si>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</si>
  <si>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</si>
  <si>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</si>
  <si>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</si>
  <si>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</si>
  <si>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</si>
  <si>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</si>
  <si>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</si>
  <si>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</si>
  <si>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</si>
  <si>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</si>
  <si>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</si>
  <si>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</si>
  <si>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</si>
  <si>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</si>
  <si>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</si>
  <si>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</si>
  <si>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</si>
  <si>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</si>
  <si>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</si>
  <si>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</si>
  <si>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</si>
  <si>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</si>
  <si>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</si>
  <si>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</si>
  <si>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</si>
  <si>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</si>
  <si>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</si>
  <si>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</si>
  <si>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</si>
  <si>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</si>
  <si>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</si>
  <si>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</si>
  <si>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</si>
  <si>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</si>
  <si>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</si>
  <si>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</si>
  <si>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</si>
  <si>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</si>
  <si>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</si>
  <si>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</si>
  <si>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</si>
  <si>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</si>
  <si>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</si>
  <si>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</si>
  <si>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</si>
  <si>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</si>
  <si>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</si>
  <si>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</si>
  <si>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</si>
  <si>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</si>
  <si>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</si>
  <si>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</si>
  <si>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</si>
  <si>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</si>
  <si>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</si>
  <si>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</si>
  <si>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</si>
  <si>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</si>
  <si>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</si>
  <si>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</si>
  <si>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</si>
  <si>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</si>
  <si>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</si>
  <si>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</si>
  <si>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</si>
  <si>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</si>
  <si>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</si>
  <si>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</si>
  <si>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</si>
  <si>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</si>
  <si>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</si>
  <si>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</si>
  <si>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</si>
  <si>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</si>
  <si>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</si>
  <si>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</si>
  <si>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</si>
  <si>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</si>
  <si>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</si>
  <si>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</si>
  <si>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</si>
  <si>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</si>
  <si>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</si>
  <si>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</si>
  <si>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</si>
  <si>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</si>
  <si>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</si>
  <si>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</si>
  <si>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</si>
  <si>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</si>
  <si>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</si>
  <si>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</si>
  <si>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</si>
  <si>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</si>
  <si>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</si>
  <si>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</si>
  <si>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</si>
  <si>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</si>
  <si>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</si>
  <si>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</si>
  <si>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</si>
  <si>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</si>
  <si>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</si>
  <si>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</si>
  <si>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</si>
  <si>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</si>
  <si>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</si>
  <si>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</si>
  <si>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</si>
  <si>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</si>
  <si>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</si>
  <si>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</si>
  <si>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</si>
  <si>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</si>
  <si>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</si>
  <si>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</si>
  <si>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</si>
  <si>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</si>
  <si>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</si>
  <si>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</si>
  <si>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</si>
  <si>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</si>
  <si>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</si>
  <si>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</si>
  <si>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</si>
  <si>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</si>
  <si>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</si>
  <si>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</si>
  <si>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</si>
  <si>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</si>
  <si>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</si>
  <si>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</si>
  <si>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</si>
  <si>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</si>
  <si>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</si>
  <si>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</si>
  <si>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</si>
  <si>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</si>
  <si>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</si>
  <si>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</si>
  <si>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</si>
  <si>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</si>
  <si>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</si>
  <si>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</si>
  <si>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</si>
  <si>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</si>
  <si>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</si>
  <si>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</si>
  <si>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</si>
  <si>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</si>
  <si>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</si>
  <si>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</si>
  <si>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</si>
  <si>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</si>
  <si>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</si>
  <si>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</si>
  <si>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</si>
  <si>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</si>
  <si>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</si>
  <si>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</si>
  <si>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</si>
  <si>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</si>
  <si>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</si>
  <si>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</si>
  <si>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</si>
  <si>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</si>
  <si>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</si>
  <si>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</si>
  <si>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</si>
  <si>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</si>
  <si>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</si>
  <si>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</si>
  <si>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</si>
  <si>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</si>
  <si>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</si>
  <si>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</si>
  <si>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</si>
  <si>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</si>
  <si>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</si>
  <si>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</si>
  <si>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</si>
  <si>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</si>
  <si>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</si>
  <si>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</si>
  <si>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</si>
  <si>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</si>
  <si>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</si>
  <si>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</si>
  <si>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</si>
  <si>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</si>
  <si>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</si>
  <si>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</si>
  <si>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</si>
  <si>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</si>
  <si>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</si>
  <si>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</si>
  <si>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</si>
  <si>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</si>
  <si>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</si>
  <si>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</si>
  <si>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</si>
  <si>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</si>
  <si>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</si>
  <si>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</si>
  <si>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</si>
  <si>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</si>
  <si>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</si>
  <si>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</si>
  <si>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</si>
  <si>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</si>
  <si>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</si>
  <si>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</si>
  <si>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</si>
  <si>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</si>
  <si>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</si>
  <si>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</si>
  <si>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</si>
  <si>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</si>
  <si>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</si>
  <si>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</si>
  <si>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</si>
  <si>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</si>
  <si>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</si>
  <si>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</si>
  <si>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</si>
  <si>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</si>
  <si>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</si>
  <si>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</si>
  <si>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</si>
  <si>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</si>
  <si>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</si>
  <si>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</si>
  <si>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</si>
  <si>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</si>
  <si>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</si>
  <si>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</si>
  <si>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</si>
  <si>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</si>
  <si>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</si>
  <si>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</si>
  <si>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</si>
  <si>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</si>
  <si>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</si>
  <si>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</si>
  <si>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</si>
  <si>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</si>
  <si>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</si>
  <si>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</si>
  <si>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</si>
  <si>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</si>
  <si>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</si>
  <si>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</si>
  <si>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</si>
  <si>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</si>
  <si>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</si>
  <si>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</si>
  <si>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</si>
  <si>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</si>
  <si>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</si>
  <si>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</si>
  <si>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</si>
  <si>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</si>
  <si>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</si>
  <si>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</si>
  <si>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</si>
  <si>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</si>
  <si>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</si>
  <si>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</si>
  <si>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</si>
  <si>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</si>
  <si>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</si>
  <si>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</si>
  <si>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</si>
  <si>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</si>
  <si>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</si>
  <si>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</si>
  <si>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</si>
  <si>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</si>
  <si>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</si>
  <si>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</si>
  <si>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</si>
  <si>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</si>
  <si>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</si>
  <si>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</si>
  <si>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</si>
  <si>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</si>
  <si>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</si>
  <si>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</si>
  <si>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</si>
  <si>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</si>
  <si>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</si>
  <si>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</si>
  <si>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</si>
  <si>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</si>
  <si>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</si>
  <si>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</si>
  <si>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</si>
  <si>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</si>
  <si>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</si>
  <si>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</si>
  <si>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</si>
  <si>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</si>
  <si>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</si>
  <si>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</si>
  <si>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</si>
  <si>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</si>
  <si>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</si>
  <si>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</si>
  <si>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</si>
  <si>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</si>
  <si>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</si>
  <si>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</si>
  <si>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</si>
  <si>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</si>
  <si>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</si>
  <si>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</si>
  <si>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</si>
  <si>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</si>
  <si>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</si>
  <si>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</si>
  <si>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</si>
  <si>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</si>
  <si>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</si>
  <si>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</si>
  <si>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</si>
  <si>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</si>
  <si>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</si>
  <si>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</si>
  <si>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</si>
  <si>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</si>
  <si>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</si>
  <si>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</si>
  <si>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</si>
  <si>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</si>
  <si>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</si>
  <si>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</si>
  <si>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</si>
  <si>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</si>
  <si>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</si>
  <si>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</si>
  <si>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</si>
  <si>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</si>
  <si>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</si>
  <si>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</si>
  <si>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</si>
  <si>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</si>
  <si>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</si>
  <si>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</si>
  <si>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</si>
  <si>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</si>
  <si>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</si>
  <si>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</si>
  <si>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</si>
  <si>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</si>
  <si>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</si>
  <si>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</si>
  <si>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</si>
  <si>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</si>
  <si>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</si>
  <si>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</si>
  <si>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</si>
  <si>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</si>
  <si>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</si>
  <si>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</si>
  <si>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</si>
  <si>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</si>
  <si>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</si>
  <si>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</si>
  <si>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</si>
  <si>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</si>
  <si>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</si>
  <si>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</si>
  <si>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</si>
  <si>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</si>
  <si>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</si>
  <si>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</si>
  <si>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</si>
  <si>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</si>
  <si>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</si>
  <si>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</si>
  <si>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</si>
  <si>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</si>
  <si>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</si>
  <si>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</si>
  <si>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</si>
  <si>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</si>
  <si>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</si>
  <si>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</si>
  <si>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</si>
  <si>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</si>
  <si>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</si>
  <si>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</si>
  <si>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</si>
  <si>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</si>
  <si>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</si>
  <si>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</si>
  <si>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</si>
  <si>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</si>
  <si>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</si>
  <si>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</si>
  <si>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</si>
  <si>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</si>
  <si>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</si>
  <si>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</si>
  <si>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</si>
  <si>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</si>
  <si>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</si>
  <si>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</si>
  <si>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</si>
  <si>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</si>
  <si>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</si>
  <si>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</si>
  <si>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</si>
  <si>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</si>
  <si>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</si>
  <si>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</si>
  <si>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</si>
  <si>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</si>
  <si>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</si>
  <si>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</si>
  <si>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</si>
  <si>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</si>
  <si>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</si>
  <si>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</si>
  <si>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</si>
  <si>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</si>
  <si>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</si>
  <si>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</si>
  <si>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</si>
  <si>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</si>
  <si>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</si>
  <si>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</si>
  <si>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</si>
  <si>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</si>
  <si>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</si>
  <si>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</si>
  <si>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</si>
  <si>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</si>
  <si>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</si>
  <si>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</si>
  <si>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</si>
  <si>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</si>
  <si>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</si>
  <si>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</si>
  <si>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</si>
  <si>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</si>
  <si>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</si>
  <si>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</si>
  <si>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</si>
  <si>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</si>
  <si>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</si>
  <si>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</si>
  <si>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</si>
  <si>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</si>
  <si>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</si>
  <si>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</si>
  <si>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</si>
  <si>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</si>
  <si>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</si>
  <si>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</si>
  <si>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</si>
  <si>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</si>
  <si>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</si>
  <si>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</si>
  <si>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</si>
  <si>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</si>
  <si>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</si>
  <si>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</si>
  <si>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</si>
  <si>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</si>
  <si>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</si>
  <si>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</si>
  <si>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</si>
  <si>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</si>
  <si>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</si>
  <si>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</si>
  <si>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</si>
  <si>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</si>
  <si>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</si>
  <si>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</si>
  <si>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</si>
  <si>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</si>
  <si>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</si>
  <si>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</si>
  <si>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</si>
  <si>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</si>
  <si>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</si>
  <si>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</si>
  <si>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</si>
  <si>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</si>
  <si>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</si>
  <si>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</si>
  <si>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</si>
  <si>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</si>
  <si>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</si>
  <si>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</si>
  <si>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</si>
  <si>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</si>
  <si>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</si>
  <si>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</si>
  <si>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</si>
  <si>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</si>
  <si>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</si>
  <si>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</si>
  <si>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</si>
  <si>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</si>
  <si>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</si>
  <si>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</si>
  <si>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</si>
  <si>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</si>
  <si>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</si>
  <si>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</si>
  <si>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</si>
  <si>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</si>
  <si>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</si>
  <si>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</si>
  <si>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</si>
  <si>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</si>
  <si>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</si>
  <si>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</si>
  <si>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</si>
  <si>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</si>
  <si>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</si>
  <si>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</si>
  <si>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</si>
  <si>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</si>
  <si>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</si>
  <si>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</si>
  <si>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</si>
  <si>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</si>
  <si>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</si>
  <si>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</si>
  <si>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</si>
  <si>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</si>
  <si>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</si>
  <si>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</si>
  <si>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</si>
  <si>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</si>
  <si>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</si>
  <si>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</si>
  <si>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</si>
  <si>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</si>
  <si>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</si>
  <si>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</si>
  <si>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</si>
  <si>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</si>
  <si>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</si>
  <si>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</si>
  <si>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</si>
  <si>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</si>
  <si>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</si>
  <si>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</si>
  <si>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</si>
  <si>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</si>
  <si>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</si>
  <si>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</si>
  <si>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</si>
  <si>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</si>
  <si>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</si>
  <si>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</si>
  <si>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</si>
  <si>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</si>
  <si>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</si>
  <si>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</si>
  <si>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</si>
  <si>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</si>
  <si>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</si>
  <si>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</si>
  <si>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</si>
  <si>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</si>
  <si>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</si>
  <si>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</si>
  <si>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</si>
  <si>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</si>
  <si>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</si>
  <si>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</si>
  <si>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</si>
  <si>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</si>
  <si>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</si>
  <si>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</si>
  <si>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</si>
  <si>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</si>
  <si>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</si>
  <si>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</si>
  <si>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</si>
  <si>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</si>
  <si>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</si>
  <si>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</si>
  <si>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</si>
  <si>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</si>
  <si>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</si>
  <si>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</si>
  <si>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</si>
  <si>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</si>
  <si>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</si>
  <si>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</si>
  <si>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</si>
  <si>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</si>
  <si>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</si>
  <si>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</si>
  <si>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</si>
  <si>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</si>
  <si>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</si>
  <si>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</si>
  <si>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</si>
  <si>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</si>
  <si>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</si>
  <si>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</si>
  <si>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</si>
  <si>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</si>
  <si>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</si>
  <si>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</si>
  <si>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</si>
  <si>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</si>
  <si>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</si>
  <si>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</si>
  <si>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</si>
  <si>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</si>
  <si>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</si>
  <si>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</si>
  <si>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</si>
  <si>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</si>
  <si>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</si>
  <si>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</si>
  <si>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</si>
  <si>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</si>
  <si>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</si>
  <si>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</si>
  <si>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</si>
  <si>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</si>
  <si>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</si>
  <si>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</si>
  <si>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</si>
  <si>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</si>
  <si>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</si>
  <si>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</si>
  <si>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</si>
  <si>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</si>
  <si>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</si>
  <si>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</si>
  <si>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</si>
  <si>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</si>
  <si>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</si>
  <si>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</si>
  <si>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</si>
  <si>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</si>
  <si>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</si>
  <si>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</si>
  <si>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</si>
  <si>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</si>
  <si>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</si>
  <si>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</si>
  <si>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</si>
  <si>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</si>
  <si>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</si>
  <si>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</si>
  <si>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</si>
  <si>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</si>
  <si>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</si>
  <si>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</si>
  <si>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</si>
  <si>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</si>
  <si>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</si>
  <si>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</si>
  <si>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</si>
  <si>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</si>
  <si>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</si>
  <si>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</si>
  <si>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</si>
  <si>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</si>
  <si>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</si>
  <si>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</si>
  <si>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</si>
  <si>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</si>
  <si>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</si>
  <si>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</si>
  <si>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</si>
  <si>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</si>
  <si>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</si>
  <si>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</si>
  <si>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</si>
  <si>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</si>
  <si>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</si>
  <si>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</si>
  <si>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</si>
  <si>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</si>
  <si>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</si>
  <si>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</si>
  <si>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</si>
  <si>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</si>
  <si>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</si>
  <si>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</si>
  <si>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</si>
  <si>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</si>
  <si>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</si>
  <si>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</si>
  <si>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</si>
  <si>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</si>
  <si>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</si>
  <si>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</si>
  <si>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</si>
  <si>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</si>
  <si>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</si>
  <si>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</si>
  <si>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</si>
  <si>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</si>
  <si>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</si>
  <si>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</si>
  <si>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</si>
  <si>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</si>
  <si>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</si>
  <si>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</si>
  <si>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</si>
  <si>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</si>
  <si>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</si>
  <si>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</si>
  <si>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</si>
  <si>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</si>
  <si>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</si>
  <si>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</si>
  <si>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</si>
  <si>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</si>
  <si>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</si>
  <si>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</si>
  <si>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</si>
  <si>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</si>
  <si>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</si>
  <si>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</si>
  <si>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</si>
  <si>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</si>
  <si>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</si>
  <si>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</si>
  <si>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</si>
  <si>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</si>
  <si>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</si>
  <si>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</si>
  <si>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</si>
  <si>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</si>
  <si>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</si>
  <si>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</si>
  <si>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</si>
  <si>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</si>
  <si>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</si>
  <si>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</si>
  <si>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</si>
  <si>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</si>
  <si>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</si>
  <si>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</si>
  <si>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</si>
  <si>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</si>
  <si>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</si>
  <si>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</si>
  <si>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</si>
  <si>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</si>
  <si>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</si>
  <si>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</si>
  <si>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</si>
  <si>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</si>
  <si>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</si>
  <si>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</si>
  <si>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</si>
  <si>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</si>
  <si>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</si>
  <si>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</si>
  <si>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</si>
  <si>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</si>
  <si>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</si>
  <si>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</si>
  <si>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</si>
  <si>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</si>
  <si>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</si>
  <si>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</si>
  <si>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</si>
  <si>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</si>
  <si>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</si>
  <si>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</si>
  <si>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</si>
  <si>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</si>
  <si>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</si>
  <si>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</si>
  <si>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</si>
  <si>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</si>
  <si>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</si>
  <si>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</si>
  <si>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</si>
  <si>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</si>
  <si>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</si>
  <si>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</si>
  <si>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</si>
  <si>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</si>
  <si>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</si>
  <si>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</si>
  <si>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</si>
  <si>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</si>
  <si>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</si>
  <si>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</si>
  <si>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</si>
  <si>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</si>
  <si>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</si>
  <si>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</si>
  <si>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</si>
  <si>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</si>
  <si>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</si>
  <si>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</si>
  <si>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</si>
  <si>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</si>
  <si>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</si>
  <si>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</si>
  <si>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</si>
  <si>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</si>
  <si>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</si>
  <si>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</si>
  <si>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</si>
  <si>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</si>
  <si>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</si>
  <si>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</si>
  <si>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</si>
  <si>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</si>
  <si>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</si>
  <si>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</si>
  <si>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</si>
  <si>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</si>
  <si>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</si>
  <si>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</si>
  <si>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</si>
  <si>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</si>
  <si>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</si>
  <si>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</si>
  <si>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</si>
  <si>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</si>
  <si>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</si>
  <si>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</si>
  <si>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</si>
  <si>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</si>
  <si>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</si>
  <si>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</si>
  <si>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</si>
  <si>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</si>
  <si>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</si>
  <si>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</si>
  <si>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</si>
  <si>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</si>
  <si>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</si>
  <si>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</si>
  <si>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</si>
  <si>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</si>
  <si>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</si>
  <si>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</si>
  <si>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</si>
  <si>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</si>
  <si>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</si>
  <si>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</si>
  <si>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</si>
  <si>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</si>
  <si>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</si>
  <si>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</si>
  <si>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</si>
  <si>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</si>
  <si>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</si>
  <si>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</si>
  <si>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</si>
  <si>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</si>
  <si>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</si>
  <si>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</si>
  <si>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</si>
  <si>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</si>
  <si>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</si>
  <si>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</si>
  <si>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</si>
  <si>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</si>
  <si>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</si>
  <si>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</si>
  <si>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</si>
  <si>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</si>
  <si>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</si>
  <si>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</si>
  <si>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</si>
  <si>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</si>
  <si>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</si>
  <si>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</si>
  <si>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</si>
  <si>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</si>
  <si>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</si>
  <si>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</si>
  <si>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</si>
  <si>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</si>
  <si>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</si>
  <si>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</si>
  <si>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</si>
  <si>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</si>
  <si>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</si>
  <si>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</si>
  <si>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</si>
  <si>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</si>
  <si>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</si>
  <si>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</si>
  <si>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</si>
  <si>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</si>
  <si>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</si>
  <si>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</si>
  <si>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</si>
  <si>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</si>
  <si>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</si>
  <si>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</si>
  <si>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</si>
  <si>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</si>
  <si>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</si>
  <si>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</si>
  <si>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</si>
  <si>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</si>
  <si>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</si>
  <si>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</si>
  <si>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</si>
  <si>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</si>
  <si>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</si>
  <si>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</si>
  <si>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</si>
  <si>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</si>
  <si>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</si>
  <si>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</si>
  <si>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</si>
  <si>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</si>
  <si>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</si>
  <si>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</si>
  <si>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</si>
  <si>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</si>
  <si>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</si>
  <si>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</si>
  <si>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</si>
  <si>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</si>
  <si>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</si>
  <si>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</si>
  <si>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</si>
  <si>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</si>
  <si>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</si>
  <si>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</si>
  <si>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</si>
  <si>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</si>
  <si>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</si>
  <si>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</si>
  <si>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</si>
  <si>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</si>
  <si>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</si>
  <si>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</si>
  <si>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</si>
  <si>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</si>
  <si>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</si>
  <si>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</si>
  <si>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</si>
  <si>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</si>
  <si>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</si>
  <si>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</si>
  <si>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</si>
  <si>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</si>
  <si>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</si>
  <si>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</si>
  <si>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</si>
  <si>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</si>
  <si>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</si>
  <si>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</si>
  <si>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</si>
  <si>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</si>
  <si>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</si>
  <si>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</si>
  <si>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</si>
  <si>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</si>
  <si>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</si>
  <si>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</si>
  <si>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</si>
  <si>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</si>
  <si>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</si>
  <si>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</si>
  <si>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</si>
  <si>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</si>
  <si>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</si>
  <si>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</si>
  <si>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</si>
  <si>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</si>
  <si>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</si>
  <si>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</si>
  <si>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</si>
  <si>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</si>
  <si>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</si>
  <si>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</si>
  <si>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</si>
  <si>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</si>
  <si>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</si>
  <si>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</si>
  <si>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</si>
  <si>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</si>
  <si>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</si>
  <si>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</si>
  <si>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</si>
  <si>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</si>
  <si>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</si>
  <si>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</si>
  <si>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</si>
  <si>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</si>
  <si>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</si>
  <si>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</si>
  <si>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</si>
  <si>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</si>
  <si>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</si>
  <si>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</si>
  <si>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</si>
  <si>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</si>
  <si>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</si>
  <si>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</si>
  <si>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</si>
  <si>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</si>
  <si>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</si>
  <si>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</si>
  <si>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</si>
  <si>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</si>
  <si>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</si>
  <si>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</si>
  <si>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</si>
  <si>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</si>
  <si>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</si>
  <si>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</si>
  <si>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</si>
  <si>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</si>
  <si>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</si>
  <si>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</si>
  <si>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</si>
  <si>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</si>
  <si>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</si>
  <si>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</si>
  <si>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</si>
  <si>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</si>
  <si>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</si>
  <si>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</si>
  <si>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</si>
  <si>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</si>
  <si>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</si>
  <si>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</si>
  <si>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</si>
  <si>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</si>
  <si>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</si>
  <si>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</si>
  <si>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</si>
  <si>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</si>
  <si>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</si>
  <si>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</si>
  <si>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</si>
  <si>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</si>
  <si>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</si>
  <si>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</si>
  <si>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</si>
  <si>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</si>
  <si>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</si>
  <si>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</si>
  <si>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</si>
  <si>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</si>
  <si>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</si>
  <si>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</si>
  <si>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</si>
  <si>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</si>
  <si>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</si>
  <si>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</si>
  <si>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</si>
  <si>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</si>
  <si>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</si>
  <si>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</si>
  <si>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</si>
  <si>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</si>
  <si>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</si>
  <si>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</si>
  <si>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</si>
  <si>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</si>
  <si>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</si>
  <si>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</si>
  <si>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</si>
  <si>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</si>
  <si>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</si>
  <si>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</si>
  <si>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</si>
  <si>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</si>
  <si>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</si>
  <si>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</si>
  <si>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</si>
  <si>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</si>
  <si>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</si>
  <si>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</si>
  <si>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</si>
  <si>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</si>
  <si>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</si>
  <si>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</si>
  <si>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</si>
  <si>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</si>
  <si>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</si>
  <si>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</si>
  <si>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</si>
  <si>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</si>
  <si>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</si>
  <si>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</si>
  <si>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</si>
  <si>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</si>
  <si>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</si>
  <si>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</si>
  <si>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</si>
  <si>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</si>
  <si>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</si>
  <si>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</si>
  <si>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</si>
  <si>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</si>
  <si>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</si>
  <si>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</si>
  <si>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</si>
  <si>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</si>
  <si>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</si>
  <si>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</si>
  <si>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</si>
  <si>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</si>
  <si>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</si>
  <si>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</si>
  <si>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</si>
  <si>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</si>
  <si>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</si>
  <si>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</si>
  <si>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</si>
  <si>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</si>
  <si>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</si>
  <si>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</si>
  <si>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</si>
  <si>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</si>
  <si>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</si>
  <si>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</si>
  <si>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</si>
  <si>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</si>
  <si>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</si>
  <si>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</si>
  <si>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</si>
  <si>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</si>
  <si>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</si>
  <si>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</si>
  <si>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</si>
  <si>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</si>
  <si>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</si>
  <si>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</si>
  <si>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</si>
  <si>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</si>
  <si>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</si>
  <si>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</si>
  <si>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</si>
  <si>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</si>
  <si>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</si>
  <si>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</si>
  <si>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</si>
  <si>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</si>
  <si>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</si>
  <si>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</si>
  <si>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</si>
  <si>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</si>
  <si>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</si>
  <si>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</si>
  <si>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</si>
  <si>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</si>
  <si>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</si>
  <si>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</si>
  <si>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</si>
  <si>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</si>
  <si>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</si>
  <si>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</si>
  <si>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</si>
  <si>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</si>
  <si>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</si>
  <si>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</si>
  <si>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</si>
  <si>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</si>
  <si>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</si>
  <si>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</si>
  <si>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</si>
  <si>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</si>
  <si>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</si>
  <si>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</si>
  <si>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</si>
  <si>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</si>
  <si>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</si>
  <si>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</si>
  <si>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</si>
  <si>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</si>
  <si>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</si>
  <si>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</si>
  <si>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</si>
  <si>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</si>
  <si>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</si>
  <si>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</si>
  <si>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</si>
  <si>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</si>
  <si>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</si>
  <si>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</si>
  <si>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</si>
  <si>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</si>
  <si>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</si>
  <si>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</si>
  <si>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</si>
  <si>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</si>
  <si>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</si>
  <si>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</si>
  <si>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</si>
  <si>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</si>
  <si>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</si>
  <si>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</si>
  <si>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</si>
  <si>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</si>
  <si>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</si>
  <si>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</si>
  <si>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</si>
  <si>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</si>
  <si>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</si>
  <si>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</si>
  <si>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</si>
  <si>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</si>
  <si>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</si>
  <si>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</si>
  <si>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</si>
  <si>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</si>
  <si>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</si>
  <si>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</si>
  <si>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</si>
  <si>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</si>
  <si>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</si>
  <si>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</si>
  <si>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</si>
  <si>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</si>
  <si>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</si>
  <si>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</si>
  <si>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</si>
  <si>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</si>
  <si>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</si>
  <si>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</si>
  <si>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</si>
  <si>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</si>
  <si>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</si>
  <si>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</si>
  <si>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</si>
  <si>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</si>
  <si>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</si>
  <si>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</si>
  <si>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</si>
  <si>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</si>
  <si>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</si>
  <si>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</si>
  <si>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</si>
  <si>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</si>
  <si>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</si>
  <si>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</si>
  <si>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</si>
  <si>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</si>
  <si>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</si>
  <si>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</si>
  <si>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</si>
  <si>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</si>
  <si>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</si>
  <si>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</si>
  <si>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</si>
  <si>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</si>
  <si>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</si>
  <si>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</si>
  <si>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</si>
  <si>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</si>
  <si>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</si>
  <si>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</si>
  <si>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</si>
  <si>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</si>
  <si>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</si>
  <si>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</si>
  <si>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</si>
  <si>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</si>
  <si>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</si>
  <si>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</si>
  <si>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</si>
  <si>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</si>
  <si>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</si>
  <si>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</si>
  <si>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</si>
  <si>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</si>
  <si>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</si>
  <si>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</si>
  <si>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</si>
  <si>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</si>
  <si>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</si>
  <si>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</si>
  <si>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</si>
  <si>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</si>
  <si>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</si>
  <si>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</si>
  <si>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</si>
  <si>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</si>
  <si>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</si>
  <si>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</si>
  <si>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</si>
  <si>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</si>
  <si>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</si>
  <si>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</si>
  <si>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</si>
  <si>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</si>
  <si>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</si>
  <si>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</si>
  <si>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</si>
  <si>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</si>
  <si>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</si>
  <si>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</si>
  <si>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</si>
  <si>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</si>
  <si>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</si>
  <si>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</si>
  <si>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</si>
  <si>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</si>
  <si>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</si>
  <si>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</si>
  <si>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</si>
  <si>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</si>
  <si>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</si>
  <si>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</si>
  <si>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</si>
  <si>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</si>
  <si>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</si>
  <si>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</si>
  <si>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</si>
  <si>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</si>
  <si>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</si>
  <si>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</si>
  <si>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</si>
  <si>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</si>
  <si>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</si>
  <si>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</si>
  <si>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</si>
  <si>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</si>
  <si>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</si>
  <si>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</si>
  <si>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</si>
  <si>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</si>
  <si>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</si>
  <si>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</si>
  <si>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</si>
  <si>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</si>
  <si>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</si>
  <si>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</si>
  <si>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</si>
  <si>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</si>
  <si>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</si>
  <si>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</si>
  <si>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</si>
  <si>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</si>
  <si>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</si>
  <si>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</si>
  <si>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</si>
  <si>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</si>
  <si>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</si>
  <si>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</si>
  <si>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</si>
  <si>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</si>
  <si>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</si>
  <si>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</si>
  <si>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</si>
  <si>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</si>
  <si>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</si>
  <si>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</si>
  <si>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</si>
  <si>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</si>
  <si>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</si>
  <si>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</si>
  <si>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</si>
  <si>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</si>
  <si>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</si>
  <si>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</si>
  <si>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</si>
  <si>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</si>
  <si>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</si>
  <si>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</si>
  <si>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</si>
  <si>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</si>
  <si>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</si>
  <si>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</si>
  <si>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</si>
  <si>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</si>
  <si>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</si>
  <si>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</si>
  <si>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</si>
  <si>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</si>
  <si>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</si>
  <si>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</si>
  <si>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</si>
  <si>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</si>
  <si>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</si>
  <si>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</si>
  <si>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</si>
  <si>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</si>
  <si>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</si>
  <si>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</si>
  <si>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</si>
  <si>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</si>
  <si>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</si>
  <si>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</si>
  <si>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</si>
  <si>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</si>
  <si>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</si>
  <si>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</si>
  <si>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</si>
  <si>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</si>
  <si>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</si>
  <si>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</si>
  <si>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</si>
  <si>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</si>
  <si>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</si>
  <si>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</si>
  <si>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</si>
  <si>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</si>
  <si>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</si>
  <si>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</si>
  <si>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</si>
  <si>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</si>
  <si>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</si>
  <si>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</si>
  <si>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</si>
  <si>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</si>
  <si>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</si>
  <si>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</si>
  <si>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</si>
  <si>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</si>
  <si>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</si>
  <si>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</si>
  <si>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</si>
  <si>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</si>
  <si>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</si>
  <si>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</si>
  <si>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</si>
  <si>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</si>
  <si>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</si>
  <si>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</si>
  <si>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</si>
  <si>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</si>
  <si>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</si>
  <si>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</si>
  <si>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</si>
  <si>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</si>
  <si>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</si>
  <si>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</si>
  <si>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</si>
  <si>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</si>
  <si>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</si>
  <si>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</si>
  <si>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</si>
  <si>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</si>
  <si>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</si>
  <si>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</si>
  <si>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</si>
  <si>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</si>
  <si>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</si>
  <si>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</si>
  <si>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</si>
  <si>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</si>
  <si>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</si>
  <si>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</si>
  <si>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</si>
  <si>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</si>
  <si>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</si>
  <si>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</si>
  <si>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</si>
  <si>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</si>
  <si>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</si>
  <si>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</si>
  <si>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</si>
  <si>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</si>
  <si>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</si>
  <si>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</si>
  <si>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</si>
  <si>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</si>
  <si>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</si>
  <si>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</si>
  <si>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</si>
  <si>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</si>
  <si>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</si>
  <si>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</si>
  <si>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</si>
  <si>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</si>
  <si>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</si>
  <si>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</si>
  <si>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</si>
  <si>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</si>
  <si>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</si>
  <si>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</si>
  <si>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</si>
  <si>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</si>
  <si>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</si>
  <si>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</si>
  <si>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</si>
  <si>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</si>
  <si>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</si>
  <si>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</si>
  <si>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</si>
  <si>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</si>
  <si>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</si>
  <si>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</si>
  <si>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</si>
  <si>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</si>
  <si>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</si>
  <si>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</si>
  <si>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</si>
  <si>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</si>
  <si>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</si>
  <si>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</si>
  <si>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</si>
  <si>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</si>
  <si>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</si>
  <si>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</si>
  <si>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</si>
  <si>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</si>
  <si>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</si>
  <si>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</si>
  <si>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</si>
  <si>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</si>
  <si>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</si>
  <si>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</si>
  <si>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</si>
  <si>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</si>
  <si>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</si>
  <si>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</si>
  <si>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</si>
  <si>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</si>
  <si>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</si>
  <si>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</si>
  <si>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</si>
  <si>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</si>
  <si>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</si>
  <si>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</si>
  <si>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</si>
  <si>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</si>
  <si>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</si>
  <si>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</si>
  <si>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</si>
  <si>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</si>
  <si>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</si>
  <si>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</si>
  <si>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</si>
  <si>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</si>
  <si>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</si>
  <si>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</si>
  <si>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</si>
  <si>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</si>
  <si>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</si>
  <si>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</si>
  <si>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</si>
  <si>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</si>
  <si>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</si>
  <si>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</si>
  <si>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</si>
  <si>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</si>
  <si>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</si>
  <si>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</si>
  <si>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</si>
  <si>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</si>
  <si>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</si>
  <si>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</si>
  <si>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</si>
  <si>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</si>
  <si>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</si>
  <si>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</si>
  <si>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</si>
  <si>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</si>
  <si>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</si>
  <si>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</si>
  <si>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</si>
  <si>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</si>
  <si>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</si>
  <si>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</si>
  <si>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</si>
  <si>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</si>
  <si>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</si>
  <si>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</si>
  <si>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</si>
  <si>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</si>
  <si>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</si>
  <si>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</si>
  <si>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</si>
  <si>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</si>
  <si>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</si>
  <si>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</si>
  <si>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</si>
  <si>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</si>
  <si>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</si>
  <si>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</si>
  <si>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</si>
  <si>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</si>
  <si>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</si>
  <si>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</si>
  <si>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</si>
  <si>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</si>
  <si>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</si>
  <si>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</si>
  <si>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</si>
  <si>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</si>
  <si>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</si>
  <si>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</si>
  <si>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</si>
  <si>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</si>
  <si>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</si>
  <si>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</si>
  <si>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</si>
  <si>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</si>
  <si>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</si>
  <si>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</si>
  <si>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</si>
  <si>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</si>
  <si>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</si>
  <si>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</si>
  <si>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</si>
  <si>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</si>
  <si>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</si>
  <si>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</si>
  <si>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</si>
  <si>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</si>
  <si>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</si>
  <si>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</si>
  <si>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</si>
  <si>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</si>
  <si>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</si>
  <si>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</si>
  <si>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</si>
  <si>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</si>
  <si>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</si>
  <si>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</si>
  <si>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</si>
  <si>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</si>
  <si>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</si>
  <si>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</si>
  <si>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</si>
  <si>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</si>
  <si>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</si>
  <si>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</si>
  <si>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</si>
  <si>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</si>
  <si>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</si>
  <si>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</si>
  <si>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</si>
  <si>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</si>
  <si>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</si>
  <si>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</si>
  <si>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</si>
  <si>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</si>
  <si>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</si>
  <si>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</si>
  <si>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</si>
  <si>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</si>
  <si>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</si>
  <si>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</si>
  <si>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</si>
  <si>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</si>
  <si>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</si>
  <si>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</si>
  <si>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</si>
  <si>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</si>
  <si>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</si>
  <si>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</si>
  <si>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</si>
  <si>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</si>
  <si>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</si>
  <si>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</si>
  <si>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</si>
  <si>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</si>
  <si>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</si>
  <si>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</si>
  <si>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</si>
  <si>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</si>
  <si>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</si>
  <si>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</si>
  <si>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</si>
  <si>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</si>
  <si>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</si>
  <si>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</si>
  <si>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</si>
  <si>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</si>
  <si>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</si>
  <si>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</si>
  <si>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</si>
  <si>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</si>
  <si>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</si>
  <si>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</si>
  <si>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</si>
  <si>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</si>
  <si>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</si>
  <si>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</si>
  <si>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</si>
  <si>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</si>
  <si>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</si>
  <si>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</si>
  <si>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</si>
  <si>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</si>
  <si>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</si>
  <si>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</si>
  <si>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</si>
  <si>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</si>
  <si>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</si>
  <si>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</si>
  <si>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</si>
  <si>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</si>
  <si>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</si>
  <si>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</si>
  <si>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</si>
  <si>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</si>
  <si>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</si>
  <si>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</si>
  <si>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</si>
  <si>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</si>
  <si>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</si>
  <si>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</si>
  <si>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</si>
  <si>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</si>
  <si>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</si>
  <si>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</si>
  <si>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</si>
  <si>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</si>
  <si>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</si>
  <si>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</si>
  <si>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</si>
  <si>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</si>
  <si>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</si>
  <si>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</si>
  <si>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</si>
  <si>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</si>
  <si>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</si>
  <si>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</si>
  <si>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</si>
  <si>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</si>
  <si>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</si>
  <si>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</si>
  <si>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</si>
  <si>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</si>
  <si>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</si>
  <si>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</si>
  <si>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</si>
  <si>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</si>
  <si>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</si>
  <si>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</si>
  <si>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</si>
  <si>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</si>
  <si>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</si>
  <si>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</si>
  <si>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</si>
  <si>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</si>
  <si>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</si>
  <si>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</si>
  <si>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</si>
  <si>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</si>
  <si>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</si>
  <si>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</si>
  <si>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</si>
  <si>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</si>
  <si>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</si>
  <si>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</si>
  <si>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</si>
  <si>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</si>
  <si>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</si>
  <si>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</si>
  <si>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</si>
  <si>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</si>
  <si>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</si>
  <si>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</si>
  <si>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</si>
  <si>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</si>
  <si>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</si>
  <si>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</si>
  <si>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</si>
  <si>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</si>
  <si>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</si>
  <si>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</si>
  <si>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</si>
  <si>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</si>
  <si>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</si>
  <si>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</si>
  <si>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</si>
  <si>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</si>
  <si>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</si>
  <si>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</si>
  <si>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</si>
  <si>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</si>
  <si>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</si>
  <si>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</si>
  <si>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</si>
  <si>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</si>
  <si>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</si>
  <si>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</si>
  <si>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</si>
  <si>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</si>
  <si>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</si>
  <si>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</si>
  <si>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</si>
  <si>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</si>
  <si>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</si>
  <si>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</si>
  <si>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</si>
  <si>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</si>
  <si>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</si>
  <si>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</si>
  <si>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</si>
  <si>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</si>
  <si>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</si>
  <si>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</si>
  <si>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</si>
  <si>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</si>
  <si>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</si>
  <si>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</si>
  <si>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</si>
  <si>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</si>
  <si>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</si>
  <si>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</si>
  <si>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</si>
  <si>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</si>
  <si>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</si>
  <si>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</si>
  <si>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</si>
  <si>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</si>
  <si>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</si>
  <si>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</si>
  <si>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</si>
  <si>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</si>
  <si>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</si>
  <si>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</si>
  <si>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</si>
  <si>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</si>
  <si>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</si>
  <si>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</si>
  <si>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</si>
  <si>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</si>
  <si>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</si>
  <si>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</si>
  <si>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</si>
  <si>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</si>
  <si>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</si>
  <si>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</si>
  <si>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</si>
  <si>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</si>
  <si>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</si>
  <si>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</si>
  <si>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</si>
  <si>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</si>
  <si>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</si>
  <si>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</si>
  <si>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</si>
  <si>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</si>
  <si>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</si>
  <si>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</si>
  <si>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</si>
  <si>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</si>
  <si>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</si>
  <si>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</si>
  <si>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</si>
  <si>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</si>
  <si>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</si>
  <si>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</si>
  <si>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</si>
  <si>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</si>
  <si>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</si>
  <si>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</si>
  <si>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</si>
  <si>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</si>
  <si>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</si>
  <si>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</si>
  <si>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</si>
  <si>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</si>
  <si>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</si>
  <si>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</si>
  <si>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</si>
  <si>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</si>
  <si>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</si>
  <si>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</si>
  <si>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</si>
  <si>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</si>
  <si>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</si>
  <si>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</si>
  <si>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</si>
  <si>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</si>
  <si>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</si>
  <si>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</si>
  <si>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</si>
  <si>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</si>
  <si>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</si>
  <si>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</si>
  <si>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</si>
  <si>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</si>
  <si>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</si>
  <si>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</si>
  <si>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</si>
  <si>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</si>
  <si>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</si>
  <si>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</si>
  <si>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</si>
  <si>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</si>
  <si>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</si>
  <si>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</si>
  <si>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</si>
  <si>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</si>
  <si>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</si>
  <si>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</si>
  <si>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</si>
  <si>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</si>
  <si>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</si>
  <si>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</si>
  <si>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</si>
  <si>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</si>
  <si>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</si>
  <si>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</si>
  <si>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</si>
  <si>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</si>
  <si>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</si>
  <si>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</si>
  <si>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</si>
  <si>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</si>
  <si>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</si>
  <si>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</si>
  <si>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</si>
  <si>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</si>
  <si>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</si>
  <si>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</si>
  <si>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</si>
  <si>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</si>
  <si>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</si>
  <si>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</si>
  <si>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</si>
  <si>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</si>
  <si>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</si>
  <si>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</si>
  <si>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</si>
  <si>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</si>
  <si>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</si>
  <si>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</si>
  <si>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</si>
  <si>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</si>
  <si>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</si>
  <si>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</si>
  <si>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</si>
  <si>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</si>
  <si>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</si>
  <si>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</si>
  <si>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</si>
  <si>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</si>
  <si>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</si>
  <si>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</si>
  <si>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</si>
  <si>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</si>
  <si>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</si>
  <si>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</si>
  <si>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</si>
  <si>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</si>
  <si>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</si>
  <si>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</si>
  <si>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</si>
  <si>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</si>
  <si>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</si>
  <si>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</si>
  <si>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</si>
  <si>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</si>
  <si>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</si>
  <si>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</si>
  <si>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</si>
  <si>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</si>
  <si>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</si>
  <si>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</si>
  <si>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</si>
  <si>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</si>
  <si>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</si>
  <si>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</si>
  <si>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</si>
  <si>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</si>
  <si>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</si>
  <si>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</si>
  <si>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</si>
  <si>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</si>
  <si>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</si>
  <si>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</si>
  <si>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</si>
  <si>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</si>
  <si>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</si>
  <si>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</si>
  <si>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</si>
  <si>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</si>
  <si>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</si>
  <si>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</si>
  <si>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</si>
  <si>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</si>
  <si>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</si>
  <si>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</si>
  <si>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</si>
  <si>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</si>
  <si>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</si>
  <si>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</si>
  <si>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</si>
  <si>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</si>
  <si>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</si>
  <si>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</si>
  <si>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</si>
  <si>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</si>
  <si>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</si>
  <si>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</si>
  <si>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</si>
  <si>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</si>
  <si>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</si>
  <si>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</si>
  <si>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</si>
  <si>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</si>
  <si>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</si>
  <si>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</si>
  <si>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</si>
  <si>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</si>
  <si>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</si>
  <si>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</si>
  <si>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</si>
  <si>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</si>
  <si>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</si>
  <si>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</si>
  <si>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</si>
  <si>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</si>
  <si>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</si>
  <si>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</si>
  <si>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</si>
  <si>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</si>
  <si>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</si>
  <si>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</si>
  <si>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</si>
  <si>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</si>
  <si>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</si>
  <si>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</si>
  <si>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</si>
  <si>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</si>
  <si>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</si>
  <si>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</si>
  <si>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</si>
  <si>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</si>
  <si>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</si>
  <si>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</si>
  <si>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</si>
  <si>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</si>
  <si>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</si>
  <si>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</si>
  <si>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</si>
  <si>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</si>
  <si>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</si>
  <si>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</si>
  <si>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</si>
  <si>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</si>
  <si>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</si>
  <si>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</si>
  <si>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</si>
  <si>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</si>
  <si>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</si>
  <si>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</si>
  <si>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</si>
  <si>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</si>
  <si>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</si>
  <si>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</si>
  <si>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</si>
  <si>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</si>
  <si>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</si>
  <si>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</si>
  <si>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</si>
  <si>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</si>
  <si>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</si>
  <si>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</si>
  <si>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</si>
  <si>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</si>
  <si>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</si>
  <si>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</si>
  <si>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</si>
  <si>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</si>
  <si>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</si>
  <si>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</si>
  <si>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</si>
  <si>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</si>
  <si>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</si>
  <si>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</si>
  <si>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</si>
  <si>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</si>
  <si>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</si>
  <si>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</si>
  <si>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</si>
  <si>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</si>
  <si>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</si>
  <si>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</si>
  <si>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</si>
  <si>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</si>
  <si>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</si>
  <si>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</si>
  <si>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</si>
  <si>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</si>
  <si>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</si>
  <si>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</si>
  <si>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</si>
  <si>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</si>
  <si>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</si>
  <si>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</si>
  <si>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</si>
  <si>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</si>
  <si>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</si>
  <si>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</si>
  <si>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</si>
  <si>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</si>
  <si>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</si>
  <si>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</si>
  <si>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</si>
  <si>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</si>
  <si>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</si>
  <si>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</si>
  <si>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</si>
  <si>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</si>
  <si>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</si>
  <si>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</si>
  <si>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</si>
  <si>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</si>
  <si>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</si>
  <si>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</si>
  <si>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</si>
  <si>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</si>
  <si>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</si>
  <si>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</si>
  <si>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</si>
  <si>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</si>
  <si>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</si>
  <si>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</si>
  <si>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</si>
  <si>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</si>
  <si>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</si>
  <si>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</si>
  <si>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</si>
  <si>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</si>
  <si>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</si>
  <si>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</si>
  <si>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</si>
  <si>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</si>
  <si>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</si>
  <si>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</si>
  <si>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</si>
  <si>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</si>
  <si>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</si>
  <si>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</si>
  <si>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</si>
  <si>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</si>
  <si>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</si>
  <si>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</si>
  <si>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</si>
  <si>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</si>
  <si>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</si>
  <si>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</si>
  <si>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</si>
  <si>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</si>
  <si>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</si>
  <si>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</si>
  <si>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</si>
  <si>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</si>
  <si>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</si>
  <si>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</si>
  <si>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</si>
  <si>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</si>
  <si>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</si>
  <si>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</si>
  <si>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</si>
  <si>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</si>
  <si>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</si>
  <si>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</si>
  <si>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</si>
  <si>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</si>
  <si>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</si>
  <si>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</si>
  <si>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</si>
  <si>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</si>
  <si>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</si>
  <si>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</si>
  <si>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</si>
  <si>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</si>
  <si>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</si>
  <si>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</si>
  <si>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</si>
  <si>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</si>
  <si>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</si>
  <si>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</si>
  <si>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</si>
  <si>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</si>
  <si>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</si>
  <si>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</si>
  <si>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</si>
  <si>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</si>
  <si>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</si>
  <si>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</si>
  <si>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</si>
  <si>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</si>
  <si>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</si>
  <si>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</si>
  <si>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</si>
  <si>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</si>
  <si>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</si>
  <si>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</si>
  <si>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</si>
  <si>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</si>
  <si>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</si>
  <si>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</si>
  <si>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</si>
  <si>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</si>
  <si>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</si>
  <si>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</si>
  <si>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</si>
  <si>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</si>
  <si>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</si>
  <si>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</si>
  <si>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</si>
  <si>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</si>
  <si>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</si>
  <si>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</si>
  <si>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</si>
  <si>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</si>
  <si>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</si>
  <si>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</si>
  <si>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</si>
  <si>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</si>
  <si>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</si>
  <si>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</si>
  <si>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</si>
  <si>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</si>
  <si>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</si>
  <si>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</si>
  <si>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</si>
  <si>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</si>
  <si>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</si>
  <si>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</si>
  <si>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</si>
  <si>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</si>
  <si>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</si>
  <si>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</si>
  <si>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</si>
  <si>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</si>
  <si>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</si>
  <si>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</si>
  <si>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</si>
  <si>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</si>
  <si>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</si>
  <si>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</si>
  <si>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</si>
  <si>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</si>
  <si>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</si>
  <si>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</si>
  <si>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</si>
  <si>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</si>
  <si>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</si>
  <si>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</si>
  <si>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</si>
  <si>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</si>
  <si>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</si>
  <si>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</si>
  <si>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</si>
  <si>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</si>
  <si>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</si>
  <si>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</si>
  <si>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</si>
  <si>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</si>
  <si>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</si>
  <si>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</si>
  <si>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</si>
  <si>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</si>
  <si>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</si>
  <si>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</si>
  <si>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</si>
  <si>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</si>
  <si>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</si>
  <si>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</si>
  <si>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</si>
  <si>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</si>
  <si>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</si>
  <si>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</si>
  <si>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</si>
  <si>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</si>
  <si>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</si>
  <si>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</si>
  <si>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</si>
  <si>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</si>
  <si>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</si>
  <si>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</si>
  <si>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</si>
  <si>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</si>
  <si>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</si>
  <si>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</si>
  <si>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</si>
  <si>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</si>
  <si>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</si>
  <si>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</si>
  <si>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</si>
  <si>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</si>
  <si>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</si>
  <si>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</si>
  <si>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</si>
  <si>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</si>
  <si>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</si>
  <si>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</si>
  <si>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</si>
  <si>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</si>
  <si>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</si>
  <si>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</si>
  <si>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</si>
  <si>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</si>
  <si>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</si>
  <si>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</si>
  <si>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</si>
  <si>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</si>
  <si>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</si>
  <si>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</si>
  <si>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</si>
  <si>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</si>
  <si>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</si>
  <si>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</si>
  <si>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</si>
  <si>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</si>
  <si>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</si>
  <si>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</si>
  <si>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</si>
  <si>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</si>
  <si>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</si>
  <si>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</si>
  <si>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</si>
  <si>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</si>
  <si>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</si>
  <si>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</si>
  <si>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</si>
  <si>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</si>
  <si>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</si>
  <si>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</si>
  <si>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</si>
  <si>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</si>
  <si>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</si>
  <si>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</si>
  <si>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</si>
  <si>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</si>
  <si>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</si>
  <si>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</si>
  <si>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</si>
  <si>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</si>
  <si>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</si>
  <si>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</si>
  <si>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</si>
  <si>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</si>
  <si>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</si>
  <si>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</si>
  <si>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</si>
  <si>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</si>
  <si>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</si>
  <si>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</si>
  <si>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</si>
  <si>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</si>
  <si>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</si>
  <si>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</si>
  <si>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</si>
  <si>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</si>
  <si>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</si>
  <si>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</si>
  <si>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</si>
  <si>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</si>
  <si>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</si>
  <si>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</si>
  <si>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</si>
  <si>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</si>
  <si>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</si>
  <si>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</si>
  <si>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</si>
  <si>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</si>
  <si>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</si>
  <si>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</si>
  <si>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</si>
  <si>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</si>
  <si>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</si>
  <si>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</si>
  <si>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</si>
  <si>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</si>
  <si>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</si>
  <si>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</si>
  <si>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</si>
  <si>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</si>
  <si>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</si>
  <si>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</si>
  <si>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</si>
  <si>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</si>
  <si>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</si>
  <si>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</si>
  <si>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</si>
  <si>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</si>
  <si>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</si>
  <si>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</si>
  <si>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</si>
  <si>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</si>
  <si>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</si>
  <si>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</si>
  <si>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</si>
  <si>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</si>
  <si>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</si>
  <si>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</si>
  <si>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</si>
  <si>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</si>
  <si>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</si>
  <si>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</si>
  <si>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</si>
  <si>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</si>
  <si>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</si>
  <si>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</si>
  <si>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</si>
  <si>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</si>
  <si>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</si>
  <si>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</si>
  <si>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</si>
  <si>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</si>
  <si>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</si>
  <si>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</si>
  <si>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</si>
  <si>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</si>
  <si>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</si>
  <si>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</si>
  <si>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</si>
  <si>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</si>
  <si>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</si>
  <si>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</si>
  <si>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</si>
  <si>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</si>
  <si>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</si>
  <si>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</si>
  <si>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</si>
  <si>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</si>
  <si>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</si>
  <si>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</si>
  <si>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</si>
  <si>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</si>
  <si>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</si>
  <si>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</si>
  <si>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</si>
  <si>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</si>
  <si>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</si>
  <si>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</si>
  <si>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</si>
  <si>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</si>
  <si>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</si>
  <si>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</si>
  <si>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</si>
  <si>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</si>
  <si>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</si>
  <si>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</si>
  <si>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</si>
  <si>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</si>
  <si>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</si>
  <si>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</si>
  <si>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</si>
  <si>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</si>
  <si>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</si>
  <si>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</si>
  <si>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</si>
  <si>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</si>
  <si>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</si>
  <si>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</si>
  <si>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</si>
  <si>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</si>
  <si>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</si>
  <si>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</si>
  <si>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</si>
  <si>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</si>
  <si>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</si>
  <si>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</si>
  <si>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</si>
  <si>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</si>
  <si>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</si>
  <si>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</si>
  <si>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</si>
  <si>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</si>
  <si>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</si>
  <si>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</si>
  <si>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</si>
  <si>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</si>
  <si>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</si>
  <si>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</si>
  <si>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</si>
  <si>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</si>
  <si>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</si>
  <si>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</si>
  <si>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</si>
  <si>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</si>
  <si>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</si>
  <si>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</si>
  <si>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</si>
  <si>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</si>
  <si>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</si>
  <si>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</si>
  <si>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</si>
  <si>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</si>
  <si>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</si>
  <si>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</si>
  <si>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</si>
  <si>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</si>
  <si>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</si>
  <si>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</si>
  <si>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</si>
  <si>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</si>
  <si>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</si>
  <si>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</si>
  <si>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</si>
  <si>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</si>
  <si>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</si>
  <si>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</si>
  <si>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</si>
  <si>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</si>
  <si>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</si>
  <si>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</si>
  <si>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</si>
  <si>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</si>
  <si>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</si>
  <si>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</si>
  <si>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</si>
  <si>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</si>
  <si>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</si>
  <si>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</si>
  <si>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</si>
  <si>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</si>
  <si>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</si>
  <si>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</si>
  <si>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</si>
  <si>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</si>
  <si>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</si>
  <si>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</si>
  <si>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</si>
  <si>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</si>
  <si>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</si>
  <si>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</si>
  <si>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</si>
  <si>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</si>
  <si>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</si>
  <si>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</si>
  <si>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</si>
  <si>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</si>
  <si>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</si>
  <si>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</si>
  <si>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</si>
  <si>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</si>
  <si>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</si>
  <si>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</si>
  <si>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</si>
  <si>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</si>
  <si>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</si>
  <si>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</si>
  <si>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</si>
  <si>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</si>
  <si>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</si>
  <si>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</si>
  <si>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</si>
  <si>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</si>
  <si>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</si>
  <si>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</si>
  <si>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</si>
  <si>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</si>
  <si>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</si>
  <si>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</si>
  <si>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</si>
  <si>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</si>
  <si>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</si>
  <si>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</si>
  <si>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</si>
  <si>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</si>
  <si>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</si>
  <si>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</si>
  <si>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</si>
  <si>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</si>
  <si>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</si>
  <si>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</si>
  <si>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</si>
  <si>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</si>
  <si>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</si>
  <si>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</si>
  <si>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</si>
  <si>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</si>
  <si>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</si>
  <si>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</si>
  <si>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</si>
  <si>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</si>
  <si>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</si>
  <si>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</si>
  <si>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</si>
  <si>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</si>
  <si>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</si>
  <si>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</si>
  <si>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</si>
  <si>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</si>
  <si>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</si>
  <si>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</si>
  <si>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</si>
  <si>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</si>
  <si>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</si>
  <si>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</si>
  <si>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</si>
  <si>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</si>
  <si>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</si>
  <si>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</si>
  <si>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</si>
  <si>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</si>
  <si>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</si>
  <si>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</si>
  <si>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</si>
  <si>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</si>
  <si>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</si>
  <si>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</si>
  <si>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</si>
  <si>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</si>
  <si>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</si>
  <si>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</si>
  <si>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</si>
  <si>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</si>
  <si>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</si>
  <si>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</si>
  <si>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</si>
  <si>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</si>
  <si>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</si>
  <si>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</si>
  <si>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</si>
  <si>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</si>
  <si>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</si>
  <si>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</si>
  <si>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</si>
  <si>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</si>
  <si>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</si>
  <si>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</si>
  <si>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</si>
  <si>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</si>
  <si>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</si>
  <si>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</si>
  <si>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</si>
  <si>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</si>
  <si>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</si>
  <si>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</si>
  <si>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</si>
  <si>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</si>
  <si>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</si>
  <si>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</si>
  <si>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</si>
  <si>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</si>
  <si>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</si>
  <si>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</si>
  <si>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</si>
  <si>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</si>
  <si>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</si>
  <si>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</si>
  <si>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</si>
  <si>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</si>
  <si>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</si>
  <si>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</si>
  <si>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</si>
  <si>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</si>
  <si>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</si>
  <si>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</si>
  <si>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</si>
  <si>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</si>
  <si>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</si>
  <si>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</si>
  <si>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</si>
  <si>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</si>
  <si>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</si>
  <si>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</si>
  <si>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</si>
  <si>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</si>
  <si>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</si>
  <si>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</si>
  <si>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</si>
  <si>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</si>
  <si>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</si>
  <si>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</si>
  <si>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</si>
  <si>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</si>
  <si>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</si>
  <si>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</si>
  <si>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</si>
  <si>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</si>
  <si>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</si>
  <si>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</si>
  <si>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</si>
  <si>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</si>
  <si>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</si>
  <si>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</si>
  <si>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</si>
  <si>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</si>
  <si>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</si>
  <si>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</si>
  <si>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</si>
  <si>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</si>
  <si>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</si>
  <si>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</si>
  <si>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</si>
  <si>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</si>
  <si>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</si>
  <si>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</si>
  <si>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</si>
  <si>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</si>
  <si>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</si>
  <si>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</si>
  <si>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</si>
  <si>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</si>
  <si>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</si>
  <si>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</si>
  <si>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</si>
  <si>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</si>
  <si>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</si>
  <si>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</si>
  <si>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</si>
  <si>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</si>
  <si>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</si>
  <si>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</si>
  <si>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</si>
  <si>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</si>
  <si>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</si>
  <si>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</si>
  <si>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</si>
  <si>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</si>
  <si>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</si>
  <si>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</si>
  <si>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</si>
  <si>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</si>
  <si>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</si>
  <si>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</si>
  <si>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</si>
  <si>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</si>
  <si>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</si>
  <si>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</si>
  <si>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</si>
  <si>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</si>
  <si>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</si>
  <si>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</si>
  <si>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</si>
  <si>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</si>
  <si>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</si>
  <si>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</si>
  <si>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</si>
  <si>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</si>
  <si>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</si>
  <si>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</si>
  <si>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</si>
  <si>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</si>
  <si>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</si>
  <si>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</si>
  <si>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</si>
  <si>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</si>
  <si>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</si>
  <si>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</si>
  <si>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</si>
  <si>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</si>
  <si>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</si>
  <si>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</si>
  <si>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</si>
  <si>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</si>
  <si>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</si>
  <si>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</si>
  <si>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</si>
  <si>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</si>
  <si>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</si>
  <si>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</si>
  <si>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</si>
  <si>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</si>
  <si>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</si>
  <si>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</si>
  <si>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</si>
  <si>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</si>
  <si>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</si>
  <si>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</si>
  <si>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</si>
  <si>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</si>
  <si>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</si>
  <si>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</si>
  <si>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</si>
  <si>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</si>
  <si>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</si>
  <si>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</si>
  <si>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</si>
  <si>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</si>
  <si>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</si>
  <si>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</si>
  <si>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</si>
  <si>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</si>
  <si>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</si>
  <si>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</si>
  <si>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</si>
  <si>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-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</si>
  <si>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</si>
  <si>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</si>
  <si>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</si>
  <si>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</si>
  <si>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</si>
  <si>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</si>
  <si>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</si>
  <si>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</si>
  <si>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</si>
  <si>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</si>
  <si>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</si>
  <si>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</si>
  <si>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</si>
  <si>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</si>
  <si>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</si>
  <si>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</si>
  <si>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</si>
  <si>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</si>
  <si>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</si>
  <si>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</si>
  <si>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</si>
  <si>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</si>
  <si>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</si>
  <si>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</si>
  <si>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</si>
  <si>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</si>
  <si>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</si>
  <si>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</si>
  <si>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</si>
  <si>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</si>
  <si>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</si>
  <si>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</si>
  <si>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</si>
  <si>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</si>
  <si>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</si>
  <si>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</si>
  <si>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</si>
  <si>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</si>
  <si>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</si>
  <si>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</si>
  <si>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</si>
  <si>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</si>
  <si>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</si>
  <si>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</si>
  <si>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</si>
  <si>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</si>
  <si>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</si>
  <si>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</si>
  <si>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</si>
  <si>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</si>
  <si>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</si>
  <si>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</si>
  <si>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</si>
  <si>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</si>
  <si>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</si>
  <si>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</si>
  <si>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</si>
  <si>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</si>
  <si>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</si>
  <si>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</si>
  <si>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</si>
  <si>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</si>
  <si>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</si>
  <si>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</si>
  <si>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</si>
  <si>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</si>
  <si>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</si>
  <si>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</si>
  <si>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</si>
  <si>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</si>
  <si>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</si>
  <si>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</si>
  <si>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</si>
  <si>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</si>
  <si>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</si>
  <si>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</si>
  <si>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</si>
  <si>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</si>
  <si>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</si>
  <si>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</si>
  <si>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</si>
  <si>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</si>
  <si>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</si>
  <si>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</si>
  <si>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</si>
  <si>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</si>
  <si>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</si>
  <si>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</si>
  <si>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</si>
  <si>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</si>
  <si>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</si>
  <si>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</si>
  <si>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</si>
  <si>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</si>
  <si>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</si>
  <si>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</si>
  <si>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</si>
  <si>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</si>
  <si>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</si>
  <si>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</si>
  <si>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</si>
  <si>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</si>
  <si>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</si>
  <si>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</si>
  <si>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</si>
  <si>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</si>
  <si>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</si>
  <si>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</si>
  <si>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</si>
  <si>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</si>
  <si>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</si>
  <si>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</si>
  <si>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</si>
  <si>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</si>
  <si>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</si>
  <si>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</si>
  <si>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</si>
  <si>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</si>
  <si>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</si>
  <si>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</si>
  <si>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</si>
  <si>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</si>
  <si>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</si>
  <si>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</si>
  <si>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</si>
  <si>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</si>
  <si>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</si>
  <si>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</si>
  <si>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</si>
  <si>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</si>
  <si>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</si>
  <si>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</si>
  <si>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</si>
  <si>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</si>
  <si>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</si>
  <si>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</si>
  <si>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</si>
  <si>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</si>
  <si>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</si>
  <si>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</si>
  <si>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</si>
  <si>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</si>
  <si>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</si>
  <si>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</si>
  <si>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</si>
  <si>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</si>
  <si>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</si>
  <si>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</si>
  <si>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</si>
  <si>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</si>
  <si>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</si>
  <si>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</si>
  <si>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</si>
  <si>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</t>
  </si>
  <si>
    <t>21/08/2026</t>
  </si>
  <si>
    <t>2026-059</t>
  </si>
  <si>
    <t>TCendo o Futuro 5</t>
  </si>
  <si>
    <t>24/09/2026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</si>
  <si>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</si>
  <si>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</si>
  <si>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</si>
  <si>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</si>
  <si>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</si>
  <si>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</si>
  <si>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</si>
  <si>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</si>
  <si>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</si>
  <si>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</si>
  <si>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</si>
  <si>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</si>
  <si>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</si>
  <si>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</si>
  <si>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</si>
  <si>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</si>
  <si>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</si>
  <si>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</si>
  <si>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</si>
  <si>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</si>
  <si>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</si>
  <si>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</si>
  <si>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</si>
  <si>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</si>
  <si>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</si>
  <si>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</si>
  <si>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</si>
  <si>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</si>
  <si>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</si>
  <si>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</si>
  <si>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</si>
  <si>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</si>
  <si>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</si>
  <si>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</si>
  <si>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</si>
  <si>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</si>
  <si>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</si>
  <si>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</si>
  <si>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</si>
  <si>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</si>
  <si>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</si>
  <si>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</si>
  <si>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</si>
  <si>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</si>
  <si>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</si>
  <si>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</si>
  <si>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</si>
  <si>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</si>
  <si>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</si>
  <si>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</si>
  <si>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</si>
  <si>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</si>
  <si>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</si>
  <si>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</si>
  <si>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</si>
  <si>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</si>
  <si>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</si>
  <si>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</si>
  <si>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</si>
  <si>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</si>
  <si>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</si>
  <si>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</si>
  <si>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</si>
  <si>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</si>
  <si>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</si>
  <si>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</si>
  <si>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</si>
  <si>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</si>
  <si>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</si>
  <si>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</si>
  <si>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</si>
  <si>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</si>
  <si>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</si>
  <si>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</si>
  <si>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</si>
  <si>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</si>
  <si>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</si>
  <si>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</si>
  <si>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</si>
  <si>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</si>
  <si>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</si>
  <si>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</si>
  <si>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</si>
  <si>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</si>
  <si>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</si>
  <si>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</si>
  <si>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</si>
  <si>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</si>
  <si>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</si>
  <si>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</si>
  <si>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</si>
  <si>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</si>
  <si>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</si>
  <si>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</si>
  <si>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</si>
  <si>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</si>
  <si>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</si>
  <si>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</si>
  <si>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</si>
  <si>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</si>
  <si>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</si>
  <si>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</si>
  <si>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</si>
  <si>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</si>
  <si>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</si>
  <si>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</si>
  <si>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</si>
  <si>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</si>
  <si>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</si>
  <si>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</si>
  <si>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</si>
  <si>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</si>
  <si>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</si>
  <si>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</si>
  <si>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</si>
  <si>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</si>
  <si>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</si>
  <si>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</si>
  <si>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</si>
  <si>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</si>
  <si>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</si>
  <si>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</si>
  <si>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</si>
  <si>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</si>
  <si>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</si>
  <si>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</si>
  <si>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</si>
  <si>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</si>
  <si>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</si>
  <si>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</si>
  <si>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</si>
  <si>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</si>
  <si>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</si>
  <si>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</si>
  <si>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</si>
  <si>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</si>
  <si>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</si>
  <si>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</si>
  <si>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</si>
  <si>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</si>
  <si>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</si>
  <si>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</si>
  <si>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</si>
  <si>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</si>
  <si>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</si>
  <si>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</si>
  <si>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</si>
  <si>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</si>
  <si>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</si>
  <si>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</si>
  <si>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</si>
  <si>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</si>
  <si>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</si>
  <si>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</si>
  <si>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</si>
  <si>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</si>
  <si>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</si>
  <si>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</si>
  <si>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</si>
  <si>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</si>
  <si>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</si>
  <si>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</si>
  <si>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</si>
  <si>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</si>
  <si>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</si>
  <si>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</si>
  <si>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</si>
  <si>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</si>
  <si>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</si>
  <si>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</si>
  <si>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</si>
  <si>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</si>
  <si>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</si>
  <si>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</si>
  <si>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</si>
  <si>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</si>
  <si>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</si>
  <si>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</si>
  <si>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</si>
  <si>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</si>
  <si>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</si>
  <si>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</si>
  <si>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</si>
  <si>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</si>
  <si>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</si>
  <si>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</si>
  <si>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</si>
  <si>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</si>
  <si>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</si>
  <si>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</si>
  <si>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</si>
  <si>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</si>
  <si>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</si>
  <si>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</si>
  <si>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</si>
  <si>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</si>
  <si>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</si>
  <si>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</si>
  <si>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</si>
  <si>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</si>
  <si>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</si>
  <si>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</si>
  <si>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</si>
  <si>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</si>
  <si>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</si>
  <si>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</si>
  <si>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</si>
  <si>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</si>
  <si>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</si>
  <si>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</si>
  <si>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</si>
  <si>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</si>
  <si>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</si>
  <si>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</si>
  <si>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</si>
  <si>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</si>
  <si>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</si>
  <si>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</si>
  <si>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</si>
  <si>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</si>
  <si>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</si>
  <si>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</si>
  <si>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</si>
  <si>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</si>
  <si>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</si>
  <si>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</si>
  <si>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</si>
  <si>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</si>
  <si>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</si>
  <si>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</si>
  <si>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</si>
  <si>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</si>
  <si>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</si>
  <si>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</si>
  <si>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</si>
  <si>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</si>
  <si>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</si>
  <si>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</si>
  <si>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</si>
  <si>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</si>
  <si>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</si>
  <si>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</si>
  <si>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</si>
  <si>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</si>
  <si>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</si>
  <si>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</si>
  <si>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</si>
  <si>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</si>
  <si>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</si>
  <si>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</si>
  <si>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</si>
  <si>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</si>
  <si>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</si>
  <si>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</si>
  <si>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</si>
  <si>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</si>
  <si>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</si>
  <si>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</si>
  <si>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</si>
  <si>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</si>
  <si>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</si>
  <si>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</si>
  <si>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</si>
  <si>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</si>
  <si>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</si>
  <si>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</si>
  <si>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</si>
  <si>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</si>
  <si>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</si>
  <si>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</si>
  <si>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</si>
  <si>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</si>
  <si>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</si>
  <si>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</si>
  <si>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</si>
  <si>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</si>
  <si>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</si>
  <si>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10909/2026</t>
  </si>
  <si>
    <t>10908/2026</t>
  </si>
  <si>
    <t>17/11/2026</t>
  </si>
  <si>
    <t>2026-087</t>
  </si>
  <si>
    <t>11553/2026</t>
  </si>
  <si>
    <t>18/09/2026</t>
  </si>
  <si>
    <t>UniTCDF: Gestão Pública e Responsabilidade Fiscal (CEUB)</t>
  </si>
  <si>
    <t>Café e Tertúlia - Show de Talentos</t>
  </si>
  <si>
    <t>10/04/2026</t>
  </si>
  <si>
    <t>2026-079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</si>
</sst>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60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4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3" fontId="48" fillId="0" borderId="1" xfId="0" quotePrefix="1" applyNumberFormat="1" applyFont="1" applyBorder="1" applyAlignment="1">
      <alignment horizontal="center" vertical="center"/>
    </xf>
    <xf numFmtId="44" fontId="48" fillId="0" borderId="1" xfId="2" applyFont="1" applyFill="1" applyBorder="1" applyAlignment="1">
      <alignment vertical="center"/>
    </xf>
    <xf numFmtId="0" fontId="59" fillId="0" borderId="0" xfId="0" applyFont="1" applyAlignment="1">
      <alignment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24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841</c:v>
                </c:pt>
                <c:pt idx="1">
                  <c:v>1521</c:v>
                </c:pt>
                <c:pt idx="2">
                  <c:v>590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18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4</c:v>
                </c:pt>
                <c:pt idx="1">
                  <c:v>1</c:v>
                </c:pt>
                <c:pt idx="2">
                  <c:v>4</c:v>
                </c:pt>
                <c:pt idx="3">
                  <c:v>0</c:v>
                </c:pt>
                <c:pt idx="4">
                  <c:v>1</c:v>
                </c:pt>
                <c:pt idx="5">
                  <c:v>11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">
      <filters>
        <filter val="2026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8" totalsRowShown="0">
  <autoFilter ref="A3:E108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719" activePane="bottomLeft" state="frozen"/>
      <selection pane="bottomLeft" activeCell="A737" sqref="A737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2026-088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1498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45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13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7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30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30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30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30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30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>
        <v>8890</v>
      </c>
      <c r="M627" s="134"/>
      <c r="N627" s="135">
        <v>7</v>
      </c>
      <c r="O627" s="136">
        <v>7</v>
      </c>
      <c r="P627" s="136">
        <v>0</v>
      </c>
      <c r="Q627" s="136">
        <v>0</v>
      </c>
      <c r="R627" s="136">
        <f t="shared" si="10"/>
        <v>7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30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30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>
        <v>5</v>
      </c>
      <c r="N655" s="135">
        <v>1</v>
      </c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46240</v>
      </c>
      <c r="J657" s="192">
        <v>46241</v>
      </c>
      <c r="K657" s="183" t="s">
        <v>38</v>
      </c>
      <c r="L657" s="227">
        <v>3340.91</v>
      </c>
      <c r="M657" s="188">
        <v>4.79</v>
      </c>
      <c r="N657" s="189">
        <v>400</v>
      </c>
      <c r="O657" s="190">
        <v>166</v>
      </c>
      <c r="P657" s="190">
        <v>286</v>
      </c>
      <c r="Q657" s="190">
        <v>20</v>
      </c>
      <c r="R657" s="190">
        <f>IF(B657="","",SUM(O657:Q657))</f>
        <v>472</v>
      </c>
      <c r="S657" s="183">
        <v>8</v>
      </c>
      <c r="T657" s="186" t="s">
        <v>2690</v>
      </c>
    </row>
    <row r="658" spans="1:20" ht="15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x14ac:dyDescent="0.25">
      <c r="A660" s="191" t="s">
        <v>2702</v>
      </c>
      <c r="B660" s="127">
        <v>2026</v>
      </c>
      <c r="C660" s="183" t="s">
        <v>22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/>
      <c r="I662" s="192"/>
      <c r="J662" s="192"/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9.66</v>
      </c>
      <c r="T662" s="186" t="s">
        <v>2713</v>
      </c>
    </row>
    <row r="663" spans="1:20" ht="30" x14ac:dyDescent="0.25">
      <c r="A663" s="191" t="s">
        <v>2714</v>
      </c>
      <c r="B663" s="127">
        <v>2026</v>
      </c>
      <c r="C663" s="164" t="s">
        <v>2697</v>
      </c>
      <c r="D663" s="127" t="s">
        <v>2715</v>
      </c>
      <c r="E663" s="162" t="s">
        <v>2716</v>
      </c>
      <c r="F663" s="129" t="s">
        <v>88</v>
      </c>
      <c r="G663" s="130" t="s">
        <v>2717</v>
      </c>
      <c r="H663" s="131" t="s">
        <v>2718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2719</v>
      </c>
    </row>
    <row r="664" spans="1:20" ht="15" x14ac:dyDescent="0.25">
      <c r="A664" s="191" t="s">
        <v>2720</v>
      </c>
      <c r="B664" s="127">
        <v>2026</v>
      </c>
      <c r="C664" s="183" t="s">
        <v>22</v>
      </c>
      <c r="D664" s="183" t="s">
        <v>2721</v>
      </c>
      <c r="E664" s="184" t="s">
        <v>2722</v>
      </c>
      <c r="F664" s="185" t="s">
        <v>24</v>
      </c>
      <c r="G664" s="186" t="s">
        <v>25</v>
      </c>
      <c r="H664" s="191" t="s">
        <v>2723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2724</v>
      </c>
    </row>
    <row r="665" spans="1:20" ht="15" x14ac:dyDescent="0.25">
      <c r="A665" s="137" t="s">
        <v>2725</v>
      </c>
      <c r="B665" s="127">
        <v>2026</v>
      </c>
      <c r="C665" s="183" t="s">
        <v>22</v>
      </c>
      <c r="D665" s="183" t="s">
        <v>2726</v>
      </c>
      <c r="E665" s="184" t="s">
        <v>2676</v>
      </c>
      <c r="F665" s="185" t="s">
        <v>24</v>
      </c>
      <c r="G665" s="186" t="s">
        <v>42</v>
      </c>
      <c r="H665" s="191" t="s">
        <v>2727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x14ac:dyDescent="0.25">
      <c r="A666" s="137" t="s">
        <v>2728</v>
      </c>
      <c r="B666" s="127">
        <v>2026</v>
      </c>
      <c r="C666" s="183" t="s">
        <v>22</v>
      </c>
      <c r="D666" s="183" t="s">
        <v>2729</v>
      </c>
      <c r="E666" s="184" t="s">
        <v>2730</v>
      </c>
      <c r="F666" s="185" t="s">
        <v>24</v>
      </c>
      <c r="G666" s="186" t="s">
        <v>371</v>
      </c>
      <c r="H666" s="191" t="s">
        <v>2731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x14ac:dyDescent="0.25">
      <c r="A667" s="137" t="s">
        <v>2732</v>
      </c>
      <c r="B667" s="127">
        <v>2026</v>
      </c>
      <c r="C667" s="127" t="s">
        <v>22</v>
      </c>
      <c r="D667" s="173" t="s">
        <v>2733</v>
      </c>
      <c r="E667" s="180" t="s">
        <v>2734</v>
      </c>
      <c r="F667" s="129" t="s">
        <v>88</v>
      </c>
      <c r="G667" s="130" t="s">
        <v>2717</v>
      </c>
      <c r="H667" s="175" t="s">
        <v>2735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x14ac:dyDescent="0.25">
      <c r="A668" s="191" t="s">
        <v>2736</v>
      </c>
      <c r="B668" s="127">
        <v>2026</v>
      </c>
      <c r="C668" s="215" t="s">
        <v>22</v>
      </c>
      <c r="D668" s="183" t="s">
        <v>2737</v>
      </c>
      <c r="E668" s="184" t="s">
        <v>2738</v>
      </c>
      <c r="F668" s="185" t="s">
        <v>88</v>
      </c>
      <c r="G668" s="186" t="s">
        <v>2717</v>
      </c>
      <c r="H668" s="191" t="s">
        <v>2739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x14ac:dyDescent="0.25">
      <c r="A669" s="191" t="s">
        <v>2740</v>
      </c>
      <c r="B669" s="127">
        <v>2026</v>
      </c>
      <c r="C669" s="127" t="s">
        <v>22</v>
      </c>
      <c r="D669" s="173" t="s">
        <v>2741</v>
      </c>
      <c r="E669" s="180" t="s">
        <v>2742</v>
      </c>
      <c r="F669" s="129" t="s">
        <v>69</v>
      </c>
      <c r="G669" s="174" t="s">
        <v>2694</v>
      </c>
      <c r="H669" s="175" t="s">
        <v>2743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2744</v>
      </c>
    </row>
    <row r="670" spans="1:20" ht="30" x14ac:dyDescent="0.25">
      <c r="A670" s="191" t="s">
        <v>2745</v>
      </c>
      <c r="B670" s="127">
        <v>2026</v>
      </c>
      <c r="C670" s="127" t="s">
        <v>22</v>
      </c>
      <c r="D670" s="173" t="s">
        <v>2741</v>
      </c>
      <c r="E670" s="208" t="s">
        <v>2746</v>
      </c>
      <c r="F670" s="129" t="s">
        <v>69</v>
      </c>
      <c r="G670" s="174" t="s">
        <v>2694</v>
      </c>
      <c r="H670" s="175" t="s">
        <v>2747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2744</v>
      </c>
    </row>
    <row r="671" spans="1:20" ht="15" x14ac:dyDescent="0.25">
      <c r="A671" s="191" t="s">
        <v>2748</v>
      </c>
      <c r="B671" s="127">
        <v>2026</v>
      </c>
      <c r="C671" s="183" t="s">
        <v>22</v>
      </c>
      <c r="D671" s="183" t="s">
        <v>2749</v>
      </c>
      <c r="E671" s="184" t="s">
        <v>2750</v>
      </c>
      <c r="F671" s="185" t="s">
        <v>69</v>
      </c>
      <c r="G671" s="186" t="s">
        <v>79</v>
      </c>
      <c r="H671" s="209" t="s">
        <v>2751</v>
      </c>
      <c r="I671" s="192">
        <v>46259</v>
      </c>
      <c r="J671" s="192">
        <v>46268</v>
      </c>
      <c r="K671" s="183" t="s">
        <v>38</v>
      </c>
      <c r="L671" s="187">
        <v>14188</v>
      </c>
      <c r="M671" s="188"/>
      <c r="N671" s="189">
        <v>30</v>
      </c>
      <c r="O671" s="190">
        <v>3</v>
      </c>
      <c r="P671" s="190">
        <v>35</v>
      </c>
      <c r="Q671" s="190">
        <v>0</v>
      </c>
      <c r="R671" s="190">
        <f>IF(B671="","",SUM(O671:Q671))</f>
        <v>38</v>
      </c>
      <c r="S671" s="183">
        <v>20</v>
      </c>
      <c r="T671" s="186" t="s">
        <v>2752</v>
      </c>
    </row>
    <row r="672" spans="1:20" ht="15" x14ac:dyDescent="0.25">
      <c r="A672" s="137" t="s">
        <v>2753</v>
      </c>
      <c r="B672" s="127">
        <v>2026</v>
      </c>
      <c r="C672" s="183" t="s">
        <v>22</v>
      </c>
      <c r="D672" s="183" t="s">
        <v>2754</v>
      </c>
      <c r="E672" s="184" t="s">
        <v>2755</v>
      </c>
      <c r="F672" s="185" t="s">
        <v>24</v>
      </c>
      <c r="G672" s="186" t="s">
        <v>25</v>
      </c>
      <c r="H672" s="191" t="s">
        <v>2756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2757</v>
      </c>
    </row>
    <row r="673" spans="1:20" ht="15" x14ac:dyDescent="0.25">
      <c r="A673" s="137" t="s">
        <v>2758</v>
      </c>
      <c r="B673" s="127">
        <v>2026</v>
      </c>
      <c r="C673" s="127" t="s">
        <v>22</v>
      </c>
      <c r="D673" s="127" t="s">
        <v>2759</v>
      </c>
      <c r="E673" s="128" t="s">
        <v>2760</v>
      </c>
      <c r="F673" s="129" t="s">
        <v>24</v>
      </c>
      <c r="G673" s="144" t="s">
        <v>371</v>
      </c>
      <c r="H673" s="155" t="s">
        <v>2761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2762</v>
      </c>
    </row>
    <row r="674" spans="1:20" ht="15" x14ac:dyDescent="0.25">
      <c r="A674" s="137" t="s">
        <v>2763</v>
      </c>
      <c r="B674" s="127">
        <v>2026</v>
      </c>
      <c r="C674" s="127" t="s">
        <v>22</v>
      </c>
      <c r="D674" s="127" t="s">
        <v>2764</v>
      </c>
      <c r="E674" s="128" t="s">
        <v>2765</v>
      </c>
      <c r="F674" s="129" t="s">
        <v>69</v>
      </c>
      <c r="G674" s="130" t="s">
        <v>2694</v>
      </c>
      <c r="H674" s="172" t="s">
        <v>2766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2767</v>
      </c>
    </row>
    <row r="675" spans="1:20" ht="15" x14ac:dyDescent="0.25">
      <c r="A675" s="137" t="s">
        <v>2768</v>
      </c>
      <c r="B675" s="127">
        <v>2026</v>
      </c>
      <c r="C675" s="127" t="s">
        <v>22</v>
      </c>
      <c r="D675" s="173" t="s">
        <v>2769</v>
      </c>
      <c r="E675" s="128" t="s">
        <v>2770</v>
      </c>
      <c r="F675" s="129" t="s">
        <v>69</v>
      </c>
      <c r="G675" s="174" t="s">
        <v>2694</v>
      </c>
      <c r="H675" s="217" t="s">
        <v>2771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2767</v>
      </c>
    </row>
    <row r="676" spans="1:20" ht="15" x14ac:dyDescent="0.25">
      <c r="A676" s="137" t="s">
        <v>2772</v>
      </c>
      <c r="B676" s="127">
        <v>2026</v>
      </c>
      <c r="C676" s="127" t="s">
        <v>22</v>
      </c>
      <c r="D676" s="127" t="s">
        <v>2773</v>
      </c>
      <c r="E676" s="128" t="s">
        <v>2774</v>
      </c>
      <c r="F676" s="129" t="s">
        <v>69</v>
      </c>
      <c r="G676" s="130" t="s">
        <v>79</v>
      </c>
      <c r="H676" s="127" t="s">
        <v>2775</v>
      </c>
      <c r="I676" s="132">
        <v>46105</v>
      </c>
      <c r="J676" s="132">
        <v>46105</v>
      </c>
      <c r="K676" s="127" t="s">
        <v>27</v>
      </c>
      <c r="L676" s="171">
        <v>0</v>
      </c>
      <c r="M676" s="134">
        <v>5</v>
      </c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x14ac:dyDescent="0.25">
      <c r="A677" s="137" t="s">
        <v>2776</v>
      </c>
      <c r="B677" s="127">
        <v>2026</v>
      </c>
      <c r="C677" s="193" t="s">
        <v>2566</v>
      </c>
      <c r="D677" s="193" t="s">
        <v>2777</v>
      </c>
      <c r="E677" s="184" t="s">
        <v>2778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>
        <v>45905.42</v>
      </c>
      <c r="M677" s="198" t="s">
        <v>2779</v>
      </c>
      <c r="N677" s="199" t="s">
        <v>2779</v>
      </c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3">
        <v>65</v>
      </c>
      <c r="T677" s="186" t="s">
        <v>2744</v>
      </c>
    </row>
    <row r="678" spans="1:20" ht="15" x14ac:dyDescent="0.25">
      <c r="A678" s="191" t="s">
        <v>2780</v>
      </c>
      <c r="B678" s="127">
        <v>2026</v>
      </c>
      <c r="C678" s="193" t="s">
        <v>22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>
        <v>4.75</v>
      </c>
      <c r="N678" s="199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3">
        <v>4</v>
      </c>
      <c r="T678" s="186" t="s">
        <v>1958</v>
      </c>
    </row>
    <row r="679" spans="1:20" ht="15" x14ac:dyDescent="0.25">
      <c r="A679" s="191" t="s">
        <v>2784</v>
      </c>
      <c r="B679" s="127">
        <v>2026</v>
      </c>
      <c r="C679" s="193" t="s">
        <v>22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 t="s">
        <v>2779</v>
      </c>
      <c r="N679" s="199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3">
        <v>4</v>
      </c>
      <c r="T679" s="194" t="s">
        <v>2788</v>
      </c>
    </row>
    <row r="680" spans="1:20" ht="15" x14ac:dyDescent="0.2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 x14ac:dyDescent="0.2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 x14ac:dyDescent="0.2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 x14ac:dyDescent="0.2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 x14ac:dyDescent="0.2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 x14ac:dyDescent="0.2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 x14ac:dyDescent="0.2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2744</v>
      </c>
    </row>
    <row r="687" spans="1:20" ht="15" x14ac:dyDescent="0.2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 t="s">
        <v>2779</v>
      </c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x14ac:dyDescent="0.2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 x14ac:dyDescent="0.2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 x14ac:dyDescent="0.2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 x14ac:dyDescent="0.2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 x14ac:dyDescent="0.2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 x14ac:dyDescent="0.2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x14ac:dyDescent="0.2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46336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x14ac:dyDescent="0.2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x14ac:dyDescent="0.2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x14ac:dyDescent="0.2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 x14ac:dyDescent="0.2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 x14ac:dyDescent="0.2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 x14ac:dyDescent="0.2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2717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x14ac:dyDescent="0.2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 x14ac:dyDescent="0.25">
      <c r="A702" s="191" t="s">
        <v>2880</v>
      </c>
      <c r="B702" s="152">
        <v>2026</v>
      </c>
      <c r="C702" s="183" t="s">
        <v>22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>
        <v>4.8499999999999996</v>
      </c>
      <c r="N702" s="189">
        <v>30</v>
      </c>
      <c r="O702" s="190">
        <v>7</v>
      </c>
      <c r="P702" s="190">
        <v>44</v>
      </c>
      <c r="Q702" s="190">
        <v>0</v>
      </c>
      <c r="R702" s="190">
        <f t="shared" si="12"/>
        <v>51</v>
      </c>
      <c r="S702" s="183">
        <v>4</v>
      </c>
      <c r="T702" s="186" t="s">
        <v>2883</v>
      </c>
    </row>
    <row r="703" spans="1:20" ht="15" x14ac:dyDescent="0.2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>
        <v>4.9400000000000004</v>
      </c>
      <c r="N703" s="189">
        <v>30</v>
      </c>
      <c r="O703" s="190">
        <v>8</v>
      </c>
      <c r="P703" s="190">
        <v>34</v>
      </c>
      <c r="Q703" s="190">
        <v>0</v>
      </c>
      <c r="R703" s="190">
        <f t="shared" si="12"/>
        <v>42</v>
      </c>
      <c r="S703" s="183">
        <v>4</v>
      </c>
      <c r="T703" s="186" t="s">
        <v>2887</v>
      </c>
    </row>
    <row r="704" spans="1:20" ht="15" x14ac:dyDescent="0.2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>
        <v>2346.2800000000002</v>
      </c>
      <c r="M704" s="188">
        <v>4.9000000000000004</v>
      </c>
      <c r="N704" s="189">
        <v>40</v>
      </c>
      <c r="O704" s="190">
        <v>2</v>
      </c>
      <c r="P704" s="190">
        <v>32</v>
      </c>
      <c r="Q704" s="190">
        <v>0</v>
      </c>
      <c r="R704" s="190">
        <f t="shared" si="12"/>
        <v>34</v>
      </c>
      <c r="S704" s="183">
        <v>8</v>
      </c>
      <c r="T704" s="205" t="s">
        <v>2713</v>
      </c>
    </row>
    <row r="705" spans="1:21" ht="15" x14ac:dyDescent="0.25">
      <c r="A705" s="191" t="s">
        <v>2892</v>
      </c>
      <c r="B705" s="152">
        <v>2026</v>
      </c>
      <c r="C705" s="183" t="s">
        <v>22</v>
      </c>
      <c r="D705" s="183" t="s">
        <v>2893</v>
      </c>
      <c r="E705" s="184" t="s">
        <v>2894</v>
      </c>
      <c r="F705" s="185" t="s">
        <v>69</v>
      </c>
      <c r="G705" s="186" t="s">
        <v>79</v>
      </c>
      <c r="H705" s="191" t="s">
        <v>2705</v>
      </c>
      <c r="I705" s="191" t="s">
        <v>2705</v>
      </c>
      <c r="J705" s="191" t="s">
        <v>2705</v>
      </c>
      <c r="K705" s="183" t="s">
        <v>38</v>
      </c>
      <c r="L705" s="187">
        <v>3520</v>
      </c>
      <c r="M705" s="188">
        <v>4.88</v>
      </c>
      <c r="N705" s="189">
        <v>30</v>
      </c>
      <c r="O705" s="190">
        <v>8</v>
      </c>
      <c r="P705" s="190">
        <v>39</v>
      </c>
      <c r="Q705" s="190">
        <v>0</v>
      </c>
      <c r="R705" s="190">
        <f t="shared" si="12"/>
        <v>47</v>
      </c>
      <c r="S705" s="183">
        <v>4</v>
      </c>
      <c r="T705" s="186" t="s">
        <v>2895</v>
      </c>
    </row>
    <row r="706" spans="1:21" ht="15" x14ac:dyDescent="0.25">
      <c r="A706" s="191" t="s">
        <v>2896</v>
      </c>
      <c r="B706" s="152">
        <v>2026</v>
      </c>
      <c r="C706" s="183" t="s">
        <v>22</v>
      </c>
      <c r="D706" s="183" t="s">
        <v>2897</v>
      </c>
      <c r="E706" s="184" t="s">
        <v>2894</v>
      </c>
      <c r="F706" s="185" t="s">
        <v>69</v>
      </c>
      <c r="G706" s="186" t="s">
        <v>79</v>
      </c>
      <c r="H706" s="191" t="s">
        <v>2898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>
        <v>3</v>
      </c>
      <c r="P706" s="190">
        <v>74</v>
      </c>
      <c r="Q706" s="190">
        <v>0</v>
      </c>
      <c r="R706" s="190">
        <f t="shared" si="12"/>
        <v>77</v>
      </c>
      <c r="S706" s="183">
        <v>4</v>
      </c>
      <c r="T706" s="186" t="s">
        <v>2452</v>
      </c>
    </row>
    <row r="707" spans="1:21" ht="15" x14ac:dyDescent="0.25">
      <c r="A707" s="191" t="s">
        <v>2899</v>
      </c>
      <c r="B707" s="152">
        <v>2026</v>
      </c>
      <c r="C707" s="183" t="s">
        <v>22</v>
      </c>
      <c r="D707" s="183" t="s">
        <v>2900</v>
      </c>
      <c r="E707" s="184" t="s">
        <v>2901</v>
      </c>
      <c r="F707" s="185" t="s">
        <v>69</v>
      </c>
      <c r="G707" s="186" t="s">
        <v>79</v>
      </c>
      <c r="H707" s="191" t="s">
        <v>2902</v>
      </c>
      <c r="I707" s="192">
        <v>46245</v>
      </c>
      <c r="J707" s="192">
        <v>46245</v>
      </c>
      <c r="K707" s="183" t="s">
        <v>38</v>
      </c>
      <c r="L707" s="187">
        <v>3520</v>
      </c>
      <c r="M707" s="188">
        <v>4.91</v>
      </c>
      <c r="N707" s="189">
        <v>30</v>
      </c>
      <c r="O707" s="190">
        <v>11</v>
      </c>
      <c r="P707" s="190">
        <v>46</v>
      </c>
      <c r="Q707" s="190">
        <v>0</v>
      </c>
      <c r="R707" s="190">
        <f t="shared" si="12"/>
        <v>57</v>
      </c>
      <c r="S707" s="183">
        <v>4</v>
      </c>
      <c r="T707" s="186" t="s">
        <v>2462</v>
      </c>
    </row>
    <row r="708" spans="1:21" ht="15" x14ac:dyDescent="0.25">
      <c r="A708" s="191" t="s">
        <v>2903</v>
      </c>
      <c r="B708" s="152">
        <v>2026</v>
      </c>
      <c r="C708" s="183" t="s">
        <v>22</v>
      </c>
      <c r="D708" s="183" t="s">
        <v>2904</v>
      </c>
      <c r="E708" s="184" t="s">
        <v>2905</v>
      </c>
      <c r="F708" s="185" t="s">
        <v>69</v>
      </c>
      <c r="G708" s="186" t="s">
        <v>79</v>
      </c>
      <c r="H708" s="191" t="s">
        <v>2898</v>
      </c>
      <c r="I708" s="192">
        <v>46244</v>
      </c>
      <c r="J708" s="192">
        <v>46244</v>
      </c>
      <c r="K708" s="183" t="s">
        <v>38</v>
      </c>
      <c r="L708" s="187">
        <v>3520</v>
      </c>
      <c r="M708" s="188">
        <v>4.91</v>
      </c>
      <c r="N708" s="189">
        <v>30</v>
      </c>
      <c r="O708" s="190">
        <v>8</v>
      </c>
      <c r="P708" s="190">
        <v>52</v>
      </c>
      <c r="Q708" s="190">
        <v>0</v>
      </c>
      <c r="R708" s="190">
        <f t="shared" si="12"/>
        <v>60</v>
      </c>
      <c r="S708" s="183">
        <v>4</v>
      </c>
      <c r="T708" s="186" t="s">
        <v>2906</v>
      </c>
    </row>
    <row r="709" spans="1:21" ht="15" x14ac:dyDescent="0.25">
      <c r="A709" s="191" t="s">
        <v>2907</v>
      </c>
      <c r="B709" s="152">
        <v>2026</v>
      </c>
      <c r="C709" s="183" t="s">
        <v>2697</v>
      </c>
      <c r="D709" s="183" t="s">
        <v>2908</v>
      </c>
      <c r="E709" s="184" t="s">
        <v>2909</v>
      </c>
      <c r="F709" s="185" t="s">
        <v>24</v>
      </c>
      <c r="G709" s="186" t="s">
        <v>75</v>
      </c>
      <c r="H709" s="191" t="s">
        <v>2910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2911</v>
      </c>
      <c r="U709" s="106"/>
    </row>
    <row r="710" spans="1:21" ht="15" x14ac:dyDescent="0.25">
      <c r="A710" s="191" t="s">
        <v>2912</v>
      </c>
      <c r="B710" s="152">
        <v>2026</v>
      </c>
      <c r="C710" s="183" t="s">
        <v>22</v>
      </c>
      <c r="D710" s="183" t="s">
        <v>2913</v>
      </c>
      <c r="E710" s="184" t="s">
        <v>2914</v>
      </c>
      <c r="F710" s="185" t="s">
        <v>69</v>
      </c>
      <c r="G710" s="186" t="s">
        <v>79</v>
      </c>
      <c r="H710" s="191" t="s">
        <v>2915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x14ac:dyDescent="0.25">
      <c r="A711" s="191" t="s">
        <v>2916</v>
      </c>
      <c r="B711" s="152">
        <v>2026</v>
      </c>
      <c r="C711" s="183" t="s">
        <v>22</v>
      </c>
      <c r="D711" s="183" t="s">
        <v>2917</v>
      </c>
      <c r="E711" s="184" t="s">
        <v>2918</v>
      </c>
      <c r="F711" s="185" t="s">
        <v>24</v>
      </c>
      <c r="G711" s="186" t="s">
        <v>206</v>
      </c>
      <c r="H711" s="191" t="s">
        <v>2898</v>
      </c>
      <c r="I711" s="191" t="s">
        <v>2898</v>
      </c>
      <c r="J711" s="191" t="s">
        <v>2898</v>
      </c>
      <c r="K711" s="183" t="s">
        <v>27</v>
      </c>
      <c r="L711" s="187">
        <v>2000</v>
      </c>
      <c r="M711" s="188">
        <v>0</v>
      </c>
      <c r="N711" s="189">
        <v>170</v>
      </c>
      <c r="O711" s="190">
        <v>46</v>
      </c>
      <c r="P711" s="190">
        <v>0</v>
      </c>
      <c r="Q711" s="190">
        <v>0</v>
      </c>
      <c r="R711" s="190">
        <f t="shared" si="12"/>
        <v>46</v>
      </c>
      <c r="S711" s="183">
        <v>1</v>
      </c>
      <c r="T711" s="186" t="s">
        <v>2919</v>
      </c>
    </row>
    <row r="712" spans="1:21" ht="15" x14ac:dyDescent="0.25">
      <c r="A712" s="137" t="s">
        <v>2920</v>
      </c>
      <c r="B712" s="152">
        <v>2026</v>
      </c>
      <c r="C712" s="127" t="s">
        <v>22</v>
      </c>
      <c r="D712" s="131" t="s">
        <v>2921</v>
      </c>
      <c r="E712" s="128" t="s">
        <v>2922</v>
      </c>
      <c r="F712" s="129" t="s">
        <v>69</v>
      </c>
      <c r="G712" s="130" t="s">
        <v>79</v>
      </c>
      <c r="H712" s="131" t="s">
        <v>2923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x14ac:dyDescent="0.25">
      <c r="A713" s="137" t="s">
        <v>2924</v>
      </c>
      <c r="B713" s="152">
        <v>2026</v>
      </c>
      <c r="C713" s="127" t="s">
        <v>22</v>
      </c>
      <c r="D713" s="131" t="s">
        <v>2921</v>
      </c>
      <c r="E713" s="128" t="s">
        <v>2925</v>
      </c>
      <c r="F713" s="129" t="s">
        <v>69</v>
      </c>
      <c r="G713" s="130" t="s">
        <v>79</v>
      </c>
      <c r="H713" s="131" t="s">
        <v>2926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30" x14ac:dyDescent="0.25">
      <c r="A714" s="191" t="s">
        <v>2927</v>
      </c>
      <c r="B714" s="152">
        <v>2026</v>
      </c>
      <c r="C714" s="183" t="s">
        <v>22</v>
      </c>
      <c r="D714" s="183" t="s">
        <v>2928</v>
      </c>
      <c r="E714" s="184" t="s">
        <v>2929</v>
      </c>
      <c r="F714" s="185" t="s">
        <v>88</v>
      </c>
      <c r="G714" s="186" t="s">
        <v>2717</v>
      </c>
      <c r="H714" s="191" t="s">
        <v>2930</v>
      </c>
      <c r="I714" s="192">
        <v>46254</v>
      </c>
      <c r="J714" s="192">
        <v>46254</v>
      </c>
      <c r="K714" s="183" t="s">
        <v>38</v>
      </c>
      <c r="L714" s="187"/>
      <c r="M714" s="188"/>
      <c r="N714" s="226" t="s">
        <v>90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28" t="s">
        <v>2931</v>
      </c>
    </row>
    <row r="715" spans="1:21" ht="30" x14ac:dyDescent="0.25">
      <c r="A715" s="191" t="s">
        <v>2932</v>
      </c>
      <c r="B715" s="152">
        <v>2026</v>
      </c>
      <c r="C715" s="183" t="s">
        <v>22</v>
      </c>
      <c r="D715" s="183" t="s">
        <v>2928</v>
      </c>
      <c r="E715" s="184" t="s">
        <v>2933</v>
      </c>
      <c r="F715" s="185" t="s">
        <v>88</v>
      </c>
      <c r="G715" s="186" t="s">
        <v>2717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28" t="s">
        <v>2931</v>
      </c>
    </row>
    <row r="716" spans="1:21" ht="15" x14ac:dyDescent="0.25">
      <c r="A716" s="191" t="s">
        <v>2935</v>
      </c>
      <c r="B716" s="152">
        <v>2026</v>
      </c>
      <c r="C716" s="183" t="s">
        <v>2697</v>
      </c>
      <c r="D716" s="183" t="s">
        <v>2928</v>
      </c>
      <c r="E716" s="184" t="s">
        <v>2936</v>
      </c>
      <c r="F716" s="185" t="s">
        <v>88</v>
      </c>
      <c r="G716" s="186" t="s">
        <v>2717</v>
      </c>
      <c r="H716" s="191" t="s">
        <v>2937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x14ac:dyDescent="0.25">
      <c r="A717" s="191" t="s">
        <v>2938</v>
      </c>
      <c r="B717" s="152">
        <v>2026</v>
      </c>
      <c r="C717" s="183" t="s">
        <v>2697</v>
      </c>
      <c r="D717" s="183" t="s">
        <v>2928</v>
      </c>
      <c r="E717" s="184" t="s">
        <v>2939</v>
      </c>
      <c r="F717" s="185" t="s">
        <v>88</v>
      </c>
      <c r="G717" s="186" t="s">
        <v>2717</v>
      </c>
      <c r="H717" s="191" t="s">
        <v>2940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x14ac:dyDescent="0.25">
      <c r="A718" s="191" t="s">
        <v>2941</v>
      </c>
      <c r="B718" s="152">
        <v>2026</v>
      </c>
      <c r="C718" s="183" t="s">
        <v>2697</v>
      </c>
      <c r="D718" s="183" t="s">
        <v>2928</v>
      </c>
      <c r="E718" s="184" t="s">
        <v>2942</v>
      </c>
      <c r="F718" s="185" t="s">
        <v>88</v>
      </c>
      <c r="G718" s="186" t="s">
        <v>2717</v>
      </c>
      <c r="H718" s="191" t="s">
        <v>2943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x14ac:dyDescent="0.25">
      <c r="A719" s="191" t="s">
        <v>2944</v>
      </c>
      <c r="B719" s="152">
        <v>2026</v>
      </c>
      <c r="C719" s="183" t="s">
        <v>2697</v>
      </c>
      <c r="D719" s="183" t="s">
        <v>2928</v>
      </c>
      <c r="E719" s="184" t="s">
        <v>2945</v>
      </c>
      <c r="F719" s="185" t="s">
        <v>88</v>
      </c>
      <c r="G719" s="186" t="s">
        <v>2717</v>
      </c>
      <c r="H719" s="191" t="s">
        <v>2946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x14ac:dyDescent="0.25">
      <c r="A720" s="137" t="s">
        <v>2947</v>
      </c>
      <c r="B720" s="152">
        <v>2026</v>
      </c>
      <c r="C720" s="127" t="s">
        <v>22</v>
      </c>
      <c r="D720" s="127" t="s">
        <v>2948</v>
      </c>
      <c r="E720" s="128" t="s">
        <v>2949</v>
      </c>
      <c r="F720" s="129" t="s">
        <v>24</v>
      </c>
      <c r="G720" s="130" t="s">
        <v>206</v>
      </c>
      <c r="H720" s="131" t="s">
        <v>2950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2951</v>
      </c>
    </row>
    <row r="721" spans="1:20" ht="45" x14ac:dyDescent="0.25">
      <c r="A721" s="137" t="s">
        <v>2952</v>
      </c>
      <c r="B721" s="152">
        <v>2026</v>
      </c>
      <c r="C721" s="152" t="s">
        <v>22</v>
      </c>
      <c r="D721" s="152" t="s">
        <v>2928</v>
      </c>
      <c r="E721" s="153" t="s">
        <v>2953</v>
      </c>
      <c r="F721" s="161" t="s">
        <v>88</v>
      </c>
      <c r="G721" s="168" t="s">
        <v>2717</v>
      </c>
      <c r="H721" s="155" t="s">
        <v>2954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2955</v>
      </c>
    </row>
    <row r="722" spans="1:20" ht="45" x14ac:dyDescent="0.25">
      <c r="A722" s="137" t="s">
        <v>2956</v>
      </c>
      <c r="B722" s="127">
        <v>2026</v>
      </c>
      <c r="C722" s="127" t="s">
        <v>22</v>
      </c>
      <c r="D722" s="127" t="s">
        <v>2928</v>
      </c>
      <c r="E722" s="128" t="s">
        <v>2957</v>
      </c>
      <c r="F722" s="129" t="s">
        <v>88</v>
      </c>
      <c r="G722" s="164" t="s">
        <v>2717</v>
      </c>
      <c r="H722" s="131" t="s">
        <v>2958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2959</v>
      </c>
    </row>
    <row r="723" spans="1:20" ht="15" x14ac:dyDescent="0.25">
      <c r="A723" s="137" t="s">
        <v>2960</v>
      </c>
      <c r="B723" s="152">
        <v>2026</v>
      </c>
      <c r="C723" s="183" t="s">
        <v>22</v>
      </c>
      <c r="D723" s="183" t="s">
        <v>2961</v>
      </c>
      <c r="E723" s="184" t="s">
        <v>2962</v>
      </c>
      <c r="F723" s="185" t="s">
        <v>88</v>
      </c>
      <c r="G723" s="186" t="s">
        <v>2717</v>
      </c>
      <c r="H723" s="191" t="s">
        <v>2963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x14ac:dyDescent="0.25">
      <c r="A724" s="191" t="s">
        <v>2964</v>
      </c>
      <c r="B724" s="151">
        <v>2026</v>
      </c>
      <c r="C724" s="183" t="s">
        <v>22</v>
      </c>
      <c r="D724" s="183" t="s">
        <v>2965</v>
      </c>
      <c r="E724" s="184" t="s">
        <v>2966</v>
      </c>
      <c r="F724" s="185" t="s">
        <v>88</v>
      </c>
      <c r="G724" s="186" t="s">
        <v>2717</v>
      </c>
      <c r="H724" s="191" t="s">
        <v>2967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x14ac:dyDescent="0.25">
      <c r="A725" s="191" t="s">
        <v>2968</v>
      </c>
      <c r="B725" s="183">
        <v>2026</v>
      </c>
      <c r="C725" s="183" t="s">
        <v>22</v>
      </c>
      <c r="D725" s="183" t="s">
        <v>2961</v>
      </c>
      <c r="E725" s="184" t="s">
        <v>2969</v>
      </c>
      <c r="F725" s="185" t="s">
        <v>88</v>
      </c>
      <c r="G725" s="186" t="s">
        <v>2717</v>
      </c>
      <c r="H725" s="191" t="s">
        <v>2970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x14ac:dyDescent="0.25">
      <c r="A726" s="191" t="s">
        <v>2971</v>
      </c>
      <c r="B726" s="183">
        <v>2026</v>
      </c>
      <c r="C726" s="183" t="s">
        <v>2697</v>
      </c>
      <c r="D726" s="183" t="s">
        <v>2961</v>
      </c>
      <c r="E726" s="184" t="s">
        <v>2972</v>
      </c>
      <c r="F726" s="185" t="s">
        <v>88</v>
      </c>
      <c r="G726" s="186" t="s">
        <v>2717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x14ac:dyDescent="0.25">
      <c r="A727" s="191" t="s">
        <v>2973</v>
      </c>
      <c r="B727" s="183">
        <v>2026</v>
      </c>
      <c r="C727" s="183" t="s">
        <v>2697</v>
      </c>
      <c r="D727" s="183" t="s">
        <v>2961</v>
      </c>
      <c r="E727" s="180" t="s">
        <v>2974</v>
      </c>
      <c r="F727" s="185" t="s">
        <v>88</v>
      </c>
      <c r="G727" s="186" t="s">
        <v>2717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x14ac:dyDescent="0.25">
      <c r="A728" s="191" t="s">
        <v>2975</v>
      </c>
      <c r="B728" s="183">
        <v>2026</v>
      </c>
      <c r="C728" s="183" t="s">
        <v>22</v>
      </c>
      <c r="D728" s="183" t="s">
        <v>2961</v>
      </c>
      <c r="E728" s="180" t="s">
        <v>3221</v>
      </c>
      <c r="F728" s="185" t="s">
        <v>88</v>
      </c>
      <c r="G728" s="186" t="s">
        <v>2717</v>
      </c>
      <c r="H728" s="191" t="s">
        <v>2976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x14ac:dyDescent="0.25">
      <c r="A729" s="191" t="s">
        <v>2977</v>
      </c>
      <c r="B729" s="183">
        <v>2026</v>
      </c>
      <c r="C729" s="183" t="s">
        <v>2697</v>
      </c>
      <c r="D729" s="183" t="s">
        <v>2961</v>
      </c>
      <c r="E729" s="180" t="s">
        <v>2978</v>
      </c>
      <c r="F729" s="185" t="s">
        <v>88</v>
      </c>
      <c r="G729" s="186" t="s">
        <v>2717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x14ac:dyDescent="0.25">
      <c r="A730" s="175" t="s">
        <v>2979</v>
      </c>
      <c r="B730" s="183">
        <v>2026</v>
      </c>
      <c r="C730" s="183" t="s">
        <v>2697</v>
      </c>
      <c r="D730" s="183" t="s">
        <v>2961</v>
      </c>
      <c r="E730" s="203" t="s">
        <v>2980</v>
      </c>
      <c r="F730" s="185" t="s">
        <v>88</v>
      </c>
      <c r="G730" s="186" t="s">
        <v>2717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x14ac:dyDescent="0.25">
      <c r="A731" s="191" t="s">
        <v>2981</v>
      </c>
      <c r="B731" s="183">
        <v>2026</v>
      </c>
      <c r="C731" s="183" t="s">
        <v>2697</v>
      </c>
      <c r="D731" s="183" t="s">
        <v>2961</v>
      </c>
      <c r="E731" s="203" t="s">
        <v>2982</v>
      </c>
      <c r="F731" s="185" t="s">
        <v>88</v>
      </c>
      <c r="G731" s="186" t="s">
        <v>2717</v>
      </c>
      <c r="H731" s="191" t="s">
        <v>2983</v>
      </c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x14ac:dyDescent="0.25">
      <c r="A732" s="191" t="s">
        <v>2984</v>
      </c>
      <c r="B732" s="183">
        <v>2026</v>
      </c>
      <c r="C732" s="183" t="s">
        <v>2697</v>
      </c>
      <c r="D732" s="183" t="s">
        <v>3216</v>
      </c>
      <c r="E732" s="184" t="s">
        <v>2985</v>
      </c>
      <c r="F732" s="185" t="s">
        <v>24</v>
      </c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x14ac:dyDescent="0.25">
      <c r="A733" s="191" t="s">
        <v>2986</v>
      </c>
      <c r="B733" s="183">
        <v>2026</v>
      </c>
      <c r="C733" s="183" t="s">
        <v>2697</v>
      </c>
      <c r="D733" s="183"/>
      <c r="E733" s="203" t="s">
        <v>2987</v>
      </c>
      <c r="F733" s="185" t="s">
        <v>24</v>
      </c>
      <c r="G733" s="186" t="s">
        <v>2717</v>
      </c>
      <c r="H733" s="191" t="s">
        <v>3217</v>
      </c>
      <c r="I733" s="192">
        <v>46343</v>
      </c>
      <c r="J733" s="192">
        <v>46343</v>
      </c>
      <c r="K733" s="183" t="s">
        <v>38</v>
      </c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x14ac:dyDescent="0.25">
      <c r="A734" s="191" t="s">
        <v>2988</v>
      </c>
      <c r="B734" s="183">
        <v>2026</v>
      </c>
      <c r="C734" s="183" t="s">
        <v>2697</v>
      </c>
      <c r="D734" s="183" t="s">
        <v>3215</v>
      </c>
      <c r="E734" s="184" t="s">
        <v>2989</v>
      </c>
      <c r="F734" s="185" t="s">
        <v>88</v>
      </c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2990</v>
      </c>
      <c r="E735" s="184" t="s">
        <v>2991</v>
      </c>
      <c r="F735" s="185" t="s">
        <v>24</v>
      </c>
      <c r="G735" s="186" t="s">
        <v>206</v>
      </c>
      <c r="H735" s="191" t="s">
        <v>3223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2992</v>
      </c>
    </row>
    <row r="736" spans="1:20" ht="15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2790</v>
      </c>
      <c r="D736" s="183" t="s">
        <v>2993</v>
      </c>
      <c r="E736" s="184" t="s">
        <v>2994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2995</v>
      </c>
      <c r="B737" s="183">
        <v>2026</v>
      </c>
      <c r="C737" s="183" t="s">
        <v>2697</v>
      </c>
      <c r="D737" s="183" t="s">
        <v>2996</v>
      </c>
      <c r="E737" s="180" t="s">
        <v>2997</v>
      </c>
      <c r="F737" s="185" t="s">
        <v>69</v>
      </c>
      <c r="G737" s="186" t="s">
        <v>79</v>
      </c>
      <c r="H737" s="191" t="s">
        <v>2998</v>
      </c>
      <c r="I737" s="192">
        <v>46267</v>
      </c>
      <c r="J737" s="192">
        <v>46269</v>
      </c>
      <c r="K737" s="183" t="s">
        <v>38</v>
      </c>
      <c r="L737" s="187">
        <v>4692.55</v>
      </c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2713</v>
      </c>
    </row>
    <row r="738" spans="1:20" ht="15" x14ac:dyDescent="0.25">
      <c r="A738" s="191" t="s">
        <v>2999</v>
      </c>
      <c r="B738" s="183">
        <v>2026</v>
      </c>
      <c r="C738" s="183" t="s">
        <v>2697</v>
      </c>
      <c r="D738" s="183" t="s">
        <v>3000</v>
      </c>
      <c r="E738" s="180" t="s">
        <v>3001</v>
      </c>
      <c r="F738" s="185" t="s">
        <v>69</v>
      </c>
      <c r="G738" s="186" t="s">
        <v>2694</v>
      </c>
      <c r="H738" s="191" t="s">
        <v>3002</v>
      </c>
      <c r="I738" s="192">
        <v>46273</v>
      </c>
      <c r="J738" s="192">
        <v>46275</v>
      </c>
      <c r="K738" s="183" t="s">
        <v>38</v>
      </c>
      <c r="L738" s="187">
        <v>11246.83</v>
      </c>
      <c r="M738" s="188"/>
      <c r="N738" s="189">
        <v>30</v>
      </c>
      <c r="O738" s="190"/>
      <c r="P738" s="190"/>
      <c r="Q738" s="190"/>
      <c r="R738" s="190">
        <f t="shared" si="14"/>
        <v>0</v>
      </c>
      <c r="S738" s="183">
        <v>12</v>
      </c>
      <c r="T738" s="186" t="s">
        <v>3003</v>
      </c>
    </row>
    <row r="739" spans="1:20" ht="15" x14ac:dyDescent="0.25">
      <c r="A739" s="191" t="s">
        <v>3004</v>
      </c>
      <c r="B739" s="183">
        <v>2026</v>
      </c>
      <c r="C739" s="183" t="s">
        <v>22</v>
      </c>
      <c r="D739" s="183" t="s">
        <v>3005</v>
      </c>
      <c r="E739" s="180" t="s">
        <v>3006</v>
      </c>
      <c r="F739" s="185" t="s">
        <v>24</v>
      </c>
      <c r="G739" s="186" t="s">
        <v>2700</v>
      </c>
      <c r="H739" s="191" t="s">
        <v>3007</v>
      </c>
      <c r="I739" s="192">
        <v>46266</v>
      </c>
      <c r="J739" s="192">
        <v>46267</v>
      </c>
      <c r="K739" s="183" t="s">
        <v>38</v>
      </c>
      <c r="L739" s="187">
        <v>5967.7</v>
      </c>
      <c r="M739" s="188"/>
      <c r="N739" s="189">
        <v>20</v>
      </c>
      <c r="O739" s="190">
        <v>20</v>
      </c>
      <c r="P739" s="190">
        <v>0</v>
      </c>
      <c r="Q739" s="190">
        <v>0</v>
      </c>
      <c r="R739" s="190">
        <f t="shared" si="14"/>
        <v>20</v>
      </c>
      <c r="S739" s="183">
        <v>9</v>
      </c>
      <c r="T739" s="186" t="s">
        <v>218</v>
      </c>
    </row>
    <row r="740" spans="1:20" ht="15" x14ac:dyDescent="0.25">
      <c r="A740" s="191" t="s">
        <v>3008</v>
      </c>
      <c r="B740" s="183">
        <v>2026</v>
      </c>
      <c r="C740" s="183" t="s">
        <v>2697</v>
      </c>
      <c r="D740" s="183" t="s">
        <v>3009</v>
      </c>
      <c r="E740" s="180" t="s">
        <v>3010</v>
      </c>
      <c r="F740" s="185" t="s">
        <v>24</v>
      </c>
      <c r="G740" s="186" t="s">
        <v>2700</v>
      </c>
      <c r="H740" s="191" t="s">
        <v>3011</v>
      </c>
      <c r="I740" s="192">
        <v>46311</v>
      </c>
      <c r="J740" s="192">
        <v>46311</v>
      </c>
      <c r="K740" s="183" t="s">
        <v>38</v>
      </c>
      <c r="L740" s="187">
        <v>2652.31</v>
      </c>
      <c r="M740" s="188"/>
      <c r="N740" s="189">
        <v>20</v>
      </c>
      <c r="O740" s="190"/>
      <c r="P740" s="190"/>
      <c r="Q740" s="190"/>
      <c r="R740" s="190">
        <f t="shared" si="14"/>
        <v>0</v>
      </c>
      <c r="S740" s="183">
        <v>4</v>
      </c>
      <c r="T740" s="186" t="s">
        <v>1909</v>
      </c>
    </row>
    <row r="741" spans="1:20" ht="15" x14ac:dyDescent="0.25">
      <c r="A741" s="191" t="s">
        <v>3012</v>
      </c>
      <c r="B741" s="183">
        <v>2026</v>
      </c>
      <c r="C741" s="183" t="s">
        <v>2697</v>
      </c>
      <c r="D741" s="183" t="s">
        <v>3013</v>
      </c>
      <c r="E741" s="180" t="s">
        <v>3014</v>
      </c>
      <c r="F741" s="185" t="s">
        <v>24</v>
      </c>
      <c r="G741" s="186" t="s">
        <v>2700</v>
      </c>
      <c r="H741" s="191" t="s">
        <v>3015</v>
      </c>
      <c r="I741" s="192">
        <v>46286</v>
      </c>
      <c r="J741" s="192">
        <v>46288</v>
      </c>
      <c r="K741" s="183" t="s">
        <v>38</v>
      </c>
      <c r="L741" s="187">
        <v>7038.8307599999998</v>
      </c>
      <c r="M741" s="188"/>
      <c r="N741" s="189">
        <v>20</v>
      </c>
      <c r="O741" s="190"/>
      <c r="P741" s="190"/>
      <c r="Q741" s="190"/>
      <c r="R741" s="190">
        <f t="shared" si="14"/>
        <v>0</v>
      </c>
      <c r="S741" s="183">
        <v>8</v>
      </c>
      <c r="T741" s="186" t="s">
        <v>2827</v>
      </c>
    </row>
    <row r="742" spans="1:20" ht="15" x14ac:dyDescent="0.25">
      <c r="A742" s="191" t="s">
        <v>3016</v>
      </c>
      <c r="B742" s="183">
        <v>2026</v>
      </c>
      <c r="C742" s="183" t="s">
        <v>2697</v>
      </c>
      <c r="D742" s="183" t="s">
        <v>3013</v>
      </c>
      <c r="E742" s="184" t="s">
        <v>3017</v>
      </c>
      <c r="F742" s="185" t="s">
        <v>24</v>
      </c>
      <c r="G742" s="186" t="s">
        <v>2700</v>
      </c>
      <c r="H742" s="191" t="s">
        <v>3018</v>
      </c>
      <c r="I742" s="192">
        <v>46322</v>
      </c>
      <c r="J742" s="192">
        <v>46324</v>
      </c>
      <c r="K742" s="183" t="s">
        <v>38</v>
      </c>
      <c r="L742" s="187">
        <v>7038.8307599999998</v>
      </c>
      <c r="M742" s="188"/>
      <c r="N742" s="189">
        <v>20</v>
      </c>
      <c r="O742" s="190"/>
      <c r="P742" s="190"/>
      <c r="Q742" s="190"/>
      <c r="R742" s="190">
        <f t="shared" si="14"/>
        <v>0</v>
      </c>
      <c r="S742" s="183">
        <v>8</v>
      </c>
      <c r="T742" s="186" t="s">
        <v>2827</v>
      </c>
    </row>
    <row r="743" spans="1:20" ht="15" hidden="1" x14ac:dyDescent="0.25">
      <c r="A743" s="191" t="s">
        <v>3218</v>
      </c>
      <c r="B743" s="183">
        <v>2027</v>
      </c>
      <c r="C743" s="183" t="s">
        <v>2697</v>
      </c>
      <c r="D743" s="183" t="s">
        <v>3219</v>
      </c>
      <c r="E743" s="184" t="s">
        <v>3222</v>
      </c>
      <c r="F743" s="185" t="s">
        <v>24</v>
      </c>
      <c r="G743" s="186" t="s">
        <v>206</v>
      </c>
      <c r="H743" s="191" t="s">
        <v>3220</v>
      </c>
      <c r="I743" s="192">
        <v>46283</v>
      </c>
      <c r="J743" s="192">
        <v>46283</v>
      </c>
      <c r="K743" s="183" t="s">
        <v>38</v>
      </c>
      <c r="L743" s="187"/>
      <c r="M743" s="188"/>
      <c r="N743" s="189">
        <v>170</v>
      </c>
      <c r="O743" s="190"/>
      <c r="P743" s="190">
        <v>0</v>
      </c>
      <c r="Q743" s="190">
        <v>0</v>
      </c>
      <c r="R743" s="190">
        <f t="shared" si="14"/>
        <v>0</v>
      </c>
      <c r="S743" s="183">
        <v>2</v>
      </c>
      <c r="T743" s="186" t="s">
        <v>2992</v>
      </c>
    </row>
    <row r="744" spans="1:20" ht="15" hidden="1" x14ac:dyDescent="0.25">
      <c r="A744" s="191"/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716:T2001 A2:T713">
    <cfRule type="expression" dxfId="52" priority="9">
      <formula>MOD(ROW(),2)=0</formula>
    </cfRule>
  </conditionalFormatting>
  <conditionalFormatting sqref="A2002:A2006 E2007 A714:S715 A716:T2001 A2:T713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44:J2001 H2002:I2014 I712:J720 I704:J704 I706:J710" xr:uid="{A71E4390-A059-418C-8F5C-AD2AF445253E}">
      <formula1>41640</formula1>
      <formula2>47848</formula2>
    </dataValidation>
    <dataValidation type="decimal" allowBlank="1" showInputMessage="1" showErrorMessage="1" sqref="L2:L714 L716:L2001 K2002:K2014 K2016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E2008:E2014 E2016:E1048576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K2:K2001 J2002:J2014 J2016:J1048576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G657:G2001 F2002:F2014 F2016:F499998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8"/>
  <sheetViews>
    <sheetView topLeftCell="A41" workbookViewId="0">
      <selection activeCell="B58" sqref="B58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3019</v>
      </c>
      <c r="H1" s="213" t="s">
        <v>3020</v>
      </c>
    </row>
    <row r="2" spans="1:8" x14ac:dyDescent="0.25">
      <c r="H2" s="212" t="s">
        <v>3021</v>
      </c>
    </row>
    <row r="3" spans="1:8" x14ac:dyDescent="0.25">
      <c r="A3" t="s">
        <v>0</v>
      </c>
      <c r="B3" t="s">
        <v>19</v>
      </c>
      <c r="C3" t="s">
        <v>3022</v>
      </c>
      <c r="D3" t="s">
        <v>3023</v>
      </c>
      <c r="E3" t="s">
        <v>3024</v>
      </c>
      <c r="H3" s="212" t="s">
        <v>3025</v>
      </c>
    </row>
    <row r="4" spans="1:8" x14ac:dyDescent="0.25">
      <c r="A4">
        <v>1</v>
      </c>
      <c r="B4" t="s">
        <v>3026</v>
      </c>
      <c r="D4" t="s">
        <v>3027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3028</v>
      </c>
    </row>
    <row r="5" spans="1:8" x14ac:dyDescent="0.25">
      <c r="A5">
        <v>2</v>
      </c>
      <c r="B5" t="s">
        <v>2507</v>
      </c>
      <c r="D5" t="s">
        <v>3027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3029</v>
      </c>
    </row>
    <row r="6" spans="1:8" x14ac:dyDescent="0.25">
      <c r="A6">
        <v>3</v>
      </c>
      <c r="B6" t="s">
        <v>1030</v>
      </c>
      <c r="D6" t="s">
        <v>3027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3030</v>
      </c>
      <c r="D7" t="s">
        <v>3027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3031</v>
      </c>
    </row>
    <row r="8" spans="1:8" x14ac:dyDescent="0.25">
      <c r="A8">
        <v>5</v>
      </c>
      <c r="B8" t="s">
        <v>3032</v>
      </c>
      <c r="D8" t="s">
        <v>3027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3027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3027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3027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3027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3027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3027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3027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3027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3027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3027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3027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3027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3027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3027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3033</v>
      </c>
      <c r="D23" t="s">
        <v>3027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3027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3034</v>
      </c>
      <c r="D25" t="s">
        <v>3027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3035</v>
      </c>
      <c r="D26" t="s">
        <v>3027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3027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3027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3036</v>
      </c>
      <c r="D29" t="s">
        <v>3027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3027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3027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3027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3037</v>
      </c>
      <c r="D33" t="s">
        <v>3027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3038</v>
      </c>
      <c r="D34" t="s">
        <v>3027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3027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3027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3027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3039</v>
      </c>
      <c r="D38" t="s">
        <v>3027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3040</v>
      </c>
      <c r="D39" t="s">
        <v>3027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3027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3041</v>
      </c>
      <c r="D41" t="s">
        <v>3027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3027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3027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3042</v>
      </c>
      <c r="D44" t="s">
        <v>3027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3027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3027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3027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3027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3043</v>
      </c>
      <c r="D49" t="s">
        <v>3027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3027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3044</v>
      </c>
      <c r="D51" t="s">
        <v>3027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3027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3027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3045</v>
      </c>
      <c r="D54" t="s">
        <v>3027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3027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3027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3027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3046</v>
      </c>
      <c r="D58" t="s">
        <v>3027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3027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3027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3047</v>
      </c>
      <c r="D61" t="s">
        <v>3027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3048</v>
      </c>
      <c r="D62" t="s">
        <v>3027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3049</v>
      </c>
      <c r="D63" t="s">
        <v>3027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3050</v>
      </c>
      <c r="D64" t="s">
        <v>3027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3027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3027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3051</v>
      </c>
      <c r="D67" t="s">
        <v>3027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3052</v>
      </c>
      <c r="D68" t="s">
        <v>3027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3027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3053</v>
      </c>
      <c r="D70" t="s">
        <v>3027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3027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3027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3027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3054</v>
      </c>
      <c r="D74" t="s">
        <v>3027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3027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3027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3027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3027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3055</v>
      </c>
      <c r="D79" t="s">
        <v>3027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3056</v>
      </c>
      <c r="D80" t="s">
        <v>3027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3057</v>
      </c>
      <c r="D81" t="s">
        <v>3027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3058</v>
      </c>
      <c r="D82" t="s">
        <v>3027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3027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3059</v>
      </c>
      <c r="D84" t="s">
        <v>3027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3027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3060</v>
      </c>
      <c r="D86" t="s">
        <v>3027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3061</v>
      </c>
      <c r="D87" t="s">
        <v>3027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3062</v>
      </c>
      <c r="D88" t="s">
        <v>3027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3063</v>
      </c>
      <c r="D89" t="s">
        <v>3027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3064</v>
      </c>
      <c r="D90" t="s">
        <v>3027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3065</v>
      </c>
      <c r="D91" t="s">
        <v>3027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3066</v>
      </c>
      <c r="D92" t="s">
        <v>3027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3067</v>
      </c>
      <c r="D93" t="s">
        <v>3027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3068</v>
      </c>
      <c r="D94" t="s">
        <v>3027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3027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3069</v>
      </c>
      <c r="D96" t="s">
        <v>3027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3027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3070</v>
      </c>
      <c r="D98" t="s">
        <v>3027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3071</v>
      </c>
      <c r="D99" t="s">
        <v>3027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3072</v>
      </c>
      <c r="D100" t="s">
        <v>3027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3073</v>
      </c>
      <c r="D101" t="s">
        <v>3027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3027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3074</v>
      </c>
      <c r="D103" t="s">
        <v>3027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3075</v>
      </c>
      <c r="D104" t="s">
        <v>3027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3076</v>
      </c>
      <c r="D105" t="s">
        <v>3027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2866</v>
      </c>
      <c r="D106" t="s">
        <v>3027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2871</v>
      </c>
      <c r="D107" t="s">
        <v>3027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3077</v>
      </c>
      <c r="D108" t="s">
        <v>3027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59:B298 B4:B57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110" activePane="bottomLeft" state="frozen"/>
      <selection pane="bottomLeft" activeCell="F126" sqref="F126:K128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3078</v>
      </c>
      <c r="C1" s="19" t="s">
        <v>3079</v>
      </c>
      <c r="D1" s="19" t="s">
        <v>4</v>
      </c>
      <c r="E1" s="19" t="s">
        <v>3080</v>
      </c>
      <c r="F1" s="19" t="s">
        <v>19</v>
      </c>
      <c r="G1" s="19" t="s">
        <v>3081</v>
      </c>
      <c r="H1" s="19" t="s">
        <v>3082</v>
      </c>
      <c r="I1" s="19" t="s">
        <v>3083</v>
      </c>
      <c r="J1" s="19" t="s">
        <v>3084</v>
      </c>
      <c r="L1" s="112" t="s">
        <v>3085</v>
      </c>
      <c r="M1" s="23">
        <v>2026</v>
      </c>
      <c r="U1" s="80" t="s">
        <v>3086</v>
      </c>
      <c r="V1" s="79"/>
      <c r="X1" s="78" t="s">
        <v>3087</v>
      </c>
      <c r="Y1" s="27"/>
      <c r="Z1" s="27"/>
      <c r="AA1" s="27"/>
      <c r="AC1" s="100" t="s">
        <v>3088</v>
      </c>
    </row>
    <row r="2" spans="1:31" x14ac:dyDescent="0.25">
      <c r="A2" s="21" cm="1">
        <f t="array" aca="1" ref="A2:J137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3089</v>
      </c>
      <c r="M2" s="107" t="s">
        <v>2927</v>
      </c>
      <c r="X2" s="114" t="s">
        <v>3078</v>
      </c>
      <c r="Y2" s="114" t="s">
        <v>19</v>
      </c>
      <c r="Z2" s="114" t="s">
        <v>3090</v>
      </c>
      <c r="AA2" s="114" t="s">
        <v>3091</v>
      </c>
      <c r="AC2" s="115" t="s">
        <v>1</v>
      </c>
      <c r="AD2" s="115" t="s">
        <v>3092</v>
      </c>
      <c r="AE2" s="115" t="s">
        <v>3093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3094</v>
      </c>
      <c r="M3" s="113" t="s">
        <v>3095</v>
      </c>
      <c r="N3" s="113" t="s">
        <v>3096</v>
      </c>
      <c r="O3" s="113" t="s">
        <v>3097</v>
      </c>
      <c r="P3" s="113" t="s">
        <v>3098</v>
      </c>
      <c r="Q3" s="113" t="s">
        <v>3099</v>
      </c>
      <c r="R3" s="113" t="s">
        <v>3100</v>
      </c>
      <c r="S3" s="113" t="s">
        <v>3101</v>
      </c>
      <c r="T3" s="113" t="s">
        <v>3102</v>
      </c>
      <c r="X3" t="s">
        <v>2836</v>
      </c>
      <c r="Y3" t="s">
        <v>3040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6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7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0</v>
      </c>
      <c r="I5" s="22">
        <f ca="1"/>
        <v>0</v>
      </c>
      <c r="J5" s="22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3103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3040</v>
      </c>
      <c r="Z6">
        <v>1</v>
      </c>
      <c r="AA6">
        <v>0</v>
      </c>
      <c r="AC6" s="97">
        <v>2026</v>
      </c>
      <c r="AD6" s="18" t="s">
        <v>3104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2947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2947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2947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2947</v>
      </c>
      <c r="Y11" s="18" t="s">
        <v>3034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Realizado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2947</v>
      </c>
      <c r="Y12" s="18" t="s">
        <v>3052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Realizado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2956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Realizado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2956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Realizado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2956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2956</v>
      </c>
      <c r="Y16" s="18" t="s">
        <v>3034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9.66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19.3</v>
      </c>
      <c r="J17" s="22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2956</v>
      </c>
      <c r="Y17" s="18" t="s">
        <v>3052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2952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2952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2952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2952</v>
      </c>
      <c r="Y21" s="18" t="s">
        <v>3034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2952</v>
      </c>
      <c r="Y22" s="18" t="s">
        <v>3052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3040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3040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Realizado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2720</v>
      </c>
      <c r="Y28" s="18" t="s">
        <v>3075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Realizado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2720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Realizado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2720</v>
      </c>
      <c r="Y30" s="18" t="s">
        <v>3071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Realizado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2753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2753</v>
      </c>
      <c r="Y33" t="s">
        <v>3053</v>
      </c>
      <c r="Z33">
        <v>4</v>
      </c>
      <c r="AA33">
        <v>0.6</v>
      </c>
      <c r="AC33" s="99"/>
      <c r="AD33" s="116" t="s">
        <v>3105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2753</v>
      </c>
      <c r="Y34" t="s">
        <v>3054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2753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Matriz de Riscos em contratos de obras e serviços de engenharia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2896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2896</v>
      </c>
      <c r="Y42" t="s">
        <v>3045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8" t="s">
        <v>3062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3061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3073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3070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3072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3069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3106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3076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3074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2784</v>
      </c>
      <c r="Y55" t="s">
        <v>3061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10" t="s">
        <v>3068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3067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3066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A realizar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A realizar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2702</v>
      </c>
      <c r="Y64" t="s">
        <v>3058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2710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T67">
        <f ca="1"/>
        <v>136</v>
      </c>
      <c r="X67" t="s">
        <v>2960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2960</v>
      </c>
      <c r="Y68" t="s">
        <v>3056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3040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3045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3059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Matriz de Riscos em contratos de obras e serviços de engenharia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Matriz de Riscos em contratos de obras e serviços de engenharia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3063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3060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3064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2947</v>
      </c>
      <c r="Y83" t="s">
        <v>3046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2952</v>
      </c>
      <c r="Y84" t="s">
        <v>3046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2956</v>
      </c>
      <c r="Y85" t="s">
        <v>3046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3224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3224</v>
      </c>
      <c r="Y87" t="s">
        <v>3058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3224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A realizar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A realizar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A realizar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R138" t="str">
        <f ca="1"/>
        <v/>
      </c>
      <c r="S138" t="str">
        <f ca="1"/>
        <v/>
      </c>
    </row>
    <row r="139" spans="1:19" x14ac:dyDescent="0.25">
      <c r="R139" t="str">
        <f ca="1"/>
        <v/>
      </c>
      <c r="S139" t="str">
        <f ca="1"/>
        <v/>
      </c>
    </row>
    <row r="140" spans="1:19" x14ac:dyDescent="0.25">
      <c r="R140" t="str">
        <f ca="1"/>
        <v/>
      </c>
      <c r="S140" t="str">
        <f ca="1"/>
        <v/>
      </c>
    </row>
    <row r="141" spans="1:19" x14ac:dyDescent="0.25">
      <c r="R141" t="str">
        <f ca="1"/>
        <v/>
      </c>
      <c r="S141" t="str">
        <f ca="1"/>
        <v/>
      </c>
    </row>
    <row r="142" spans="1:19" x14ac:dyDescent="0.25">
      <c r="R142" t="str">
        <f ca="1"/>
        <v/>
      </c>
      <c r="S142" t="str">
        <f ca="1"/>
        <v/>
      </c>
    </row>
    <row r="143" spans="1:19" x14ac:dyDescent="0.25">
      <c r="R143" t="str">
        <f ca="1"/>
        <v/>
      </c>
      <c r="S143" t="str">
        <f ca="1"/>
        <v/>
      </c>
    </row>
    <row r="144" spans="1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1" t="s">
        <v>3107</v>
      </c>
      <c r="B1" s="231"/>
      <c r="C1" s="231"/>
      <c r="D1" s="231"/>
      <c r="E1" s="231"/>
      <c r="F1" s="231"/>
      <c r="G1" s="231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2" t="s">
        <v>3108</v>
      </c>
      <c r="B4" s="233"/>
      <c r="D4" s="234" t="s">
        <v>3109</v>
      </c>
      <c r="E4" s="235"/>
      <c r="G4" s="45" t="s">
        <v>3110</v>
      </c>
    </row>
    <row r="5" spans="1:7" ht="54.95" customHeight="1" thickBot="1" x14ac:dyDescent="0.75">
      <c r="A5" s="35">
        <f>COUNTIF('Ações InCompany'!B:B,2026)</f>
        <v>86</v>
      </c>
      <c r="B5" s="36" t="s">
        <v>3111</v>
      </c>
      <c r="D5" s="43">
        <f>COUNTIFS('Ações InCompany'!B:B,2026,'Ações InCompany'!C:C,"Realizado")</f>
        <v>57</v>
      </c>
      <c r="E5" s="44" t="s">
        <v>3111</v>
      </c>
      <c r="G5" s="46">
        <f>COUNTIFS('Ações InCompany'!B:B,2026,'Ações InCompany'!C:C,"A realizar")</f>
        <v>24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9" t="s">
        <v>3112</v>
      </c>
      <c r="B8" s="229"/>
      <c r="D8" s="229" t="s">
        <v>3113</v>
      </c>
      <c r="E8" s="229"/>
    </row>
    <row r="9" spans="1:7" ht="5.0999999999999996" customHeight="1" x14ac:dyDescent="0.25">
      <c r="A9" s="230"/>
      <c r="B9" s="230"/>
      <c r="D9" s="230"/>
      <c r="E9" s="230"/>
    </row>
    <row r="10" spans="1:7" ht="24.95" customHeight="1" x14ac:dyDescent="0.25">
      <c r="A10" s="28" t="s">
        <v>5</v>
      </c>
      <c r="B10" s="28" t="s">
        <v>3114</v>
      </c>
      <c r="D10" s="28" t="s">
        <v>3115</v>
      </c>
      <c r="E10" s="28" t="s">
        <v>3116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22</v>
      </c>
      <c r="D11" s="29" t="s">
        <v>3117</v>
      </c>
      <c r="E11" s="30">
        <f>SUMIFS('Ações InCompany'!O:O,'Ações InCompany'!B:B,2026,'Ações InCompany'!C:C,"Realizado")</f>
        <v>841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24</v>
      </c>
      <c r="D12" s="31" t="s">
        <v>3118</v>
      </c>
      <c r="E12" s="32">
        <f>SUMIFS('Ações InCompany'!P:P,'Ações InCompany'!B:B,2026,'Ações InCompany'!C:C,"Realizado")</f>
        <v>1521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11</v>
      </c>
      <c r="D13" s="29" t="s">
        <v>3119</v>
      </c>
      <c r="E13" s="30">
        <f>SUMIFS('Ações InCompany'!Q:Q,'Ações InCompany'!B:B,2026,'Ações InCompany'!C:C,"Realizado")</f>
        <v>590</v>
      </c>
    </row>
    <row r="14" spans="1:7" ht="27.95" customHeight="1" x14ac:dyDescent="0.3">
      <c r="A14" s="33" t="s">
        <v>3120</v>
      </c>
      <c r="B14" s="34">
        <f>SUM(B11:B13)</f>
        <v>57</v>
      </c>
      <c r="D14" s="33" t="s">
        <v>3121</v>
      </c>
      <c r="E14" s="34">
        <f>SUM(E11:E13)</f>
        <v>2952</v>
      </c>
    </row>
    <row r="30" spans="1:5" ht="17.25" x14ac:dyDescent="0.3">
      <c r="A30" s="229" t="s">
        <v>3122</v>
      </c>
      <c r="B30" s="229"/>
      <c r="C30" s="229"/>
      <c r="D30" s="229"/>
      <c r="E30" s="229"/>
    </row>
    <row r="31" spans="1:5" ht="5.0999999999999996" customHeight="1" x14ac:dyDescent="0.25">
      <c r="A31" s="230"/>
      <c r="B31" s="230"/>
      <c r="C31" s="230"/>
      <c r="D31" s="230"/>
      <c r="E31" s="230"/>
    </row>
    <row r="32" spans="1:5" ht="24.95" customHeight="1" x14ac:dyDescent="0.25">
      <c r="A32" s="28" t="s">
        <v>6</v>
      </c>
      <c r="B32" s="28" t="s">
        <v>3123</v>
      </c>
      <c r="C32" s="28" t="s">
        <v>3124</v>
      </c>
      <c r="D32" s="28" t="s">
        <v>3125</v>
      </c>
      <c r="E32" s="28" t="s">
        <v>3126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18</v>
      </c>
      <c r="C33" s="47">
        <f>COUNTIFS('Ações InCompany'!B:B,2026,'Ações InCompany'!C:C,"A realizar",'Ações InCompany'!G:G,A33)</f>
        <v>4</v>
      </c>
      <c r="D33" s="37">
        <f t="shared" ref="D33:D44" si="0">B33+C33</f>
        <v>22</v>
      </c>
      <c r="E33" s="38">
        <f t="shared" ref="E33:E44" si="1">D33/$D$45</f>
        <v>0.27160493827160492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1</v>
      </c>
      <c r="D34" s="39">
        <f t="shared" si="0"/>
        <v>4</v>
      </c>
      <c r="E34" s="40">
        <f t="shared" si="1"/>
        <v>4.9382716049382713E-2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6</v>
      </c>
      <c r="C35" s="47">
        <f>COUNTIFS('Ações InCompany'!B:B,2026,'Ações InCompany'!C:C,"A realizar",'Ações InCompany'!G:G,A35)</f>
        <v>4</v>
      </c>
      <c r="D35" s="37">
        <f t="shared" si="0"/>
        <v>10</v>
      </c>
      <c r="E35" s="38">
        <f t="shared" si="1"/>
        <v>0.12345679012345678</v>
      </c>
    </row>
    <row r="36" spans="1:5" ht="24" customHeight="1" x14ac:dyDescent="0.25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2.4691358024691357E-2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5</v>
      </c>
      <c r="C37" s="47">
        <f>COUNTIFS('Ações InCompany'!B:B,2026,'Ações InCompany'!C:C,"A realizar",'Ações InCompany'!G:G,A37)</f>
        <v>1</v>
      </c>
      <c r="D37" s="37">
        <f t="shared" si="0"/>
        <v>6</v>
      </c>
      <c r="E37" s="38">
        <f t="shared" si="1"/>
        <v>7.407407407407407E-2</v>
      </c>
    </row>
    <row r="38" spans="1:5" ht="24" customHeight="1" x14ac:dyDescent="0.25">
      <c r="A38" s="31" t="s">
        <v>2717</v>
      </c>
      <c r="B38" s="39">
        <f>COUNTIFS('Ações InCompany'!B:B,2026,'Ações InCompany'!C:C,"Realizado",'Ações InCompany'!G:G,A38)</f>
        <v>11</v>
      </c>
      <c r="C38" s="48">
        <f>COUNTIFS('Ações InCompany'!B:B,2026,'Ações InCompany'!C:C,"A realizar",'Ações InCompany'!G:G,A38)</f>
        <v>11</v>
      </c>
      <c r="D38" s="39">
        <f t="shared" si="0"/>
        <v>22</v>
      </c>
      <c r="E38" s="40">
        <f t="shared" si="1"/>
        <v>0.27160493827160492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4.9382716049382713E-2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2.4691358024691357E-2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8.6419753086419748E-2</v>
      </c>
    </row>
    <row r="42" spans="1:5" ht="24" customHeight="1" x14ac:dyDescent="0.25">
      <c r="A42" s="75" t="s">
        <v>3127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2.4691358024691357E-2</v>
      </c>
    </row>
    <row r="44" spans="1:5" ht="24" customHeight="1" x14ac:dyDescent="0.25">
      <c r="A44" s="67" t="s">
        <v>3128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3120</v>
      </c>
      <c r="B45" s="41">
        <f>SUM(B33:B44)</f>
        <v>57</v>
      </c>
      <c r="C45" s="41">
        <f>SUM(C33:C44)</f>
        <v>24</v>
      </c>
      <c r="D45" s="41">
        <f>SUM(D33:D44)</f>
        <v>81</v>
      </c>
      <c r="E45" s="42">
        <f>SUM(E33:E44)</f>
        <v>0.99999999999999989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3134</v>
      </c>
      <c r="B2" s="12" t="s">
        <v>3135</v>
      </c>
      <c r="C2" s="12" t="s">
        <v>1736</v>
      </c>
      <c r="D2" s="12" t="s">
        <v>3136</v>
      </c>
      <c r="E2" s="12" t="s">
        <v>3137</v>
      </c>
    </row>
    <row r="3" spans="1:5" ht="18" customHeight="1" x14ac:dyDescent="0.25">
      <c r="A3" s="12" t="s">
        <v>3134</v>
      </c>
      <c r="B3" s="12" t="s">
        <v>3135</v>
      </c>
      <c r="C3" s="14" t="s">
        <v>25</v>
      </c>
      <c r="D3" s="12" t="s">
        <v>3138</v>
      </c>
      <c r="E3" s="12" t="s">
        <v>3139</v>
      </c>
    </row>
    <row r="4" spans="1:5" ht="18" customHeight="1" x14ac:dyDescent="0.25">
      <c r="A4" s="12" t="s">
        <v>3134</v>
      </c>
      <c r="B4" s="12" t="s">
        <v>3135</v>
      </c>
      <c r="C4" s="12" t="s">
        <v>75</v>
      </c>
      <c r="D4" s="12" t="s">
        <v>3136</v>
      </c>
      <c r="E4" s="12" t="s">
        <v>3140</v>
      </c>
    </row>
    <row r="5" spans="1:5" ht="18" customHeight="1" x14ac:dyDescent="0.25">
      <c r="A5" s="12" t="s">
        <v>3134</v>
      </c>
      <c r="B5" s="12" t="s">
        <v>3135</v>
      </c>
      <c r="C5" s="12" t="s">
        <v>79</v>
      </c>
      <c r="D5" s="12" t="s">
        <v>3141</v>
      </c>
      <c r="E5" s="12" t="s">
        <v>3142</v>
      </c>
    </row>
    <row r="6" spans="1:5" ht="18" customHeight="1" x14ac:dyDescent="0.25">
      <c r="A6" s="12" t="s">
        <v>3134</v>
      </c>
      <c r="B6" s="12" t="s">
        <v>3135</v>
      </c>
      <c r="C6" s="12" t="s">
        <v>2717</v>
      </c>
      <c r="D6" s="12" t="s">
        <v>3143</v>
      </c>
      <c r="E6" s="12" t="s">
        <v>3144</v>
      </c>
    </row>
    <row r="7" spans="1:5" ht="18" customHeight="1" x14ac:dyDescent="0.25">
      <c r="A7" s="12" t="s">
        <v>3134</v>
      </c>
      <c r="B7" s="12" t="s">
        <v>3145</v>
      </c>
      <c r="C7" s="12" t="s">
        <v>36</v>
      </c>
      <c r="D7" s="12" t="s">
        <v>3146</v>
      </c>
      <c r="E7" s="12" t="s">
        <v>3147</v>
      </c>
    </row>
    <row r="8" spans="1:5" ht="18" customHeight="1" x14ac:dyDescent="0.25">
      <c r="A8" s="12" t="s">
        <v>3134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3134</v>
      </c>
      <c r="B9" s="12" t="s">
        <v>3150</v>
      </c>
      <c r="C9" s="12" t="s">
        <v>464</v>
      </c>
      <c r="D9" s="12" t="s">
        <v>3151</v>
      </c>
      <c r="E9" s="12" t="s">
        <v>3152</v>
      </c>
    </row>
    <row r="10" spans="1:5" ht="18" customHeight="1" x14ac:dyDescent="0.25">
      <c r="A10" s="12" t="s">
        <v>3134</v>
      </c>
      <c r="B10" s="12" t="s">
        <v>3150</v>
      </c>
      <c r="C10" s="12" t="s">
        <v>206</v>
      </c>
      <c r="D10" s="12" t="s">
        <v>24</v>
      </c>
      <c r="E10" s="12" t="s">
        <v>3153</v>
      </c>
    </row>
    <row r="11" spans="1:5" ht="18" customHeight="1" x14ac:dyDescent="0.25">
      <c r="A11" s="12" t="s">
        <v>3134</v>
      </c>
      <c r="B11" s="12" t="s">
        <v>3150</v>
      </c>
      <c r="C11" s="12" t="s">
        <v>371</v>
      </c>
      <c r="D11" s="12" t="s">
        <v>24</v>
      </c>
      <c r="E11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3155</v>
      </c>
      <c r="B1" s="5" t="s">
        <v>10</v>
      </c>
      <c r="C1" s="15" t="s">
        <v>3156</v>
      </c>
      <c r="D1" s="15" t="s">
        <v>3079</v>
      </c>
    </row>
    <row r="2" spans="1:4" ht="21" customHeight="1" x14ac:dyDescent="0.25">
      <c r="A2" s="103" t="s">
        <v>24</v>
      </c>
      <c r="B2" s="103" t="s">
        <v>38</v>
      </c>
      <c r="C2" s="12" t="s">
        <v>3157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3158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2790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3159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3129</v>
      </c>
      <c r="B1" s="12" t="s">
        <v>3130</v>
      </c>
      <c r="C1" s="13" t="s">
        <v>3131</v>
      </c>
      <c r="D1" s="13" t="s">
        <v>3132</v>
      </c>
      <c r="E1" s="13" t="s">
        <v>3133</v>
      </c>
    </row>
    <row r="2" spans="1:5" ht="18" customHeight="1" x14ac:dyDescent="0.25">
      <c r="A2" s="12" t="s">
        <v>3160</v>
      </c>
      <c r="B2" s="12" t="s">
        <v>3135</v>
      </c>
      <c r="C2" s="14" t="s">
        <v>25</v>
      </c>
      <c r="D2" s="12" t="s">
        <v>3136</v>
      </c>
      <c r="E2" s="17" t="s">
        <v>3161</v>
      </c>
    </row>
    <row r="3" spans="1:5" ht="18" customHeight="1" x14ac:dyDescent="0.25">
      <c r="A3" s="12" t="s">
        <v>3160</v>
      </c>
      <c r="B3" s="12" t="s">
        <v>3135</v>
      </c>
      <c r="C3" s="12" t="s">
        <v>75</v>
      </c>
      <c r="D3" s="12" t="s">
        <v>3138</v>
      </c>
      <c r="E3" s="12" t="s">
        <v>3162</v>
      </c>
    </row>
    <row r="4" spans="1:5" ht="18" customHeight="1" x14ac:dyDescent="0.25">
      <c r="A4" s="12" t="s">
        <v>3160</v>
      </c>
      <c r="B4" s="12" t="s">
        <v>3135</v>
      </c>
      <c r="C4" s="12" t="s">
        <v>79</v>
      </c>
      <c r="D4" s="12" t="s">
        <v>3141</v>
      </c>
      <c r="E4" s="12" t="s">
        <v>3163</v>
      </c>
    </row>
    <row r="5" spans="1:5" ht="27.75" customHeight="1" x14ac:dyDescent="0.25">
      <c r="A5" s="12" t="s">
        <v>3160</v>
      </c>
      <c r="B5" s="12" t="s">
        <v>3135</v>
      </c>
      <c r="C5" s="12" t="s">
        <v>2694</v>
      </c>
      <c r="D5" s="17" t="s">
        <v>3164</v>
      </c>
      <c r="E5" s="12" t="s">
        <v>3165</v>
      </c>
    </row>
    <row r="6" spans="1:5" ht="18" customHeight="1" x14ac:dyDescent="0.25">
      <c r="A6" s="12" t="s">
        <v>3160</v>
      </c>
      <c r="B6" s="12" t="s">
        <v>3135</v>
      </c>
      <c r="C6" s="12" t="s">
        <v>2717</v>
      </c>
      <c r="D6" s="12" t="s">
        <v>3143</v>
      </c>
      <c r="E6" s="12" t="s">
        <v>3144</v>
      </c>
    </row>
    <row r="7" spans="1:5" ht="18" customHeight="1" x14ac:dyDescent="0.25">
      <c r="A7" s="12" t="s">
        <v>3160</v>
      </c>
      <c r="B7" s="12" t="s">
        <v>3145</v>
      </c>
      <c r="C7" s="12" t="s">
        <v>2700</v>
      </c>
      <c r="D7" s="12" t="s">
        <v>3166</v>
      </c>
      <c r="E7" s="12" t="s">
        <v>3167</v>
      </c>
    </row>
    <row r="8" spans="1:5" ht="18" customHeight="1" x14ac:dyDescent="0.25">
      <c r="A8" s="12" t="s">
        <v>3160</v>
      </c>
      <c r="B8" s="12" t="s">
        <v>3145</v>
      </c>
      <c r="C8" s="12" t="s">
        <v>42</v>
      </c>
      <c r="D8" s="12" t="s">
        <v>3148</v>
      </c>
      <c r="E8" s="12" t="s">
        <v>3149</v>
      </c>
    </row>
    <row r="9" spans="1:5" ht="18" customHeight="1" x14ac:dyDescent="0.25">
      <c r="A9" s="12" t="s">
        <v>3160</v>
      </c>
      <c r="B9" s="12" t="s">
        <v>3145</v>
      </c>
      <c r="C9" s="12" t="s">
        <v>2793</v>
      </c>
      <c r="D9" s="12" t="s">
        <v>3168</v>
      </c>
      <c r="E9" s="17" t="s">
        <v>3169</v>
      </c>
    </row>
    <row r="10" spans="1:5" ht="18" customHeight="1" x14ac:dyDescent="0.25">
      <c r="A10" s="12" t="s">
        <v>3160</v>
      </c>
      <c r="B10" s="12" t="s">
        <v>3170</v>
      </c>
      <c r="C10" s="12" t="s">
        <v>3127</v>
      </c>
      <c r="D10" s="12" t="s">
        <v>3171</v>
      </c>
      <c r="E10" s="17" t="s">
        <v>3172</v>
      </c>
    </row>
    <row r="11" spans="1:5" ht="18" customHeight="1" x14ac:dyDescent="0.25">
      <c r="A11" s="12" t="s">
        <v>3160</v>
      </c>
      <c r="B11" s="12" t="s">
        <v>3170</v>
      </c>
      <c r="C11" s="12" t="s">
        <v>206</v>
      </c>
      <c r="D11" s="12" t="s">
        <v>24</v>
      </c>
      <c r="E11" s="12" t="s">
        <v>3153</v>
      </c>
    </row>
    <row r="12" spans="1:5" ht="18" customHeight="1" x14ac:dyDescent="0.25">
      <c r="A12" s="12" t="s">
        <v>3160</v>
      </c>
      <c r="B12" s="12" t="s">
        <v>3170</v>
      </c>
      <c r="C12" s="12" t="s">
        <v>371</v>
      </c>
      <c r="D12" s="12" t="s">
        <v>24</v>
      </c>
      <c r="E12" s="12" t="s">
        <v>3154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6" t="s">
        <v>3173</v>
      </c>
      <c r="B1" s="236"/>
      <c r="C1" s="236"/>
      <c r="D1" s="236"/>
      <c r="E1" s="236"/>
      <c r="F1" s="236"/>
      <c r="G1" s="236"/>
      <c r="H1" s="236"/>
    </row>
    <row r="2" spans="1:8" x14ac:dyDescent="0.25">
      <c r="A2" s="49" t="s">
        <v>3174</v>
      </c>
    </row>
    <row r="4" spans="1:8" ht="21.95" customHeight="1" x14ac:dyDescent="0.25">
      <c r="A4" s="237" t="s">
        <v>3175</v>
      </c>
      <c r="B4" s="238"/>
      <c r="D4" s="237" t="s">
        <v>3176</v>
      </c>
      <c r="E4" s="238"/>
      <c r="G4" s="237" t="s">
        <v>3177</v>
      </c>
      <c r="H4" s="238"/>
    </row>
    <row r="5" spans="1:8" ht="35.1" customHeight="1" x14ac:dyDescent="0.25">
      <c r="A5" s="241">
        <f>COUNTIF('Ações InCompany'!E:E,"*maratona*")</f>
        <v>13</v>
      </c>
      <c r="B5" s="240"/>
      <c r="D5" s="239">
        <f>SUM(H8:H100)</f>
        <v>1762</v>
      </c>
      <c r="E5" s="240"/>
      <c r="G5" s="239">
        <f>IFERROR(ROUND(D5/A5,0),"-")</f>
        <v>136</v>
      </c>
      <c r="H5" s="240"/>
    </row>
    <row r="6" spans="1:8" ht="9.9499999999999993" customHeight="1" x14ac:dyDescent="0.25"/>
    <row r="7" spans="1:8" ht="24.95" customHeight="1" thickBot="1" x14ac:dyDescent="0.3">
      <c r="A7" s="62" t="s">
        <v>3178</v>
      </c>
      <c r="B7" s="62" t="s">
        <v>3179</v>
      </c>
      <c r="C7" s="62" t="s">
        <v>1</v>
      </c>
      <c r="D7" s="62" t="s">
        <v>3180</v>
      </c>
      <c r="E7" s="62" t="s">
        <v>3181</v>
      </c>
      <c r="F7" s="62" t="s">
        <v>3079</v>
      </c>
      <c r="G7" s="62" t="s">
        <v>5</v>
      </c>
      <c r="H7" s="62" t="s">
        <v>3182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24" activePane="bottomLeft" state="frozen"/>
      <selection pane="bottomLeft" activeCell="E25" sqref="E2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42" t="s">
        <v>3183</v>
      </c>
      <c r="B1" s="242"/>
      <c r="C1" s="242"/>
      <c r="D1" s="242"/>
      <c r="E1" s="242"/>
      <c r="F1" s="242"/>
    </row>
    <row r="2" spans="1:7" x14ac:dyDescent="0.25">
      <c r="A2" s="243" t="s">
        <v>3184</v>
      </c>
      <c r="B2" s="243"/>
      <c r="C2" s="243"/>
      <c r="D2" s="243"/>
      <c r="E2" s="243"/>
      <c r="F2" s="243"/>
    </row>
    <row r="4" spans="1:7" x14ac:dyDescent="0.25">
      <c r="A4" s="25" t="s">
        <v>19</v>
      </c>
      <c r="B4" s="25" t="s">
        <v>3082</v>
      </c>
      <c r="C4" s="25" t="s">
        <v>3083</v>
      </c>
      <c r="D4" s="25" t="s">
        <v>3185</v>
      </c>
      <c r="E4" s="25" t="s">
        <v>3084</v>
      </c>
      <c r="F4" s="25" t="s">
        <v>3186</v>
      </c>
    </row>
    <row r="5" spans="1:7" x14ac:dyDescent="0.25">
      <c r="A5" t="str" cm="1">
        <f t="array" aca="1" ref="A5:A60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16</v>
      </c>
      <c r="C5" s="26">
        <f ca="1">IF($A5="","",SUMIFS('GECC 2026'!I$2:I$200,'GECC 2026'!F$2:F$200,$A5))</f>
        <v>4.8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20.8</v>
      </c>
      <c r="F5" s="24">
        <f ca="1">IF($A5="","",COUNTIFS('GECC 2026'!F$2:F$200,$A5))</f>
        <v>5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12</v>
      </c>
      <c r="C6" s="26">
        <f ca="1">IF($A6="","",SUMIFS('GECC 2026'!I$2:I$200,'GECC 2026'!F$2:F$200,$A6))</f>
        <v>3.5999999999999996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15.600000000000001</v>
      </c>
      <c r="F6" s="24">
        <f ca="1">IF($A6="","",COUNTIFS('GECC 2026'!F$2:F$200,$A6))</f>
        <v>3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57</v>
      </c>
      <c r="C9" s="26">
        <f ca="1">IF($A9="","",SUMIFS('GECC 2026'!I$2:I$200,'GECC 2026'!F$2:F$200,$A9))</f>
        <v>17.399999999999999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74.400000000000006</v>
      </c>
      <c r="F9" s="24">
        <f ca="1">IF($A9="","",COUNTIFS('GECC 2026'!F$2:F$200,$A9))</f>
        <v>8</v>
      </c>
    </row>
    <row r="10" spans="1:7" x14ac:dyDescent="0.25">
      <c r="A10" t="str">
        <f ca="1"/>
        <v>Caio Filipe</v>
      </c>
      <c r="B10" s="26">
        <f ca="1">IF($A10="","",SUMIFS('GECC 2026'!H$2:H$200,'GECC 2026'!F$2:F$200,$A10))</f>
        <v>4</v>
      </c>
      <c r="C10" s="26">
        <f ca="1">IF($A10="","",SUMIFS('GECC 2026'!I$2:I$200,'GECC 2026'!F$2:F$200,$A10))</f>
        <v>1.2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5.2</v>
      </c>
      <c r="F10" s="24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6">
        <f ca="1">IF($A11="","",SUMIFS('GECC 2026'!H$2:H$200,'GECC 2026'!F$2:F$200,$A11))</f>
        <v>8</v>
      </c>
      <c r="C11" s="26">
        <f ca="1">IF($A11="","",SUMIFS('GECC 2026'!I$2:I$200,'GECC 2026'!F$2:F$200,$A11))</f>
        <v>2.4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10.4</v>
      </c>
      <c r="F11" s="24">
        <f ca="1">IF($A11="","",COUNTIFS('GECC 2026'!F$2:F$200,$A11))</f>
        <v>1</v>
      </c>
    </row>
    <row r="12" spans="1:7" x14ac:dyDescent="0.25">
      <c r="A12" t="str">
        <f ca="1"/>
        <v>Carlos Antônio</v>
      </c>
      <c r="B12" s="26">
        <f ca="1">IF($A12="","",SUMIFS('GECC 2026'!H$2:H$200,'GECC 2026'!F$2:F$200,$A12))</f>
        <v>4</v>
      </c>
      <c r="C12" s="26">
        <f ca="1">IF($A12="","",SUMIFS('GECC 2026'!I$2:I$200,'GECC 2026'!F$2:F$200,$A12))</f>
        <v>1.2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5.2</v>
      </c>
      <c r="F12" s="24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6">
        <f ca="1">IF($A13="","",SUMIFS('GECC 2026'!H$2:H$200,'GECC 2026'!F$2:F$200,$A13))</f>
        <v>1</v>
      </c>
      <c r="C13" s="26">
        <f ca="1">IF($A13="","",SUMIFS('GECC 2026'!I$2:I$200,'GECC 2026'!F$2:F$200,$A13))</f>
        <v>0.3</v>
      </c>
      <c r="D13" s="101">
        <f ca="1">IF($A13="","",SUMIFS('GECC 2026'!$AE$3:$AE$32,'GECC 2026'!$AD$3:$AD$32,$A13))</f>
        <v>0</v>
      </c>
      <c r="E13" s="93">
        <f ca="1">IF($A13="","",SUMIFS('GECC 2026'!J$2:J$200,'GECC 2026'!F$2:F$200,$A13)+SUMIFS('GECC 2026'!$AE$3:$AE$32,'GECC 2026'!$AD$3:$AD$32,$A13))</f>
        <v>1.3</v>
      </c>
      <c r="F13" s="24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6">
        <f ca="1">IF($A14="","",SUMIFS('GECC 2026'!H$2:H$200,'GECC 2026'!F$2:F$200,$A14))</f>
        <v>16</v>
      </c>
      <c r="C14" s="26">
        <f ca="1">IF($A14="","",SUMIFS('GECC 2026'!I$2:I$200,'GECC 2026'!F$2:F$200,$A14))</f>
        <v>4.8</v>
      </c>
      <c r="D14" s="101">
        <f ca="1">IF($A14="","",SUMIFS('GECC 2026'!$AE$3:$AE$32,'GECC 2026'!$AD$3:$AD$32,$A14))</f>
        <v>16</v>
      </c>
      <c r="E14" s="93">
        <f ca="1">IF($A14="","",SUMIFS('GECC 2026'!J$2:J$200,'GECC 2026'!F$2:F$200,$A14)+SUMIFS('GECC 2026'!$AE$3:$AE$32,'GECC 2026'!$AD$3:$AD$32,$A14))</f>
        <v>36.799999999999997</v>
      </c>
      <c r="F14" s="24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6">
        <f ca="1">IF($A15="","",SUMIFS('GECC 2026'!H$2:H$200,'GECC 2026'!F$2:F$200,$A15))</f>
        <v>37</v>
      </c>
      <c r="C15" s="26">
        <f ca="1">IF($A15="","",SUMIFS('GECC 2026'!I$2:I$200,'GECC 2026'!F$2:F$200,$A15))</f>
        <v>7.5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44.500000000000007</v>
      </c>
      <c r="F15" s="24">
        <f ca="1">IF($A15="","",COUNTIFS('GECC 2026'!F$2:F$200,$A15))</f>
        <v>8</v>
      </c>
    </row>
    <row r="16" spans="1:7" x14ac:dyDescent="0.25">
      <c r="A16" t="str">
        <f ca="1"/>
        <v>Davi Assunção Salvador Nery de Castro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1.2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13.2</v>
      </c>
      <c r="F17" s="24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6">
        <f ca="1">IF($A18="","",SUMIFS('GECC 2026'!H$2:H$200,'GECC 2026'!F$2:F$200,$A18))</f>
        <v>12</v>
      </c>
      <c r="C18" s="26">
        <f ca="1">IF($A18="","",SUMIFS('GECC 2026'!I$2:I$200,'GECC 2026'!F$2:F$200,$A18))</f>
        <v>3.5999999999999996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15.600000000000001</v>
      </c>
      <c r="F18" s="24">
        <f ca="1">IF($A18="","",COUNTIFS('GECC 2026'!F$2:F$200,$A18))</f>
        <v>3</v>
      </c>
    </row>
    <row r="19" spans="1:6" x14ac:dyDescent="0.25">
      <c r="A19" t="str">
        <f ca="1"/>
        <v>Diversos</v>
      </c>
      <c r="B19" s="26">
        <f ca="1">IF($A19="","",SUMIFS('GECC 2026'!H$2:H$200,'GECC 2026'!F$2:F$200,$A19))</f>
        <v>0</v>
      </c>
      <c r="C19" s="26">
        <f ca="1">IF($A19="","",SUMIFS('GECC 2026'!I$2:I$200,'GECC 2026'!F$2:F$200,$A19))</f>
        <v>0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0</v>
      </c>
      <c r="F19" s="24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6">
        <f ca="1">IF($A20="","",SUMIFS('GECC 2026'!H$2:H$200,'GECC 2026'!F$2:F$200,$A20))</f>
        <v>4</v>
      </c>
      <c r="C20" s="26">
        <f ca="1">IF($A20="","",SUMIFS('GECC 2026'!I$2:I$200,'GECC 2026'!F$2:F$200,$A20))</f>
        <v>1.2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5.2</v>
      </c>
      <c r="F20" s="24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6">
        <f ca="1">IF($A21="","",SUMIFS('GECC 2026'!H$2:H$200,'GECC 2026'!F$2:F$200,$A21))</f>
        <v>0</v>
      </c>
      <c r="C21" s="26">
        <f ca="1">IF($A21="","",SUMIFS('GECC 2026'!I$2:I$200,'GECC 2026'!F$2:F$200,$A21))</f>
        <v>0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0</v>
      </c>
      <c r="F21" s="24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6">
        <f ca="1">IF($A22="","",SUMIFS('GECC 2026'!H$2:H$200,'GECC 2026'!F$2:F$200,$A22))</f>
        <v>0</v>
      </c>
      <c r="C22" s="26">
        <f ca="1">IF($A22="","",SUMIFS('GECC 2026'!I$2:I$200,'GECC 2026'!F$2:F$200,$A22))</f>
        <v>0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0</v>
      </c>
      <c r="F22" s="24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6">
        <f ca="1">IF($A23="","",SUMIFS('GECC 2026'!H$2:H$200,'GECC 2026'!F$2:F$200,$A23))</f>
        <v>16</v>
      </c>
      <c r="C23" s="26">
        <f ca="1">IF($A23="","",SUMIFS('GECC 2026'!I$2:I$200,'GECC 2026'!F$2:F$200,$A23))</f>
        <v>24.099999999999998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40.1</v>
      </c>
      <c r="F23" s="24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6">
        <f ca="1">IF($A24="","",SUMIFS('GECC 2026'!H$2:H$200,'GECC 2026'!F$2:F$200,$A24))</f>
        <v>1</v>
      </c>
      <c r="C24" s="26">
        <f ca="1">IF($A24="","",SUMIFS('GECC 2026'!I$2:I$200,'GECC 2026'!F$2:F$200,$A24))</f>
        <v>0.3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1.3</v>
      </c>
      <c r="F24" s="24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6">
        <f ca="1">IF($A25="","",SUMIFS('GECC 2026'!H$2:H$200,'GECC 2026'!F$2:F$200,$A25))</f>
        <v>29</v>
      </c>
      <c r="C25" s="26">
        <f ca="1">IF($A25="","",SUMIFS('GECC 2026'!I$2:I$200,'GECC 2026'!F$2:F$200,$A25))</f>
        <v>8.7000000000000011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37.699999999999996</v>
      </c>
      <c r="F25" s="24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6">
        <f ca="1">IF($A26="","",SUMIFS('GECC 2026'!H$2:H$200,'GECC 2026'!F$2:F$200,$A26))</f>
        <v>8</v>
      </c>
      <c r="C26" s="26">
        <f ca="1">IF($A26="","",SUMIFS('GECC 2026'!I$2:I$200,'GECC 2026'!F$2:F$200,$A26))</f>
        <v>2.4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10.4</v>
      </c>
      <c r="F26" s="24">
        <f ca="1">IF($A26="","",COUNTIFS('GECC 2026'!F$2:F$200,$A26))</f>
        <v>1</v>
      </c>
    </row>
    <row r="27" spans="1:6" x14ac:dyDescent="0.25">
      <c r="A27" t="str">
        <f ca="1"/>
        <v>Gabriel Heller</v>
      </c>
      <c r="B27" s="26">
        <f ca="1">IF($A27="","",SUMIFS('GECC 2026'!H$2:H$200,'GECC 2026'!F$2:F$200,$A27))</f>
        <v>4</v>
      </c>
      <c r="C27" s="26">
        <f ca="1">IF($A27="","",SUMIFS('GECC 2026'!I$2:I$200,'GECC 2026'!F$2:F$200,$A27))</f>
        <v>33.200000000000003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37.200000000000003</v>
      </c>
      <c r="F27" s="24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6">
        <f ca="1">IF($A28="","",SUMIFS('GECC 2026'!H$2:H$200,'GECC 2026'!F$2:F$200,$A28))</f>
        <v>0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0</v>
      </c>
      <c r="F28" s="24">
        <f ca="1">IF($A28="","",COUNTIFS('GECC 2026'!F$2:F$200,$A28))</f>
        <v>1</v>
      </c>
    </row>
    <row r="29" spans="1:6" x14ac:dyDescent="0.25">
      <c r="A29" t="str">
        <f ca="1"/>
        <v>Gustavo Takahashi</v>
      </c>
      <c r="B29" s="26">
        <f ca="1">IF($A29="","",SUMIFS('GECC 2026'!H$2:H$200,'GECC 2026'!F$2:F$200,$A29))</f>
        <v>49</v>
      </c>
      <c r="C29" s="26">
        <f ca="1">IF($A29="","",SUMIFS('GECC 2026'!I$2:I$200,'GECC 2026'!F$2:F$200,$A29))</f>
        <v>4.8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53.8</v>
      </c>
      <c r="F29" s="24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6">
        <f ca="1">IF($A30="","",SUMIFS('GECC 2026'!H$2:H$200,'GECC 2026'!F$2:F$200,$A30))</f>
        <v>12</v>
      </c>
      <c r="C30" s="26">
        <f ca="1">IF($A30="","",SUMIFS('GECC 2026'!I$2:I$200,'GECC 2026'!F$2:F$200,$A30))</f>
        <v>1.2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13.2</v>
      </c>
      <c r="F30" s="24">
        <f ca="1">IF($A30="","",COUNTIFS('GECC 2026'!F$2:F$200,$A30))</f>
        <v>1</v>
      </c>
    </row>
    <row r="31" spans="1:6" x14ac:dyDescent="0.25">
      <c r="A31" t="str">
        <f ca="1"/>
        <v>Igor Queiroz</v>
      </c>
      <c r="B31" s="26">
        <f ca="1">IF($A31="","",SUMIFS('GECC 2026'!H$2:H$200,'GECC 2026'!F$2:F$200,$A31))</f>
        <v>1</v>
      </c>
      <c r="C31" s="26">
        <f ca="1">IF($A31="","",SUMIFS('GECC 2026'!I$2:I$200,'GECC 2026'!F$2:F$200,$A31))</f>
        <v>0.3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1.3</v>
      </c>
      <c r="F31" s="24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6">
        <f ca="1">IF($A32="","",SUMIFS('GECC 2026'!H$2:H$200,'GECC 2026'!F$2:F$200,$A32))</f>
        <v>16</v>
      </c>
      <c r="C32" s="26">
        <f ca="1">IF($A32="","",SUMIFS('GECC 2026'!I$2:I$200,'GECC 2026'!F$2:F$200,$A32))</f>
        <v>4.8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20.8</v>
      </c>
      <c r="F32" s="24">
        <f ca="1">IF($A32="","",COUNTIFS('GECC 2026'!F$2:F$200,$A32))</f>
        <v>2</v>
      </c>
    </row>
    <row r="33" spans="1:6" x14ac:dyDescent="0.25">
      <c r="A33" t="str">
        <f ca="1"/>
        <v>Isac Mendes Caixeta de Pamplona Araújo</v>
      </c>
      <c r="B33" s="26">
        <f ca="1">IF($A33="","",SUMIFS('GECC 2026'!H$2:H$200,'GECC 2026'!F$2:F$200,$A33))</f>
        <v>0</v>
      </c>
      <c r="C33" s="26">
        <f ca="1">IF($A33="","",SUMIFS('GECC 2026'!I$2:I$200,'GECC 2026'!F$2:F$200,$A33))</f>
        <v>0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0</v>
      </c>
      <c r="F33" s="24">
        <f ca="1">IF($A33="","",COUNTIFS('GECC 2026'!F$2:F$200,$A33))</f>
        <v>2</v>
      </c>
    </row>
    <row r="34" spans="1:6" x14ac:dyDescent="0.25">
      <c r="A34" t="str">
        <f ca="1"/>
        <v>Jamile Medeiros Fon</v>
      </c>
      <c r="B34" s="26">
        <f ca="1">IF($A34="","",SUMIFS('GECC 2026'!H$2:H$200,'GECC 2026'!F$2:F$200,$A34))</f>
        <v>4</v>
      </c>
      <c r="C34" s="26">
        <f ca="1">IF($A34="","",SUMIFS('GECC 2026'!I$2:I$200,'GECC 2026'!F$2:F$200,$A34))</f>
        <v>1.2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5.2</v>
      </c>
      <c r="F34" s="24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6">
        <f ca="1">IF($A35="","",SUMIFS('GECC 2026'!H$2:H$200,'GECC 2026'!F$2:F$200,$A35))</f>
        <v>9</v>
      </c>
      <c r="C35" s="26">
        <f ca="1">IF($A35="","",SUMIFS('GECC 2026'!I$2:I$200,'GECC 2026'!F$2:F$200,$A35))</f>
        <v>2.6999999999999997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11.7</v>
      </c>
      <c r="F35" s="24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6">
        <f ca="1">IF($A36="","",SUMIFS('GECC 2026'!H$2:H$200,'GECC 2026'!F$2:F$200,$A36))</f>
        <v>1</v>
      </c>
      <c r="C36" s="26">
        <f ca="1">IF($A36="","",SUMIFS('GECC 2026'!I$2:I$200,'GECC 2026'!F$2:F$200,$A36))</f>
        <v>0.3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1.3</v>
      </c>
      <c r="F36" s="24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6">
        <f ca="1">IF($A37="","",SUMIFS('GECC 2026'!H$2:H$200,'GECC 2026'!F$2:F$200,$A37))</f>
        <v>8</v>
      </c>
      <c r="C37" s="26">
        <f ca="1">IF($A37="","",SUMIFS('GECC 2026'!I$2:I$200,'GECC 2026'!F$2:F$200,$A37))</f>
        <v>2.4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10.4</v>
      </c>
      <c r="F37" s="24">
        <f ca="1">IF($A37="","",COUNTIFS('GECC 2026'!F$2:F$200,$A37))</f>
        <v>2</v>
      </c>
    </row>
    <row r="38" spans="1:6" x14ac:dyDescent="0.25">
      <c r="A38" t="str">
        <f ca="1"/>
        <v>Leonardo de Melo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0</v>
      </c>
      <c r="E38" s="93">
        <f ca="1">IF($A38="","",SUMIFS('GECC 2026'!J$2:J$200,'GECC 2026'!F$2:F$200,$A38)+SUMIFS('GECC 2026'!$AE$3:$AE$32,'GECC 2026'!$AD$3:$AD$32,$A38))</f>
        <v>0</v>
      </c>
      <c r="F38" s="24">
        <f ca="1">IF($A38="","",COUNTIFS('GECC 2026'!F$2:F$200,$A38))</f>
        <v>2</v>
      </c>
    </row>
    <row r="39" spans="1:6" x14ac:dyDescent="0.25">
      <c r="A39" t="str">
        <f ca="1"/>
        <v>Leonardo José Alves Leal Neri</v>
      </c>
      <c r="B39" s="26">
        <f ca="1">IF($A39="","",SUMIFS('GECC 2026'!H$2:H$200,'GECC 2026'!F$2:F$200,$A39))</f>
        <v>40</v>
      </c>
      <c r="C39" s="26">
        <f ca="1">IF($A39="","",SUMIFS('GECC 2026'!I$2:I$200,'GECC 2026'!F$2:F$200,$A39))</f>
        <v>12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52</v>
      </c>
      <c r="F39" s="24">
        <f ca="1">IF($A39="","",COUNTIFS('GECC 2026'!F$2:F$200,$A39))</f>
        <v>2</v>
      </c>
    </row>
    <row r="40" spans="1:6" x14ac:dyDescent="0.25">
      <c r="A40" t="str">
        <f ca="1"/>
        <v>Luciana Alvim</v>
      </c>
      <c r="B40" s="26">
        <f ca="1">IF($A40="","",SUMIFS('GECC 2026'!H$2:H$200,'GECC 2026'!F$2:F$200,$A40))</f>
        <v>72</v>
      </c>
      <c r="C40" s="26">
        <f ca="1">IF($A40="","",SUMIFS('GECC 2026'!I$2:I$200,'GECC 2026'!F$2:F$200,$A40))</f>
        <v>77.599999999999994</v>
      </c>
      <c r="D40" s="101">
        <f ca="1">IF($A40="","",SUMIFS('GECC 2026'!$AE$3:$AE$32,'GECC 2026'!$AD$3:$AD$32,$A40))</f>
        <v>0</v>
      </c>
      <c r="E40" s="93">
        <f ca="1">IF($A40="","",SUMIFS('GECC 2026'!J$2:J$200,'GECC 2026'!F$2:F$200,$A40)+SUMIFS('GECC 2026'!$AE$3:$AE$32,'GECC 2026'!$AD$3:$AD$32,$A40))</f>
        <v>149.6</v>
      </c>
      <c r="F40" s="24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6">
        <f ca="1">IF($A41="","",SUMIFS('GECC 2026'!H$2:H$200,'GECC 2026'!F$2:F$200,$A41))</f>
        <v>20</v>
      </c>
      <c r="C41" s="26">
        <f ca="1">IF($A41="","",SUMIFS('GECC 2026'!I$2:I$200,'GECC 2026'!F$2:F$200,$A41))</f>
        <v>6</v>
      </c>
      <c r="D41" s="101">
        <f ca="1">IF($A41="","",SUMIFS('GECC 2026'!$AE$3:$AE$32,'GECC 2026'!$AD$3:$AD$32,$A41))</f>
        <v>0</v>
      </c>
      <c r="E41" s="93">
        <f ca="1">IF($A41="","",SUMIFS('GECC 2026'!J$2:J$200,'GECC 2026'!F$2:F$200,$A41)+SUMIFS('GECC 2026'!$AE$3:$AE$32,'GECC 2026'!$AD$3:$AD$32,$A41))</f>
        <v>26</v>
      </c>
      <c r="F41" s="24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16</v>
      </c>
      <c r="E42" s="93">
        <f ca="1">IF($A42="","",SUMIFS('GECC 2026'!J$2:J$200,'GECC 2026'!F$2:F$200,$A42)+SUMIFS('GECC 2026'!$AE$3:$AE$32,'GECC 2026'!$AD$3:$AD$32,$A42))</f>
        <v>16</v>
      </c>
      <c r="F42" s="24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1.44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13.440000000000001</v>
      </c>
      <c r="F43" s="24">
        <f ca="1">IF($A43="","",COUNTIFS('GECC 2026'!F$2:F$200,$A43))</f>
        <v>2</v>
      </c>
    </row>
    <row r="44" spans="1:6" x14ac:dyDescent="0.25">
      <c r="A44" t="str">
        <f ca="1"/>
        <v>Mauri Siqueira Montessi</v>
      </c>
      <c r="B44" s="26">
        <f ca="1">IF($A44="","",SUMIFS('GECC 2026'!H$2:H$200,'GECC 2026'!F$2:F$200,$A44))</f>
        <v>0</v>
      </c>
      <c r="C44" s="26">
        <f ca="1">IF($A44="","",SUMIFS('GECC 2026'!I$2:I$200,'GECC 2026'!F$2:F$200,$A44))</f>
        <v>0</v>
      </c>
      <c r="D44" s="101">
        <f ca="1">IF($A44="","",SUMIFS('GECC 2026'!$AE$3:$AE$32,'GECC 2026'!$AD$3:$AD$32,$A44))</f>
        <v>16</v>
      </c>
      <c r="E44" s="93">
        <f ca="1">IF($A44="","",SUMIFS('GECC 2026'!J$2:J$200,'GECC 2026'!F$2:F$200,$A44)+SUMIFS('GECC 2026'!$AE$3:$AE$32,'GECC 2026'!$AD$3:$AD$32,$A44))</f>
        <v>16</v>
      </c>
      <c r="F44" s="24">
        <f ca="1">IF($A44="","",COUNTIFS('GECC 2026'!F$2:F$200,$A44))</f>
        <v>0</v>
      </c>
    </row>
    <row r="45" spans="1:6" x14ac:dyDescent="0.25">
      <c r="A45" t="str">
        <f ca="1"/>
        <v>Michel Martins de Morais</v>
      </c>
      <c r="B45" s="26">
        <f ca="1">IF($A45="","",SUMIFS('GECC 2026'!H$2:H$200,'GECC 2026'!F$2:F$200,$A45))</f>
        <v>0</v>
      </c>
      <c r="C45" s="26">
        <f ca="1">IF($A45="","",SUMIFS('GECC 2026'!I$2:I$200,'GECC 2026'!F$2:F$200,$A45))</f>
        <v>0</v>
      </c>
      <c r="D45" s="101">
        <f ca="1">IF($A45="","",SUMIFS('GECC 2026'!$AE$3:$AE$32,'GECC 2026'!$AD$3:$AD$32,$A45))</f>
        <v>16</v>
      </c>
      <c r="E45" s="93">
        <f ca="1">IF($A45="","",SUMIFS('GECC 2026'!J$2:J$200,'GECC 2026'!F$2:F$200,$A45)+SUMIFS('GECC 2026'!$AE$3:$AE$32,'GECC 2026'!$AD$3:$AD$32,$A45))</f>
        <v>16</v>
      </c>
      <c r="F45" s="24">
        <f ca="1">IF($A45="","",COUNTIFS('GECC 2026'!F$2:F$200,$A45))</f>
        <v>0</v>
      </c>
    </row>
    <row r="46" spans="1:6" x14ac:dyDescent="0.25">
      <c r="A46" t="str">
        <f ca="1"/>
        <v>Paulo José Góes Daltro</v>
      </c>
      <c r="B46" s="26">
        <f ca="1">IF($A46="","",SUMIFS('GECC 2026'!H$2:H$200,'GECC 2026'!F$2:F$200,$A46))</f>
        <v>0</v>
      </c>
      <c r="C46" s="26">
        <f ca="1">IF($A46="","",SUMIFS('GECC 2026'!I$2:I$200,'GECC 2026'!F$2:F$200,$A46))</f>
        <v>0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0</v>
      </c>
      <c r="F46" s="24">
        <f ca="1">IF($A46="","",COUNTIFS('GECC 2026'!F$2:F$200,$A46))</f>
        <v>2</v>
      </c>
    </row>
    <row r="47" spans="1:6" x14ac:dyDescent="0.25">
      <c r="A47" t="str">
        <f ca="1"/>
        <v>Priscila Nolasco de Oliveira</v>
      </c>
      <c r="B47" s="26">
        <f ca="1">IF($A47="","",SUMIFS('GECC 2026'!H$2:H$200,'GECC 2026'!F$2:F$200,$A47))</f>
        <v>20</v>
      </c>
      <c r="C47" s="26">
        <f ca="1">IF($A47="","",SUMIFS('GECC 2026'!I$2:I$200,'GECC 2026'!F$2:F$200,$A47))</f>
        <v>6</v>
      </c>
      <c r="D47" s="101">
        <f ca="1">IF($A47="","",SUMIFS('GECC 2026'!$AE$3:$AE$32,'GECC 2026'!$AD$3:$AD$32,$A47))</f>
        <v>0</v>
      </c>
      <c r="E47" s="93">
        <f ca="1">IF($A47="","",SUMIFS('GECC 2026'!J$2:J$200,'GECC 2026'!F$2:F$200,$A47)+SUMIFS('GECC 2026'!$AE$3:$AE$32,'GECC 2026'!$AD$3:$AD$32,$A47))</f>
        <v>26</v>
      </c>
      <c r="F47" s="24">
        <f ca="1">IF($A47="","",COUNTIFS('GECC 2026'!F$2:F$200,$A47))</f>
        <v>5</v>
      </c>
    </row>
    <row r="48" spans="1:6" x14ac:dyDescent="0.25">
      <c r="A48" t="str">
        <f ca="1"/>
        <v>Reinaldo Alencar</v>
      </c>
      <c r="B48" s="26">
        <f ca="1">IF($A48="","",SUMIFS('GECC 2026'!H$2:H$200,'GECC 2026'!F$2:F$200,$A48))</f>
        <v>48</v>
      </c>
      <c r="C48" s="26">
        <f ca="1">IF($A48="","",SUMIFS('GECC 2026'!I$2:I$200,'GECC 2026'!F$2:F$200,$A48))</f>
        <v>7.1999999999999993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55.2</v>
      </c>
      <c r="F48" s="24">
        <f ca="1">IF($A48="","",COUNTIFS('GECC 2026'!F$2:F$200,$A48))</f>
        <v>3</v>
      </c>
    </row>
    <row r="49" spans="1:6" x14ac:dyDescent="0.25">
      <c r="A49" t="str">
        <f ca="1"/>
        <v>Renan Dias da Silva</v>
      </c>
      <c r="B49" s="26">
        <f ca="1">IF($A49="","",SUMIFS('GECC 2026'!H$2:H$200,'GECC 2026'!F$2:F$200,$A49))</f>
        <v>4</v>
      </c>
      <c r="C49" s="26">
        <f ca="1">IF($A49="","",SUMIFS('GECC 2026'!I$2:I$200,'GECC 2026'!F$2:F$200,$A49))</f>
        <v>1.2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5.2</v>
      </c>
      <c r="F49" s="24">
        <f ca="1">IF($A49="","",COUNTIFS('GECC 2026'!F$2:F$200,$A49))</f>
        <v>1</v>
      </c>
    </row>
    <row r="50" spans="1:6" x14ac:dyDescent="0.25">
      <c r="A50" t="str">
        <f ca="1"/>
        <v>Rogério Ribeiro</v>
      </c>
      <c r="B50" s="26">
        <f ca="1">IF($A50="","",SUMIFS('GECC 2026'!H$2:H$200,'GECC 2026'!F$2:F$200,$A50))</f>
        <v>48</v>
      </c>
      <c r="C50" s="26">
        <f ca="1">IF($A50="","",SUMIFS('GECC 2026'!I$2:I$200,'GECC 2026'!F$2:F$200,$A50))</f>
        <v>7.1999999999999993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55.2</v>
      </c>
      <c r="F50" s="24">
        <f ca="1">IF($A50="","",COUNTIFS('GECC 2026'!F$2:F$200,$A50))</f>
        <v>3</v>
      </c>
    </row>
    <row r="51" spans="1:6" x14ac:dyDescent="0.25">
      <c r="A51" t="str">
        <f ca="1"/>
        <v>Rômulo Miranda Alvim</v>
      </c>
      <c r="B51" s="26">
        <f ca="1">IF($A51="","",SUMIFS('GECC 2026'!H$2:H$200,'GECC 2026'!F$2:F$200,$A51))</f>
        <v>24</v>
      </c>
      <c r="C51" s="26">
        <f ca="1">IF($A51="","",SUMIFS('GECC 2026'!I$2:I$200,'GECC 2026'!F$2:F$200,$A51))</f>
        <v>3.6</v>
      </c>
      <c r="D51" s="101">
        <f ca="1">IF($A51="","",SUMIFS('GECC 2026'!$AE$3:$AE$32,'GECC 2026'!$AD$3:$AD$32,$A51))</f>
        <v>16</v>
      </c>
      <c r="E51" s="93">
        <f ca="1">IF($A51="","",SUMIFS('GECC 2026'!J$2:J$200,'GECC 2026'!F$2:F$200,$A51)+SUMIFS('GECC 2026'!$AE$3:$AE$32,'GECC 2026'!$AD$3:$AD$32,$A51))</f>
        <v>43.6</v>
      </c>
      <c r="F51" s="24">
        <f ca="1">IF($A51="","",COUNTIFS('GECC 2026'!F$2:F$200,$A51))</f>
        <v>2</v>
      </c>
    </row>
    <row r="52" spans="1:6" x14ac:dyDescent="0.25">
      <c r="A52" t="str">
        <f ca="1"/>
        <v>Sara Cristina Lins Ramos</v>
      </c>
      <c r="B52" s="26">
        <f ca="1">IF($A52="","",SUMIFS('GECC 2026'!H$2:H$200,'GECC 2026'!F$2:F$200,$A52))</f>
        <v>8</v>
      </c>
      <c r="C52" s="26">
        <f ca="1">IF($A52="","",SUMIFS('GECC 2026'!I$2:I$200,'GECC 2026'!F$2:F$200,$A52))</f>
        <v>2.4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10.4</v>
      </c>
      <c r="F52" s="24">
        <f ca="1">IF($A52="","",COUNTIFS('GECC 2026'!F$2:F$200,$A52))</f>
        <v>1</v>
      </c>
    </row>
    <row r="53" spans="1:6" x14ac:dyDescent="0.25">
      <c r="A53" t="str">
        <f ca="1"/>
        <v>Servidores, colaboradores e estagiários do TCDF</v>
      </c>
      <c r="B53" s="26">
        <f ca="1">IF($A53="","",SUMIFS('GECC 2026'!H$2:H$200,'GECC 2026'!F$2:F$200,$A53))</f>
        <v>0</v>
      </c>
      <c r="C53" s="26">
        <f ca="1">IF($A53="","",SUMIFS('GECC 2026'!I$2:I$200,'GECC 2026'!F$2:F$200,$A53))</f>
        <v>0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0</v>
      </c>
      <c r="F53" s="24">
        <f ca="1">IF($A53="","",COUNTIFS('GECC 2026'!F$2:F$200,$A53))</f>
        <v>1</v>
      </c>
    </row>
    <row r="54" spans="1:6" x14ac:dyDescent="0.25">
      <c r="A54" t="str">
        <f ca="1"/>
        <v>Silvia Lima Damasceno Carvalho</v>
      </c>
      <c r="B54" s="26">
        <f ca="1">IF($A54="","",SUMIFS('GECC 2026'!H$2:H$200,'GECC 2026'!F$2:F$200,$A54))</f>
        <v>21</v>
      </c>
      <c r="C54" s="26">
        <f ca="1">IF($A54="","",SUMIFS('GECC 2026'!I$2:I$200,'GECC 2026'!F$2:F$200,$A54))</f>
        <v>6.3000000000000007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27.299999999999997</v>
      </c>
      <c r="F54" s="24">
        <f ca="1">IF($A54="","",COUNTIFS('GECC 2026'!F$2:F$200,$A54))</f>
        <v>6</v>
      </c>
    </row>
    <row r="55" spans="1:6" x14ac:dyDescent="0.25">
      <c r="A55" t="str">
        <f ca="1"/>
        <v>Tarsila Firmino Ely</v>
      </c>
      <c r="B55" s="26">
        <f ca="1">IF($A55="","",SUMIFS('GECC 2026'!H$2:H$200,'GECC 2026'!F$2:F$200,$A55))</f>
        <v>88</v>
      </c>
      <c r="C55" s="26">
        <f ca="1">IF($A55="","",SUMIFS('GECC 2026'!I$2:I$200,'GECC 2026'!F$2:F$200,$A55))</f>
        <v>83.6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171.6</v>
      </c>
      <c r="F55" s="24">
        <f ca="1">IF($A55="","",COUNTIFS('GECC 2026'!F$2:F$200,$A55))</f>
        <v>7</v>
      </c>
    </row>
    <row r="56" spans="1:6" x14ac:dyDescent="0.25">
      <c r="A56" t="str">
        <f ca="1"/>
        <v>Thiago Magalhães de Oliveira</v>
      </c>
      <c r="B56" s="26">
        <f ca="1">IF($A56="","",SUMIFS('GECC 2026'!H$2:H$200,'GECC 2026'!F$2:F$200,$A56))</f>
        <v>4</v>
      </c>
      <c r="C56" s="26">
        <f ca="1">IF($A56="","",SUMIFS('GECC 2026'!I$2:I$200,'GECC 2026'!F$2:F$200,$A56))</f>
        <v>1.2</v>
      </c>
      <c r="D56" s="101">
        <f ca="1">IF($A56="","",SUMIFS('GECC 2026'!$AE$3:$AE$32,'GECC 2026'!$AD$3:$AD$32,$A56))</f>
        <v>0</v>
      </c>
      <c r="E56" s="93">
        <f ca="1">IF($A56="","",SUMIFS('GECC 2026'!J$2:J$200,'GECC 2026'!F$2:F$200,$A56)+SUMIFS('GECC 2026'!$AE$3:$AE$32,'GECC 2026'!$AD$3:$AD$32,$A56))</f>
        <v>5.2</v>
      </c>
      <c r="F56" s="24">
        <f ca="1">IF($A56="","",COUNTIFS('GECC 2026'!F$2:F$200,$A56))</f>
        <v>1</v>
      </c>
    </row>
    <row r="57" spans="1:6" x14ac:dyDescent="0.25">
      <c r="A57" t="str">
        <f ca="1"/>
        <v>Túllio Herbeth Teixeira Moraes</v>
      </c>
      <c r="B57" s="26">
        <f ca="1">IF($A57="","",SUMIFS('GECC 2026'!H$2:H$200,'GECC 2026'!F$2:F$200,$A57))</f>
        <v>9</v>
      </c>
      <c r="C57" s="26">
        <f ca="1">IF($A57="","",SUMIFS('GECC 2026'!I$2:I$200,'GECC 2026'!F$2:F$200,$A57))</f>
        <v>2.6999999999999997</v>
      </c>
      <c r="D57" s="101">
        <f ca="1">IF($A57="","",SUMIFS('GECC 2026'!$AE$3:$AE$32,'GECC 2026'!$AD$3:$AD$32,$A57))</f>
        <v>0</v>
      </c>
      <c r="E57" s="93">
        <f ca="1">IF($A57="","",SUMIFS('GECC 2026'!J$2:J$200,'GECC 2026'!F$2:F$200,$A57)+SUMIFS('GECC 2026'!$AE$3:$AE$32,'GECC 2026'!$AD$3:$AD$32,$A57))</f>
        <v>11.7</v>
      </c>
      <c r="F57" s="24">
        <f ca="1">IF($A57="","",COUNTIFS('GECC 2026'!F$2:F$200,$A57))</f>
        <v>3</v>
      </c>
    </row>
    <row r="58" spans="1:6" x14ac:dyDescent="0.25">
      <c r="A58" t="str">
        <f ca="1"/>
        <v>Valéria Feitoza</v>
      </c>
      <c r="B58" s="26">
        <f ca="1">IF($A58="","",SUMIFS('GECC 2026'!H$2:H$200,'GECC 2026'!F$2:F$200,$A58))</f>
        <v>0</v>
      </c>
      <c r="C58" s="26">
        <f ca="1">IF($A58="","",SUMIFS('GECC 2026'!I$2:I$200,'GECC 2026'!F$2:F$200,$A58))</f>
        <v>0</v>
      </c>
      <c r="D58" s="101">
        <f ca="1">IF($A58="","",SUMIFS('GECC 2026'!$AE$3:$AE$32,'GECC 2026'!$AD$3:$AD$32,$A58))</f>
        <v>0</v>
      </c>
      <c r="E58" s="93">
        <f ca="1">IF($A58="","",SUMIFS('GECC 2026'!J$2:J$200,'GECC 2026'!F$2:F$200,$A58)+SUMIFS('GECC 2026'!$AE$3:$AE$32,'GECC 2026'!$AD$3:$AD$32,$A58))</f>
        <v>0</v>
      </c>
      <c r="F58" s="24">
        <f ca="1">IF($A58="","",COUNTIFS('GECC 2026'!F$2:F$200,$A58))</f>
        <v>2</v>
      </c>
    </row>
    <row r="59" spans="1:6" x14ac:dyDescent="0.25">
      <c r="A59" t="str">
        <f ca="1"/>
        <v>Wibys Pereira</v>
      </c>
      <c r="B59" s="26">
        <f ca="1">IF($A59="","",SUMIFS('GECC 2026'!H$2:H$200,'GECC 2026'!F$2:F$200,$A59))</f>
        <v>4</v>
      </c>
      <c r="C59" s="26">
        <f ca="1">IF($A59="","",SUMIFS('GECC 2026'!I$2:I$200,'GECC 2026'!F$2:F$200,$A59))</f>
        <v>1.2</v>
      </c>
      <c r="D59" s="101">
        <f ca="1">IF($A59="","",SUMIFS('GECC 2026'!$AE$3:$AE$32,'GECC 2026'!$AD$3:$AD$32,$A59))</f>
        <v>0</v>
      </c>
      <c r="E59" s="93">
        <f ca="1">IF($A59="","",SUMIFS('GECC 2026'!J$2:J$200,'GECC 2026'!F$2:F$200,$A59)+SUMIFS('GECC 2026'!$AE$3:$AE$32,'GECC 2026'!$AD$3:$AD$32,$A59))</f>
        <v>5.2</v>
      </c>
      <c r="F59" s="24">
        <f ca="1">IF($A59="","",COUNTIFS('GECC 2026'!F$2:F$200,$A59))</f>
        <v>1</v>
      </c>
    </row>
    <row r="60" spans="1:6" x14ac:dyDescent="0.25">
      <c r="A60" t="str">
        <f ca="1"/>
        <v>Yasmin Carla Marchioro Silverio</v>
      </c>
      <c r="B60" s="26">
        <f ca="1">IF($A60="","",SUMIFS('GECC 2026'!H$2:H$200,'GECC 2026'!F$2:F$200,$A60))</f>
        <v>8</v>
      </c>
      <c r="C60" s="26">
        <f ca="1">IF($A60="","",SUMIFS('GECC 2026'!I$2:I$200,'GECC 2026'!F$2:F$200,$A60))</f>
        <v>2.4</v>
      </c>
      <c r="D60" s="101">
        <f ca="1">IF($A60="","",SUMIFS('GECC 2026'!$AE$3:$AE$32,'GECC 2026'!$AD$3:$AD$32,$A60))</f>
        <v>0</v>
      </c>
      <c r="E60" s="93">
        <f ca="1">IF($A60="","",SUMIFS('GECC 2026'!J$2:J$200,'GECC 2026'!F$2:F$200,$A60)+SUMIFS('GECC 2026'!$AE$3:$AE$32,'GECC 2026'!$AD$3:$AD$32,$A60))</f>
        <v>10.4</v>
      </c>
      <c r="F60" s="24">
        <f ca="1">IF($A60="","",COUNTIFS('GECC 2026'!F$2:F$200,$A60))</f>
        <v>2</v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3121</v>
      </c>
      <c r="B105" s="95">
        <f ca="1">SUM(B5:B100)</f>
        <v>807</v>
      </c>
      <c r="C105" s="95">
        <f ca="1">SUM(C5:C100)</f>
        <v>362.44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3187</v>
      </c>
      <c r="B1" s="123" t="s">
        <v>3188</v>
      </c>
      <c r="C1" s="123" t="s">
        <v>3189</v>
      </c>
      <c r="D1" s="123" t="s">
        <v>3190</v>
      </c>
      <c r="E1" s="123" t="s">
        <v>3191</v>
      </c>
      <c r="F1" s="123" t="s">
        <v>3192</v>
      </c>
      <c r="G1" s="123" t="s">
        <v>10</v>
      </c>
      <c r="H1" s="123" t="s">
        <v>3193</v>
      </c>
      <c r="I1" s="123" t="s">
        <v>3194</v>
      </c>
      <c r="J1" s="123" t="s">
        <v>3195</v>
      </c>
      <c r="K1" s="123" t="s">
        <v>3196</v>
      </c>
      <c r="L1" s="123" t="s">
        <v>3197</v>
      </c>
      <c r="N1" s="124" t="s">
        <v>3198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3199</v>
      </c>
      <c r="L2" t="str">
        <f>IF(K2="","",IFERROR(INDEX(Tabela2[Curso],MATCH(K2,Tabela2[ID],0)),""))</f>
        <v/>
      </c>
      <c r="N2" s="123" t="s">
        <v>3078</v>
      </c>
      <c r="O2" s="123" t="s">
        <v>4</v>
      </c>
      <c r="P2" s="123" t="s">
        <v>3200</v>
      </c>
      <c r="Q2" s="123" t="s">
        <v>3201</v>
      </c>
      <c r="R2" s="123" t="s">
        <v>3202</v>
      </c>
      <c r="S2" s="123" t="s">
        <v>3203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3199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3199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3199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3199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3199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3199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3199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3199</v>
      </c>
      <c r="L10" t="str">
        <f>IF(K10="","",IFERROR(INDEX(Tabela2[Curso],MATCH(K10,Tabela2[ID],0)),""))</f>
        <v/>
      </c>
      <c r="N10" s="122" t="s">
        <v>3204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3199</v>
      </c>
      <c r="L11" t="str">
        <f>IF(K11="","",IFERROR(INDEX(Tabela2[Curso],MATCH(K11,Tabela2[ID],0)),""))</f>
        <v/>
      </c>
      <c r="N11" s="125" t="s">
        <v>3205</v>
      </c>
      <c r="O11" s="125" t="s">
        <v>3206</v>
      </c>
      <c r="P11" s="125" t="s">
        <v>3207</v>
      </c>
      <c r="Q11" s="125" t="s">
        <v>3190</v>
      </c>
      <c r="R11" s="125" t="s">
        <v>3191</v>
      </c>
      <c r="S11" s="125" t="s">
        <v>3208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3199</v>
      </c>
      <c r="L12" t="str">
        <f>IF(K12="","",IFERROR(INDEX(Tabela2[Curso],MATCH(K12,Tabela2[ID],0)),""))</f>
        <v/>
      </c>
      <c r="N12" t="s">
        <v>3209</v>
      </c>
      <c r="O12" t="s">
        <v>2753</v>
      </c>
      <c r="P12" t="s">
        <v>3210</v>
      </c>
      <c r="Q12">
        <v>0</v>
      </c>
      <c r="R12">
        <v>0</v>
      </c>
      <c r="S12" t="s">
        <v>3211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3199</v>
      </c>
      <c r="L13" t="str">
        <f>IF(K13="","",IFERROR(INDEX(Tabela2[Curso],MATCH(K13,Tabela2[ID],0)),""))</f>
        <v/>
      </c>
      <c r="N13" t="s">
        <v>3212</v>
      </c>
      <c r="O13" t="s">
        <v>2686</v>
      </c>
      <c r="P13" t="s">
        <v>3213</v>
      </c>
      <c r="Q13">
        <v>0</v>
      </c>
      <c r="R13">
        <v>0</v>
      </c>
      <c r="S13" t="s">
        <v>3214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3199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3199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3199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3199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3199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3199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3199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3199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3199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3199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3199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3199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3199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3199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3199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3199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3199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3199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3199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3199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3199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3199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3199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3199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3199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3199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Matriz de Riscos em contratos de obras e serviços de engenharia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3199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Matriz de Riscos em contratos de obras e serviços de engenharia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3199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3199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3199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3199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3199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3199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3199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3199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3199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3199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3199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3199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3199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3199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3199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3199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3199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3199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3199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3199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3199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3199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3199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3199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3199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91ce1707-6d34-452b-b217-9734c03e6729"/>
    <ds:schemaRef ds:uri="http://schemas.openxmlformats.org/package/2006/metadata/core-properties"/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fe686eaa-0658-4f15-b230-9e46c4d089fd"/>
    <ds:schemaRef ds:uri="http://www.w3.org/XML/1998/namespace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2026-09-04T20:10:58Z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