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56" documentId="13_ncr:1_{6A2CC3E2-FAFB-4D8F-B284-5E8FB5045DFE}" xr6:coauthVersionLast="47" xr6:coauthVersionMax="47" xr10:uidLastSave="{B767A853-40E2-4386-8CD3-AD61D6F7ADF2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8" i="3" l="1"/>
  <c r="R749" i="3"/>
  <c r="R750" i="3"/>
  <c r="R751" i="3"/>
  <c r="E113" i="28" a="1"/>
  <c r="E112" i="28" a="1"/>
  <c r="E111" i="28" a="1"/>
  <c r="E110" i="28" a="1"/>
  <c r="L645" i="3"/>
  <c r="R745" i="3"/>
  <c r="E109" i="28" a="1"/>
  <c r="E108" i="28" a="1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l="1" a="1"/>
  <c r="T4" i="20" s="1"/>
  <c r="A2" i="20" l="1" a="1"/>
  <c r="A5" i="23" l="1" a="1"/>
  <c r="E105" i="23"/>
  <c r="A2" i="20"/>
  <c r="F12" i="23" l="1"/>
  <c r="C24" i="23"/>
  <c r="F40" i="23"/>
  <c r="C9" i="23"/>
  <c r="E62" i="23"/>
  <c r="C47" i="23"/>
  <c r="B61" i="23"/>
  <c r="F36" i="23"/>
  <c r="F38" i="23"/>
  <c r="F13" i="23"/>
  <c r="B13" i="23"/>
  <c r="B15" i="23"/>
  <c r="B38" i="23"/>
  <c r="F9" i="23"/>
  <c r="B40" i="23"/>
  <c r="E48" i="23"/>
  <c r="E64" i="23"/>
  <c r="C43" i="23"/>
  <c r="E10" i="23"/>
  <c r="B35" i="23"/>
  <c r="F62" i="23"/>
  <c r="B60" i="23"/>
  <c r="F25" i="23"/>
  <c r="F30" i="23"/>
  <c r="C64" i="23"/>
  <c r="B45" i="23"/>
  <c r="F44" i="23"/>
  <c r="B27" i="23"/>
  <c r="E7" i="23"/>
  <c r="E36" i="23"/>
  <c r="B55" i="23"/>
  <c r="C56" i="23"/>
  <c r="B17" i="23"/>
  <c r="F46" i="23"/>
  <c r="C63" i="23"/>
  <c r="E59" i="23"/>
  <c r="D34" i="23"/>
  <c r="C37" i="23"/>
  <c r="F56" i="23"/>
  <c r="B11" i="23"/>
  <c r="F7" i="23"/>
  <c r="D51" i="23"/>
  <c r="E43" i="23"/>
  <c r="C42" i="23"/>
  <c r="C35" i="23"/>
  <c r="F8" i="23"/>
  <c r="F22" i="23"/>
  <c r="C57" i="23"/>
  <c r="E26" i="23"/>
  <c r="F37" i="23"/>
  <c r="F49" i="23"/>
  <c r="F29" i="23"/>
  <c r="D33" i="23"/>
  <c r="E31" i="23"/>
  <c r="D48" i="23"/>
  <c r="C59" i="23"/>
  <c r="E37" i="23"/>
  <c r="C14" i="23"/>
  <c r="E8" i="23"/>
  <c r="E6" i="23"/>
  <c r="B47" i="23"/>
  <c r="E29" i="23"/>
  <c r="F21" i="23"/>
  <c r="B19" i="23"/>
  <c r="B34" i="23"/>
  <c r="F45" i="23"/>
  <c r="C25" i="23"/>
  <c r="D23" i="23"/>
  <c r="C60" i="23"/>
  <c r="F17" i="23"/>
  <c r="F16" i="23"/>
  <c r="F14" i="23"/>
  <c r="D27" i="23"/>
  <c r="B25" i="23"/>
  <c r="C52" i="23"/>
  <c r="D21" i="23"/>
  <c r="E44" i="23"/>
  <c r="F35" i="23"/>
  <c r="E53" i="23"/>
  <c r="C40" i="23"/>
  <c r="C51" i="23"/>
  <c r="B51" i="23"/>
  <c r="F28" i="23"/>
  <c r="E41" i="23"/>
  <c r="C41" i="23"/>
  <c r="B62" i="23"/>
  <c r="E18" i="23"/>
  <c r="B37" i="23"/>
  <c r="C54" i="23"/>
  <c r="E40" i="23"/>
  <c r="C31" i="23"/>
  <c r="C36" i="23"/>
  <c r="F18" i="23"/>
  <c r="D45" i="23"/>
  <c r="E21" i="23"/>
  <c r="B29" i="23"/>
  <c r="D60" i="23"/>
  <c r="E16" i="23"/>
  <c r="C12" i="23"/>
  <c r="B21" i="23"/>
  <c r="F54" i="23"/>
  <c r="F58" i="23"/>
  <c r="E24" i="23"/>
  <c r="D55" i="23"/>
  <c r="E60" i="23"/>
  <c r="D30" i="23"/>
  <c r="F27" i="23"/>
  <c r="C50" i="23"/>
  <c r="C38" i="23"/>
  <c r="E47" i="23"/>
  <c r="B23" i="23"/>
  <c r="F60" i="23"/>
  <c r="D63" i="23"/>
  <c r="E46" i="23"/>
  <c r="B44" i="23"/>
  <c r="D24" i="23"/>
  <c r="B59" i="23"/>
  <c r="C22" i="23"/>
  <c r="D15" i="23"/>
  <c r="B42" i="23"/>
  <c r="B56" i="23"/>
  <c r="D10" i="23"/>
  <c r="C34" i="23"/>
  <c r="B41" i="23"/>
  <c r="F55" i="23"/>
  <c r="F61" i="23"/>
  <c r="E22" i="23"/>
  <c r="D42" i="23"/>
  <c r="C21" i="23"/>
  <c r="E50" i="23"/>
  <c r="D47" i="23"/>
  <c r="E58" i="23"/>
  <c r="E49" i="23"/>
  <c r="F47" i="23"/>
  <c r="E57" i="23"/>
  <c r="F33" i="23"/>
  <c r="B31" i="23"/>
  <c r="D29" i="23"/>
  <c r="D36" i="23"/>
  <c r="E28" i="23"/>
  <c r="D26" i="23"/>
  <c r="D37" i="23"/>
  <c r="C29" i="23"/>
  <c r="D6" i="23"/>
  <c r="F34" i="23"/>
  <c r="F6" i="23"/>
  <c r="D50" i="23"/>
  <c r="C18" i="23"/>
  <c r="E51" i="23"/>
  <c r="F48" i="23"/>
  <c r="D52" i="23"/>
  <c r="D39" i="23"/>
  <c r="C20" i="23"/>
  <c r="C17" i="23"/>
  <c r="B24" i="23"/>
  <c r="D64" i="23"/>
  <c r="D59" i="23"/>
  <c r="F20" i="23"/>
  <c r="B18" i="23"/>
  <c r="B58" i="23"/>
  <c r="B36" i="23"/>
  <c r="B7" i="23"/>
  <c r="E63" i="23"/>
  <c r="F64" i="23"/>
  <c r="E54" i="23"/>
  <c r="F39" i="23"/>
  <c r="F26" i="23"/>
  <c r="B12" i="23"/>
  <c r="E12" i="23"/>
  <c r="D31" i="23"/>
  <c r="F63" i="23"/>
  <c r="C48" i="23"/>
  <c r="B6" i="23"/>
  <c r="C33" i="23"/>
  <c r="B52" i="23"/>
  <c r="F50" i="23"/>
  <c r="B33" i="23"/>
  <c r="C23" i="23"/>
  <c r="D25" i="23"/>
  <c r="C8" i="23"/>
  <c r="E20" i="23"/>
  <c r="F59" i="23"/>
  <c r="C49" i="23"/>
  <c r="D35" i="23"/>
  <c r="D38" i="23"/>
  <c r="E19" i="23"/>
  <c r="B16" i="23"/>
  <c r="E32" i="23"/>
  <c r="F52" i="23"/>
  <c r="C7" i="23"/>
  <c r="B63" i="23"/>
  <c r="D13" i="23"/>
  <c r="C28" i="23"/>
  <c r="F10" i="23"/>
  <c r="F41" i="23"/>
  <c r="E55" i="23"/>
  <c r="D61" i="23"/>
  <c r="E25" i="23"/>
  <c r="D28" i="23"/>
  <c r="B57" i="23"/>
  <c r="C61" i="23"/>
  <c r="C11" i="23"/>
  <c r="C44" i="23"/>
  <c r="D12" i="23"/>
  <c r="B26" i="23"/>
  <c r="C26" i="23"/>
  <c r="C55" i="23"/>
  <c r="C58" i="23"/>
  <c r="E14" i="23"/>
  <c r="E52" i="23"/>
  <c r="F19" i="23"/>
  <c r="E34" i="23"/>
  <c r="E42" i="23"/>
  <c r="F51" i="23"/>
  <c r="B32" i="23"/>
  <c r="D20" i="23"/>
  <c r="D54" i="23"/>
  <c r="B20" i="23"/>
  <c r="D32" i="23"/>
  <c r="B43" i="23"/>
  <c r="F24" i="23"/>
  <c r="B39" i="23"/>
  <c r="D43" i="23"/>
  <c r="E45" i="23"/>
  <c r="E9" i="23"/>
  <c r="D57" i="23"/>
  <c r="C15" i="23"/>
  <c r="E56" i="23"/>
  <c r="D58" i="23"/>
  <c r="D49" i="23"/>
  <c r="E30" i="23"/>
  <c r="B22" i="23"/>
  <c r="E39" i="23"/>
  <c r="B48" i="23"/>
  <c r="B30" i="23"/>
  <c r="C13" i="23"/>
  <c r="D14" i="23"/>
  <c r="B10" i="23"/>
  <c r="B49" i="23"/>
  <c r="D22" i="23"/>
  <c r="E61" i="23"/>
  <c r="B54" i="23"/>
  <c r="D11" i="23"/>
  <c r="C53" i="23"/>
  <c r="C16" i="23"/>
  <c r="E11" i="23"/>
  <c r="C62" i="23"/>
  <c r="F53" i="23"/>
  <c r="F23" i="23"/>
  <c r="B28" i="23"/>
  <c r="C10" i="23"/>
  <c r="C30" i="23"/>
  <c r="D62" i="23"/>
  <c r="C27" i="23"/>
  <c r="C39" i="23"/>
  <c r="D8" i="23"/>
  <c r="D40" i="23"/>
  <c r="D46" i="23"/>
  <c r="C32" i="23"/>
  <c r="B14" i="23"/>
  <c r="C6" i="23"/>
  <c r="D17" i="23"/>
  <c r="C46" i="23"/>
  <c r="D44" i="23"/>
  <c r="C45" i="23"/>
  <c r="B9" i="23"/>
  <c r="D56" i="23"/>
  <c r="B53" i="23"/>
  <c r="B50" i="23"/>
  <c r="F11" i="23"/>
  <c r="E38" i="23"/>
  <c r="D41" i="23"/>
  <c r="E23" i="23"/>
  <c r="B8" i="23"/>
  <c r="D18" i="23"/>
  <c r="F32" i="23"/>
  <c r="E13" i="23"/>
  <c r="F31" i="23"/>
  <c r="F43" i="23"/>
  <c r="D7" i="23"/>
  <c r="D16" i="23"/>
  <c r="D19" i="23"/>
  <c r="E35" i="23"/>
  <c r="F57" i="23"/>
  <c r="D53" i="23"/>
  <c r="E15" i="23"/>
  <c r="F42" i="23"/>
  <c r="E27" i="23"/>
  <c r="C19" i="23"/>
  <c r="B64" i="23"/>
  <c r="E33" i="23"/>
  <c r="E17" i="23"/>
  <c r="F15" i="23"/>
  <c r="D9" i="23"/>
  <c r="B46" i="23"/>
  <c r="A5" i="23"/>
  <c r="D5" i="23" l="1"/>
  <c r="G5" i="23"/>
  <c r="E5" i="23"/>
  <c r="F5" i="23"/>
  <c r="F105" i="23" s="1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<sst xmlns="http://schemas.openxmlformats.org/spreadsheetml/2006/main" count="7457" uniqueCount="3278">
  <si>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</si>
  <si>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</si>
  <si>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</si>
  <si>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</si>
  <si>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</si>
  <si>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</si>
  <si>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</si>
  <si>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</si>
  <si>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</si>
  <si>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</si>
  <si>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</si>
  <si>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</si>
  <si>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</si>
  <si>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</si>
  <si>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</si>
  <si>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</si>
  <si>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</si>
  <si>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</si>
  <si>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</si>
  <si>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</si>
  <si>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</si>
  <si>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</si>
  <si>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</si>
  <si>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</si>
  <si>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</si>
  <si>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</si>
  <si>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</si>
  <si>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</si>
  <si>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</si>
  <si>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</si>
  <si>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</si>
  <si>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</si>
  <si>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</si>
  <si>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</si>
  <si>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</si>
  <si>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</si>
  <si>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</si>
  <si>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</si>
  <si>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</si>
  <si>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</si>
  <si>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</si>
  <si>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</si>
  <si>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</si>
  <si>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</si>
  <si>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</si>
  <si>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</si>
  <si>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</si>
  <si>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</si>
  <si>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</si>
  <si>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</si>
  <si>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</si>
  <si>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</si>
  <si>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</si>
  <si>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</si>
  <si>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</si>
  <si>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</si>
  <si>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</si>
  <si>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</si>
  <si>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</si>
  <si>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</si>
  <si>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</si>
  <si>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</si>
  <si>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</si>
  <si>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</si>
  <si>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</si>
  <si>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</si>
  <si>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</si>
  <si>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</si>
  <si>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</si>
  <si>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</si>
  <si>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</si>
  <si>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</si>
  <si>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</si>
  <si>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</si>
  <si>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</si>
  <si>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</si>
  <si>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</si>
  <si>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</si>
  <si>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</si>
  <si>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</si>
  <si>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</si>
  <si>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</si>
  <si>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</si>
  <si>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</si>
  <si>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</si>
  <si>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</si>
  <si>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</si>
  <si>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</si>
  <si>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</si>
  <si>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</si>
  <si>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</si>
  <si>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</si>
  <si>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</si>
  <si>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</si>
  <si>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</si>
  <si>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</si>
  <si>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</si>
  <si>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</si>
  <si>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</si>
  <si>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</si>
  <si>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</si>
  <si>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</si>
  <si>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</si>
  <si>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</si>
  <si>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</si>
  <si>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</si>
  <si>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</si>
  <si>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</si>
  <si>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</si>
  <si>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</si>
  <si>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</si>
  <si>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</si>
  <si>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</si>
  <si>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</si>
  <si>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</si>
  <si>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</si>
  <si>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</si>
  <si>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</si>
  <si>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</si>
  <si>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</si>
  <si>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</si>
  <si>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</si>
  <si>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</si>
  <si>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</si>
  <si>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</si>
  <si>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</si>
  <si>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</si>
  <si>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</si>
  <si>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</si>
  <si>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</si>
  <si>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</si>
  <si>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</si>
  <si>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</si>
  <si>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</si>
  <si>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</si>
  <si>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</si>
  <si>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</si>
  <si>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</si>
  <si>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</si>
  <si>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</si>
  <si>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</si>
  <si>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</si>
  <si>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</si>
  <si>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</si>
  <si>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</si>
  <si>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</si>
  <si>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</si>
  <si>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</si>
  <si>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</si>
  <si>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</si>
  <si>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</si>
  <si>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</si>
  <si>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</si>
  <si>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</si>
  <si>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</si>
  <si>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</si>
  <si>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</si>
  <si>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</si>
  <si>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</si>
  <si>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</si>
  <si>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</si>
  <si>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</si>
  <si>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</si>
  <si>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</si>
  <si>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</si>
  <si>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</si>
  <si>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</si>
  <si>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</si>
  <si>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</si>
  <si>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</si>
  <si>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</si>
  <si>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</si>
  <si>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</si>
  <si>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</si>
  <si>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</si>
  <si>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</si>
  <si>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</si>
  <si>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</si>
  <si>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</si>
  <si>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</si>
  <si>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</si>
  <si>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</si>
  <si>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</si>
  <si>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</si>
  <si>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</si>
  <si>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</si>
  <si>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</si>
  <si>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</si>
  <si>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</si>
  <si>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</si>
  <si>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</si>
  <si>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</si>
  <si>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</si>
  <si>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</si>
  <si>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</si>
  <si>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</si>
  <si>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</si>
  <si>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</si>
  <si>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</si>
  <si>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</si>
  <si>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</si>
  <si>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</si>
  <si>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</si>
  <si>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</si>
  <si>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</si>
  <si>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</si>
  <si>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</si>
  <si>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</si>
  <si>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</si>
  <si>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</si>
  <si>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</si>
  <si>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</si>
  <si>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</si>
  <si>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</si>
  <si>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</si>
  <si>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</si>
  <si>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</si>
  <si>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</si>
  <si>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</si>
  <si>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</si>
  <si>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</si>
  <si>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</si>
  <si>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</si>
  <si>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</si>
  <si>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</si>
  <si>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</si>
  <si>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</si>
  <si>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</si>
  <si>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</si>
  <si>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</si>
  <si>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</si>
  <si>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</si>
  <si>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</si>
  <si>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</si>
  <si>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</si>
  <si>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</si>
  <si>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</si>
  <si>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</si>
  <si>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</si>
  <si>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</si>
  <si>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</si>
  <si>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</si>
  <si>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</si>
  <si>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</si>
  <si>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</si>
  <si>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</si>
  <si>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</si>
  <si>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</si>
  <si>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</si>
  <si>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</si>
  <si>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</si>
  <si>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</si>
  <si>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</si>
  <si>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</si>
  <si>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</si>
  <si>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</si>
  <si>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</si>
  <si>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</si>
  <si>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</si>
  <si>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</si>
  <si>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</si>
  <si>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</si>
  <si>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</si>
  <si>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</si>
  <si>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</si>
  <si>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</si>
  <si>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</si>
  <si>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</si>
  <si>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</si>
  <si>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</si>
  <si>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</si>
  <si>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</si>
  <si>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</si>
  <si>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</si>
  <si>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</si>
  <si>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</si>
  <si>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</si>
  <si>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</si>
  <si>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</si>
  <si>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</si>
  <si>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</si>
  <si>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</si>
  <si>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</si>
  <si>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</si>
  <si>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</si>
  <si>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</si>
  <si>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</si>
  <si>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</si>
  <si>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</si>
  <si>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</si>
  <si>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</si>
  <si>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</si>
  <si>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</si>
  <si>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</si>
  <si>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</si>
  <si>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</si>
  <si>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</si>
  <si>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</si>
  <si>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</si>
  <si>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</si>
  <si>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</si>
  <si>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</si>
  <si>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</si>
  <si>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</si>
  <si>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</si>
  <si>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</si>
  <si>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</si>
  <si>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</si>
  <si>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</si>
  <si>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</si>
  <si>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</si>
  <si>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</si>
  <si>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</si>
  <si>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</si>
  <si>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</si>
  <si>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</si>
  <si>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</si>
  <si>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</si>
  <si>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</si>
  <si>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</si>
  <si>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</si>
  <si>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</si>
  <si>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</si>
  <si>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</si>
  <si>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</si>
  <si>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</si>
  <si>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</si>
  <si>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</si>
  <si>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</si>
  <si>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</si>
  <si>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</si>
  <si>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</si>
  <si>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</si>
  <si>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</si>
  <si>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</si>
  <si>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</si>
  <si>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</si>
  <si>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</si>
  <si>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</si>
  <si>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</si>
  <si>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</si>
  <si>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</si>
  <si>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</si>
  <si>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</si>
  <si>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</si>
  <si>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</si>
  <si>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</si>
  <si>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</si>
  <si>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</si>
  <si>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</si>
  <si>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</si>
  <si>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</si>
  <si>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</si>
  <si>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</si>
  <si>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</si>
  <si>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</si>
  <si>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</si>
  <si>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</si>
  <si>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</si>
  <si>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</si>
  <si>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</si>
  <si>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</si>
  <si>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</si>
  <si>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</si>
  <si>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</si>
  <si>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</si>
  <si>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</si>
  <si>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</si>
  <si>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</si>
  <si>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</si>
  <si>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</si>
  <si>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</si>
  <si>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</si>
  <si>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</si>
  <si>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</si>
  <si>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</si>
  <si>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</si>
  <si>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</si>
  <si>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</si>
  <si>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</si>
  <si>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</si>
  <si>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</si>
  <si>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</si>
  <si>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</si>
  <si>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</si>
  <si>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</si>
  <si>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</si>
  <si>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</si>
  <si>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</si>
  <si>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</si>
  <si>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</si>
  <si>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</si>
  <si>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</si>
  <si>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</si>
  <si>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</si>
  <si>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</si>
  <si>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</si>
  <si>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</si>
  <si>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</si>
  <si>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</si>
  <si>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</si>
  <si>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</si>
  <si>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</si>
  <si>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</si>
  <si>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</si>
  <si>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</si>
  <si>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</si>
  <si>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</si>
  <si>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</si>
  <si>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</si>
  <si>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</si>
  <si>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</si>
  <si>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</si>
  <si>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</si>
  <si>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</si>
  <si>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</si>
  <si>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</si>
  <si>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</si>
  <si>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</si>
  <si>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</si>
  <si>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</si>
  <si>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</si>
  <si>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</si>
  <si>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</si>
  <si>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</si>
  <si>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</si>
  <si>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</si>
  <si>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</si>
  <si>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</si>
  <si>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</si>
  <si>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</si>
  <si>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</si>
  <si>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</si>
  <si>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</si>
  <si>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</si>
  <si>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</si>
  <si>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</si>
  <si>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</si>
  <si>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</si>
  <si>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</si>
  <si>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</si>
  <si>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</si>
  <si>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</si>
  <si>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</si>
  <si>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</si>
  <si>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</si>
  <si>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</si>
  <si>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</si>
  <si>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</si>
  <si>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</si>
  <si>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</si>
  <si>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</si>
  <si>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</si>
  <si>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</si>
  <si>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</si>
  <si>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</si>
  <si>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</si>
  <si>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</si>
  <si>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</si>
  <si>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</si>
  <si>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</si>
  <si>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</si>
  <si>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</si>
  <si>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</si>
  <si>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</si>
  <si>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</si>
  <si>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</si>
  <si>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</si>
  <si>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</si>
  <si>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</si>
  <si>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</si>
  <si>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</si>
  <si>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</si>
  <si>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</si>
  <si>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</si>
  <si>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</si>
  <si>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</si>
  <si>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</si>
  <si>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</si>
  <si>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</si>
  <si>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</si>
  <si>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</si>
  <si>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</si>
  <si>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</si>
  <si>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</si>
  <si>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</si>
  <si>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</si>
  <si>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</si>
  <si>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</si>
  <si>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</si>
  <si>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</si>
  <si>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</si>
  <si>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</si>
  <si>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</si>
  <si>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</si>
  <si>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</si>
  <si>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</si>
  <si>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</si>
  <si>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</si>
  <si>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</si>
  <si>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</si>
  <si>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</si>
  <si>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</si>
  <si>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</si>
  <si>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</si>
  <si>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</si>
  <si>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</si>
  <si>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</si>
  <si>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</si>
  <si>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</si>
  <si>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</si>
  <si>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</si>
  <si>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</si>
  <si>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</si>
  <si>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</si>
  <si>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</si>
  <si>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</si>
  <si>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</si>
  <si>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</si>
  <si>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</si>
  <si>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</si>
  <si>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</si>
  <si>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</si>
  <si>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</si>
  <si>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</si>
  <si>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</si>
  <si>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</si>
  <si>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</si>
  <si>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</si>
  <si>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</si>
  <si>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</si>
  <si>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</si>
  <si>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</si>
  <si>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</si>
  <si>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</si>
  <si>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</si>
  <si>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</si>
  <si>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</si>
  <si>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</si>
  <si>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</si>
  <si>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</si>
  <si>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</si>
  <si>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</si>
  <si>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</si>
  <si>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</si>
  <si>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</si>
  <si>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</si>
  <si>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</si>
  <si>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</si>
  <si>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</si>
  <si>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</si>
  <si>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</si>
  <si>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</si>
  <si>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</si>
  <si>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</si>
  <si>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</si>
  <si>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</si>
  <si>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</si>
  <si>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</si>
  <si>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</si>
  <si>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</si>
  <si>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</si>
  <si>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</si>
  <si>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</si>
  <si>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</si>
  <si>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</si>
  <si>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</si>
  <si>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</si>
  <si>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</si>
  <si>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</si>
  <si>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</si>
  <si>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</si>
  <si>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</si>
  <si>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</si>
  <si>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</si>
  <si>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</si>
  <si>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</si>
  <si>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</si>
  <si>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</si>
  <si>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</si>
  <si>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</si>
  <si>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</si>
  <si>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</si>
  <si>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</si>
  <si>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</si>
  <si>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</si>
  <si>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</si>
  <si>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</si>
  <si>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</si>
  <si>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</si>
  <si>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</si>
  <si>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</si>
  <si>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</si>
  <si>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</si>
  <si>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</si>
  <si>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</si>
  <si>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</si>
  <si>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</si>
  <si>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</si>
  <si>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</si>
  <si>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</si>
  <si>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</si>
  <si>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</si>
  <si>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</si>
  <si>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</si>
  <si>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</si>
  <si>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</si>
  <si>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</si>
  <si>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</si>
  <si>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</si>
  <si>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</si>
  <si>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</si>
  <si>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</si>
  <si>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</si>
  <si>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</si>
  <si>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</si>
  <si>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</si>
  <si>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</si>
  <si>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</si>
  <si>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</si>
  <si>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</si>
  <si>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</si>
  <si>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</si>
  <si>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</si>
  <si>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</si>
  <si>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</si>
  <si>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</si>
  <si>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</si>
  <si>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</si>
  <si>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</si>
  <si>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</si>
  <si>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</si>
  <si>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</si>
  <si>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</si>
  <si>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</si>
  <si>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</si>
  <si>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</si>
  <si>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</si>
  <si>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</si>
  <si>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</si>
  <si>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</si>
  <si>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</si>
  <si>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</si>
  <si>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</si>
  <si>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</si>
  <si>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</si>
  <si>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</si>
  <si>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</si>
  <si>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</si>
  <si>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</si>
  <si>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</si>
  <si>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</si>
  <si>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</si>
  <si>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</si>
  <si>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</si>
  <si>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</si>
  <si>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</si>
  <si>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</si>
  <si>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</si>
  <si>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</si>
  <si>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</si>
  <si>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</si>
  <si>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</si>
  <si>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</si>
  <si>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</si>
  <si>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</si>
  <si>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</si>
  <si>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</si>
  <si>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</si>
  <si>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</si>
  <si>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</si>
  <si>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</si>
  <si>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</si>
  <si>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</si>
  <si>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</si>
  <si>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</si>
  <si>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</si>
  <si>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</si>
  <si>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</si>
  <si>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</si>
  <si>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</si>
  <si>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</si>
  <si>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</si>
  <si>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</si>
  <si>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</si>
  <si>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</si>
  <si>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</si>
  <si>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</si>
  <si>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</si>
  <si>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</si>
  <si>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</si>
  <si>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</si>
  <si>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</si>
  <si>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</si>
  <si>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</si>
  <si>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</si>
  <si>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</si>
  <si>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</si>
  <si>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</si>
  <si>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</si>
  <si>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</si>
  <si>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</si>
  <si>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</si>
  <si>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</si>
  <si>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</si>
  <si>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</si>
  <si>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</si>
  <si>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</si>
  <si>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</si>
  <si>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</si>
  <si>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</si>
  <si>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</si>
  <si>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</si>
  <si>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</si>
  <si>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</si>
  <si>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</si>
  <si>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</si>
  <si>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</si>
  <si>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</si>
  <si>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</si>
  <si>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</si>
  <si>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</si>
  <si>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</si>
  <si>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</si>
  <si>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</si>
  <si>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</si>
  <si>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</si>
  <si>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</si>
  <si>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</si>
  <si>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</si>
  <si>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</si>
  <si>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</si>
  <si>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</si>
  <si>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</si>
  <si>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</si>
  <si>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</si>
  <si>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</si>
  <si>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</si>
  <si>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</si>
  <si>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</si>
  <si>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</si>
  <si>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</si>
  <si>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</si>
  <si>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</si>
  <si>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</si>
  <si>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</si>
  <si>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</si>
  <si>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</si>
  <si>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</si>
  <si>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</si>
  <si>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</si>
  <si>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</si>
  <si>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</si>
  <si>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</si>
  <si>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</si>
  <si>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</si>
  <si>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</si>
  <si>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</si>
  <si>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</si>
  <si>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</si>
  <si>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</si>
  <si>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</si>
  <si>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</si>
  <si>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</si>
  <si>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</si>
  <si>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</si>
  <si>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</si>
  <si>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</si>
  <si>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</si>
  <si>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</si>
  <si>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</si>
  <si>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</si>
  <si>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</si>
  <si>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</si>
  <si>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</si>
  <si>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</si>
  <si>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</si>
  <si>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</si>
  <si>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</si>
  <si>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</si>
  <si>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</si>
  <si>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</si>
  <si>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</si>
  <si>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</si>
  <si>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</si>
  <si>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</si>
  <si>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</si>
  <si>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</si>
  <si>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</si>
  <si>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</si>
  <si>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</si>
  <si>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</si>
  <si>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</si>
  <si>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</si>
  <si>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</si>
  <si>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</si>
  <si>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</si>
  <si>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</si>
  <si>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</si>
  <si>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</si>
  <si>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</si>
  <si>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</si>
  <si>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</si>
  <si>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</si>
  <si>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</si>
  <si>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</si>
  <si>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</si>
  <si>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</si>
  <si>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</si>
  <si>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</si>
  <si>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</si>
  <si>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</si>
  <si>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</si>
  <si>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</si>
  <si>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</si>
  <si>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</si>
  <si>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</si>
  <si>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</si>
  <si>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</si>
  <si>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</si>
  <si>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</si>
  <si>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</si>
  <si>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</si>
  <si>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</si>
  <si>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</si>
  <si>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</si>
  <si>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</si>
  <si>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</si>
  <si>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</si>
  <si>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</si>
  <si>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</si>
  <si>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</si>
  <si>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</si>
  <si>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</si>
  <si>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</si>
  <si>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</si>
  <si>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</si>
  <si>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</si>
  <si>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</si>
  <si>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</si>
  <si>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</si>
  <si>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</si>
  <si>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</si>
  <si>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</si>
  <si>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</si>
  <si>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</si>
  <si>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</si>
  <si>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</si>
  <si>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</si>
  <si>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</si>
  <si>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</si>
  <si>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</si>
  <si>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</si>
  <si>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</si>
  <si>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</si>
  <si>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</si>
  <si>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</si>
  <si>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</si>
  <si>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</si>
  <si>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</si>
  <si>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</si>
  <si>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</si>
  <si>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</si>
  <si>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</si>
  <si>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</si>
  <si>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</si>
  <si>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</si>
  <si>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</si>
  <si>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</si>
  <si>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</si>
  <si>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</si>
  <si>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</si>
  <si>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</si>
  <si>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</si>
  <si>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</si>
  <si>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</si>
  <si>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</si>
  <si>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</si>
  <si>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</si>
  <si>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</si>
  <si>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</si>
  <si>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</si>
  <si>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</si>
  <si>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</si>
  <si>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</si>
  <si>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</si>
  <si>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</si>
  <si>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</si>
  <si>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</si>
  <si>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</si>
  <si>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</si>
  <si>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</si>
  <si>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</si>
  <si>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</si>
  <si>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</si>
  <si>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</si>
  <si>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</si>
  <si>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</si>
  <si>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</si>
  <si>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</si>
  <si>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</si>
  <si>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</si>
  <si>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</si>
  <si>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</si>
  <si>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</si>
  <si>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</si>
  <si>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</si>
  <si>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</si>
  <si>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</si>
  <si>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</si>
  <si>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</si>
  <si>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</si>
  <si>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</si>
  <si>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</si>
  <si>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</si>
  <si>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</si>
  <si>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</si>
  <si>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</si>
  <si>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</si>
  <si>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</si>
  <si>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</si>
  <si>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</si>
  <si>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</si>
  <si>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</si>
  <si>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</si>
  <si>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</si>
  <si>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</si>
  <si>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</si>
  <si>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</si>
  <si>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</si>
  <si>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</si>
  <si>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</si>
  <si>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</si>
  <si>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</si>
  <si>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</si>
  <si>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</si>
  <si>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</si>
  <si>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</si>
  <si>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</si>
  <si>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</si>
  <si>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</si>
  <si>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</si>
  <si>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</si>
  <si>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</si>
  <si>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</si>
  <si>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</si>
  <si>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</si>
  <si>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</si>
  <si>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</si>
  <si>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</si>
  <si>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</si>
  <si>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</si>
  <si>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</si>
  <si>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</si>
  <si>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</si>
  <si>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</si>
  <si>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</si>
  <si>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</si>
  <si>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</si>
  <si>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</si>
  <si>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</si>
  <si>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</si>
  <si>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</si>
  <si>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</si>
  <si>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</si>
  <si>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</si>
  <si>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</si>
  <si>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</si>
  <si>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</si>
  <si>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</si>
  <si>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</si>
  <si>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</si>
  <si>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</si>
  <si>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</si>
  <si>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</si>
  <si>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</si>
  <si>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</si>
  <si>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</si>
  <si>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</si>
  <si>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</si>
  <si>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</si>
  <si>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</si>
  <si>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</si>
  <si>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</si>
  <si>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</si>
  <si>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</si>
  <si>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</si>
  <si>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</si>
  <si>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</si>
  <si>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</si>
  <si>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</si>
  <si>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</si>
  <si>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</si>
  <si>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</si>
  <si>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</si>
  <si>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</si>
  <si>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</si>
  <si>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</si>
  <si>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</si>
  <si>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</si>
  <si>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</si>
  <si>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</si>
  <si>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</si>
  <si>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</si>
  <si>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</si>
  <si>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</si>
  <si>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</si>
  <si>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</si>
  <si>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</si>
  <si>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</si>
  <si>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</si>
  <si>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</si>
  <si>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</si>
  <si>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</si>
  <si>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</si>
  <si>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</si>
  <si>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</si>
  <si>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</si>
  <si>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</si>
  <si>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</si>
  <si>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</si>
  <si>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</si>
  <si>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</si>
  <si>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</si>
  <si>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</si>
  <si>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</si>
  <si>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</si>
  <si>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</si>
  <si>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</si>
  <si>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</si>
  <si>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</si>
  <si>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</si>
  <si>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</si>
  <si>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</si>
  <si>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</si>
  <si>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</si>
  <si>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</si>
  <si>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</si>
  <si>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</si>
  <si>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</si>
  <si>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</si>
  <si>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</si>
  <si>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</si>
  <si>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</si>
  <si>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</si>
  <si>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</si>
  <si>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</si>
  <si>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</si>
  <si>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</si>
  <si>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</si>
  <si>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</si>
  <si>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</si>
  <si>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</si>
  <si>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</si>
  <si>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</si>
  <si>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</si>
  <si>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</si>
  <si>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</si>
  <si>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</si>
  <si>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</si>
  <si>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</si>
  <si>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</si>
  <si>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</si>
  <si>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</si>
  <si>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</si>
  <si>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</si>
  <si>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</si>
  <si>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</si>
  <si>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</si>
  <si>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</si>
  <si>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</si>
  <si>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</si>
  <si>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</si>
  <si>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</si>
  <si>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</si>
  <si>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</si>
  <si>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</si>
  <si>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</si>
  <si>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</si>
  <si>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</si>
  <si>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</si>
  <si>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</si>
  <si>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</si>
  <si>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</si>
  <si>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</si>
  <si>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</si>
  <si>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</si>
  <si>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</si>
  <si>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</si>
  <si>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</si>
  <si>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</si>
  <si>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</si>
  <si>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</si>
  <si>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</si>
  <si>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</si>
  <si>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</si>
  <si>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</si>
  <si>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</si>
  <si>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</si>
  <si>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</si>
  <si>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</si>
  <si>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</si>
  <si>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</si>
  <si>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</si>
  <si>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</si>
  <si>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</si>
  <si>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</si>
  <si>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</si>
  <si>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</si>
  <si>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</si>
  <si>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</si>
  <si>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</si>
  <si>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</si>
  <si>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</si>
  <si>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</si>
  <si>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</si>
  <si>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</si>
  <si>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</si>
  <si>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</si>
  <si>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</si>
  <si>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</si>
  <si>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</si>
  <si>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</si>
  <si>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</si>
  <si>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</si>
  <si>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</si>
  <si>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</si>
  <si>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</si>
  <si>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</si>
  <si>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</si>
  <si>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</si>
  <si>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</si>
  <si>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</si>
  <si>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</si>
  <si>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</si>
  <si>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</si>
  <si>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</si>
  <si>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</si>
  <si>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</si>
  <si>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</si>
  <si>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</si>
  <si>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</si>
  <si>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</si>
  <si>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</si>
  <si>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</si>
  <si>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</si>
  <si>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</si>
  <si>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</si>
  <si>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</si>
  <si>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</si>
  <si>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</si>
  <si>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</si>
  <si>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</si>
  <si>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</si>
  <si>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</si>
  <si>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</si>
  <si>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</si>
  <si>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</si>
  <si>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</si>
  <si>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</si>
  <si>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</si>
  <si>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</si>
  <si>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</si>
  <si>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</si>
  <si>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</si>
  <si>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</si>
  <si>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</si>
  <si>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</si>
  <si>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</si>
  <si>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</si>
  <si>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</si>
  <si>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</si>
  <si>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</si>
  <si>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</si>
  <si>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</si>
  <si>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</si>
  <si>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</si>
  <si>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</si>
  <si>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</si>
  <si>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</si>
  <si>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</si>
  <si>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</si>
  <si>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</si>
  <si>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</si>
  <si>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</si>
  <si>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</si>
  <si>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</si>
  <si>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</si>
  <si>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</si>
  <si>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</si>
  <si>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</si>
  <si>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</si>
  <si>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</si>
  <si>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</si>
  <si>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</si>
  <si>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</si>
  <si>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</si>
  <si>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</si>
  <si>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</si>
  <si>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</si>
  <si>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</si>
  <si>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</si>
  <si>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</si>
  <si>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</si>
  <si>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</si>
  <si>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</si>
  <si>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</si>
  <si>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</si>
  <si>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</si>
  <si>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</si>
  <si>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</si>
  <si>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</si>
  <si>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</si>
  <si>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</si>
  <si>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</si>
  <si>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</si>
  <si>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</si>
  <si>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</si>
  <si>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</si>
  <si>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</si>
  <si>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</si>
  <si>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</si>
  <si>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</si>
  <si>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</si>
  <si>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</si>
  <si>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</si>
  <si>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</si>
  <si>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</si>
  <si>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</si>
  <si>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</si>
  <si>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</si>
  <si>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</si>
  <si>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</si>
  <si>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</si>
  <si>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</si>
  <si>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</si>
  <si>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</si>
  <si>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</si>
  <si>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</si>
  <si>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</si>
  <si>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</si>
  <si>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</si>
  <si>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</si>
  <si>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</si>
  <si>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</si>
  <si>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</si>
  <si>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</si>
  <si>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</si>
  <si>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</si>
  <si>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</si>
  <si>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</si>
  <si>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</si>
  <si>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</si>
  <si>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</si>
  <si>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</si>
  <si>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</si>
  <si>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</si>
  <si>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</si>
  <si>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</si>
  <si>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</si>
  <si>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</si>
  <si>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</si>
  <si>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</si>
  <si>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</si>
  <si>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</si>
  <si>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</si>
  <si>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</si>
  <si>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</si>
  <si>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</si>
  <si>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</si>
  <si>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</si>
  <si>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</si>
  <si>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</si>
  <si>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</si>
  <si>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</si>
  <si>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</si>
  <si>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</si>
  <si>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</si>
  <si>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</si>
  <si>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</si>
  <si>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</si>
  <si>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</si>
  <si>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</si>
  <si>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</si>
  <si>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</si>
  <si>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</si>
  <si>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</si>
  <si>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</si>
  <si>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</si>
  <si>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</si>
  <si>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</si>
  <si>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</si>
  <si>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</si>
  <si>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</si>
  <si>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</si>
  <si>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</si>
  <si>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</si>
  <si>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</si>
  <si>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</si>
  <si>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</si>
  <si>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</si>
  <si>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</si>
  <si>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</si>
  <si>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</si>
  <si>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</si>
  <si>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</si>
  <si>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</si>
  <si>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</si>
  <si>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</si>
  <si>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</si>
  <si>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</si>
  <si>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</si>
  <si>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</si>
  <si>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</si>
  <si>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</si>
  <si>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</si>
  <si>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</si>
  <si>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</si>
  <si>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</si>
  <si>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</si>
  <si>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</si>
  <si>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</si>
  <si>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</si>
  <si>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</si>
  <si>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</si>
  <si>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</si>
  <si>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</si>
  <si>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</si>
  <si>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</si>
  <si>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</si>
  <si>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</si>
  <si>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</si>
  <si>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</si>
  <si>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</si>
  <si>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</si>
  <si>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</si>
  <si>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</si>
  <si>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</si>
  <si>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</si>
  <si>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</si>
  <si>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</si>
  <si>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</si>
  <si>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</si>
  <si>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</si>
  <si>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</si>
  <si>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</si>
  <si>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</si>
  <si>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</si>
  <si>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</si>
  <si>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</si>
  <si>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</si>
  <si>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</si>
  <si>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</si>
  <si>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</si>
  <si>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</si>
  <si>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</si>
  <si>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</si>
  <si>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</si>
  <si>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</si>
  <si>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</si>
  <si>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</si>
  <si>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</si>
  <si>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</si>
  <si>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</si>
  <si>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</si>
  <si>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</si>
  <si>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</si>
  <si>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</si>
  <si>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</si>
  <si>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</si>
  <si>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</si>
  <si>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</si>
  <si>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</si>
  <si>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</si>
  <si>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</si>
  <si>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</si>
  <si>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</si>
  <si>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</si>
  <si>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</si>
  <si>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</si>
  <si>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</si>
  <si>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</si>
  <si>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</si>
  <si>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</si>
  <si>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</si>
  <si>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</si>
  <si>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</si>
  <si>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</si>
  <si>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</si>
  <si>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</si>
  <si>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</si>
  <si>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</si>
  <si>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</si>
  <si>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</si>
  <si>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</si>
  <si>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</si>
  <si>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</si>
  <si>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</si>
  <si>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</si>
  <si>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</si>
  <si>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</si>
  <si>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</si>
  <si>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</si>
  <si>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</si>
  <si>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</si>
  <si>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</si>
  <si>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</si>
  <si>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</si>
  <si>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</si>
  <si>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</si>
  <si>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</si>
  <si>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</si>
  <si>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</si>
  <si>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</si>
  <si>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</si>
  <si>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</si>
  <si>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</si>
  <si>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</si>
  <si>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</si>
  <si>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</si>
  <si>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</si>
  <si>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</si>
  <si>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</si>
  <si>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</si>
  <si>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</si>
  <si>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</si>
  <si>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</si>
  <si>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</si>
  <si>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</si>
  <si>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</si>
  <si>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</si>
  <si>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</si>
  <si>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</si>
  <si>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</si>
  <si>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</si>
  <si>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</si>
  <si>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</si>
  <si>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</si>
  <si>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</si>
  <si>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</si>
  <si>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</si>
  <si>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</si>
  <si>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</si>
  <si>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</si>
  <si>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</si>
  <si>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</si>
  <si>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</si>
  <si>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</si>
  <si>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</si>
  <si>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</si>
  <si>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</si>
  <si>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</si>
  <si>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</si>
  <si>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</si>
  <si>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</si>
  <si>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</si>
  <si>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</si>
  <si>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</si>
  <si>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</si>
  <si>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</si>
  <si>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</si>
  <si>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</si>
  <si>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</si>
  <si>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</si>
  <si>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</si>
  <si>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</si>
  <si>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</si>
  <si>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</si>
  <si>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</si>
  <si>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</si>
  <si>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</si>
  <si>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</si>
  <si>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</si>
  <si>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</si>
  <si>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</si>
  <si>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</si>
  <si>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</si>
  <si>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</si>
  <si>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</si>
  <si>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</si>
  <si>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</si>
  <si>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</si>
  <si>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</si>
  <si>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</si>
  <si>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</si>
  <si>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</si>
  <si>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</si>
  <si>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</si>
  <si>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</si>
  <si>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</si>
  <si>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</si>
  <si>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</si>
  <si>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</si>
  <si>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</si>
  <si>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</si>
  <si>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</si>
  <si>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</si>
  <si>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</si>
  <si>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</si>
  <si>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</si>
  <si>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</si>
  <si>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</si>
  <si>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</si>
  <si>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</si>
  <si>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</si>
  <si>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</si>
  <si>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</si>
  <si>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</si>
  <si>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</si>
  <si>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</si>
  <si>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</si>
  <si>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</si>
  <si>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</si>
  <si>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</si>
  <si>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</si>
  <si>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</si>
  <si>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</si>
  <si>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</si>
  <si>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</si>
  <si>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</si>
  <si>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</si>
  <si>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</si>
  <si>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</si>
  <si>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</si>
  <si>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</si>
  <si>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</si>
  <si>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</si>
  <si>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</si>
  <si>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</si>
  <si>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</si>
  <si>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</si>
  <si>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</si>
  <si>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</si>
  <si>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</si>
  <si>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</si>
  <si>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</si>
  <si>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</si>
  <si>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</si>
  <si>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</si>
  <si>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</si>
  <si>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</si>
  <si>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</si>
  <si>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</si>
  <si>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</si>
  <si>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</si>
  <si>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</si>
  <si>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</si>
  <si>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</si>
  <si>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</si>
  <si>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</si>
  <si>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</si>
  <si>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</si>
  <si>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</si>
  <si>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</si>
  <si>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</si>
  <si>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</si>
  <si>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</si>
  <si>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</si>
  <si>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</si>
  <si>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</si>
  <si>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</si>
  <si>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</si>
  <si>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</si>
  <si>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</si>
  <si>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</si>
  <si>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</si>
  <si>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</si>
  <si>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</si>
  <si>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</si>
  <si>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</si>
  <si>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</si>
  <si>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</si>
  <si>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</si>
  <si>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</si>
  <si>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</si>
  <si>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</si>
  <si>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</si>
  <si>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</si>
  <si>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</si>
  <si>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</si>
  <si>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</si>
  <si>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</si>
  <si>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</si>
  <si>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</si>
  <si>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</si>
  <si>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</si>
  <si>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</si>
  <si>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</si>
  <si>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</si>
  <si>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</si>
  <si>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</si>
  <si>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</si>
  <si>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</si>
  <si>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</si>
  <si>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</si>
  <si>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</si>
  <si>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</si>
  <si>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</si>
  <si>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</si>
  <si>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</si>
  <si>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</si>
  <si>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</si>
  <si>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</si>
  <si>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</si>
  <si>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</si>
  <si>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</si>
  <si>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</si>
  <si>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</si>
  <si>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</si>
  <si>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</si>
  <si>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</si>
  <si>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</si>
  <si>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</si>
  <si>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</si>
  <si>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</si>
  <si>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</si>
  <si>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</si>
  <si>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</si>
  <si>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</si>
  <si>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</si>
  <si>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</si>
  <si>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</si>
  <si>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</si>
  <si>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</si>
  <si>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</si>
  <si>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</si>
  <si>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</si>
  <si>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</si>
  <si>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</si>
  <si>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</si>
  <si>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</si>
  <si>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</si>
  <si>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</si>
  <si>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</si>
  <si>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</si>
  <si>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</si>
  <si>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</si>
  <si>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</si>
  <si>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</si>
  <si>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</si>
  <si>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</si>
  <si>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</si>
  <si>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</si>
  <si>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</si>
  <si>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</si>
  <si>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</si>
  <si>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</si>
  <si>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</si>
  <si>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</si>
  <si>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</si>
  <si>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</si>
  <si>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</si>
  <si>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</si>
  <si>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</si>
  <si>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</si>
  <si>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</si>
  <si>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</si>
  <si>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</si>
  <si>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</si>
  <si>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</si>
  <si>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</si>
  <si>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</si>
  <si>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</si>
  <si>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</si>
  <si>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</si>
  <si>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</si>
  <si>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</si>
  <si>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</si>
  <si>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</si>
  <si>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</si>
  <si>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</si>
  <si>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</si>
  <si>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</si>
  <si>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</si>
  <si>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</si>
  <si>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</si>
  <si>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</si>
  <si>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</si>
  <si>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</si>
  <si>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</si>
  <si>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</si>
  <si>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</si>
  <si>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</si>
  <si>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</si>
  <si>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</si>
  <si>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</si>
  <si>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</si>
  <si>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</si>
  <si>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</si>
  <si>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</si>
  <si>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</si>
  <si>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</si>
  <si>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</si>
  <si>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</si>
  <si>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</si>
  <si>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</si>
  <si>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</si>
  <si>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</si>
  <si>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</si>
  <si>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</si>
  <si>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</si>
  <si>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</si>
  <si>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</si>
  <si>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</si>
  <si>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</si>
  <si>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</si>
  <si>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</si>
  <si>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</si>
  <si>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</si>
  <si>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</si>
  <si>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</si>
  <si>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</si>
  <si>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</si>
  <si>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</si>
  <si>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</si>
  <si>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</si>
  <si>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</si>
  <si>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</si>
  <si>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</si>
  <si>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</si>
  <si>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</si>
  <si>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</si>
  <si>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</si>
  <si>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</si>
  <si>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</si>
  <si>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</si>
  <si>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</si>
  <si>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</si>
  <si>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</si>
  <si>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</si>
  <si>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</si>
  <si>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</si>
  <si>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</si>
  <si>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</si>
  <si>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</si>
  <si>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</si>
  <si>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</si>
  <si>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</si>
  <si>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</si>
  <si>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</si>
  <si>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</si>
  <si>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</si>
  <si>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</si>
  <si>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</si>
  <si>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</si>
  <si>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</si>
  <si>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</si>
  <si>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</si>
  <si>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</si>
  <si>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</si>
  <si>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</si>
  <si>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</si>
  <si>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</si>
  <si>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</si>
  <si>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</si>
  <si>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</si>
  <si>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</si>
  <si>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</si>
  <si>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</si>
  <si>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</si>
  <si>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</si>
  <si>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</si>
  <si>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</si>
  <si>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</si>
  <si>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</si>
  <si>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</si>
  <si>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</si>
  <si>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</si>
  <si>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</si>
  <si>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</si>
  <si>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</si>
  <si>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</si>
  <si>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</si>
  <si>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</si>
  <si>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</si>
  <si>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</si>
  <si>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</si>
  <si>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</si>
  <si>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</si>
  <si>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</si>
  <si>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</si>
  <si>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</si>
  <si>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</si>
  <si>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</si>
  <si>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</si>
  <si>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</si>
  <si>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</si>
  <si>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</si>
  <si>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</si>
  <si>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</si>
  <si>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</si>
  <si>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</si>
  <si>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</si>
  <si>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</si>
  <si>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</si>
  <si>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</si>
  <si>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</si>
  <si>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</si>
  <si>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</si>
  <si>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</si>
  <si>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</si>
  <si>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</si>
  <si>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</si>
  <si>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</si>
  <si>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</si>
  <si>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</si>
  <si>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</si>
  <si>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</si>
  <si>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</si>
  <si>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</si>
  <si>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</si>
  <si>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</si>
  <si>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</si>
  <si>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</si>
  <si>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</si>
  <si>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</si>
  <si>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</si>
  <si>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</si>
  <si>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</si>
  <si>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</si>
  <si>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</si>
  <si>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</si>
  <si>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</si>
  <si>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</si>
  <si>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</si>
  <si>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</si>
  <si>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</si>
  <si>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</si>
  <si>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</si>
  <si>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</si>
  <si>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</si>
  <si>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</si>
  <si>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</si>
  <si>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</si>
  <si>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</si>
  <si>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</si>
  <si>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</si>
  <si>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</si>
  <si>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</si>
  <si>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</si>
  <si>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</si>
  <si>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</si>
  <si>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</si>
  <si>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</si>
  <si>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</si>
  <si>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</si>
  <si>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</si>
  <si>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</si>
  <si>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</si>
  <si>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</si>
  <si>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</si>
  <si>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</si>
  <si>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</si>
  <si>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</si>
  <si>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</si>
  <si>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</si>
  <si>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</si>
  <si>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</si>
  <si>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</si>
  <si>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</si>
  <si>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</si>
  <si>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</si>
  <si>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</si>
  <si>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</si>
  <si>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</si>
  <si>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</si>
  <si>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</si>
  <si>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</si>
  <si>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</si>
  <si>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</si>
  <si>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</si>
  <si>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</si>
  <si>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</si>
  <si>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</si>
  <si>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</si>
  <si>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</si>
  <si>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</si>
  <si>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</si>
  <si>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</si>
  <si>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</si>
  <si>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</si>
  <si>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</si>
  <si>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</si>
  <si>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</si>
  <si>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</si>
  <si>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</si>
  <si>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</si>
  <si>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</si>
  <si>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</si>
  <si>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</si>
  <si>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</si>
  <si>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</si>
  <si>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</si>
  <si>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</si>
  <si>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</si>
  <si>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</si>
  <si>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</si>
  <si>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</si>
  <si>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</si>
  <si>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</si>
  <si>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</si>
  <si>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</si>
  <si>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</si>
  <si>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</si>
  <si>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</si>
  <si>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</si>
  <si>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</si>
  <si>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</si>
  <si>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</si>
  <si>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</si>
  <si>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</si>
  <si>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</si>
  <si>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</si>
  <si>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</si>
  <si>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</si>
  <si>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</si>
  <si>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</si>
  <si>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</si>
  <si>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</si>
  <si>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</si>
  <si>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</si>
  <si>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</si>
  <si>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</si>
  <si>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</si>
  <si>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</si>
  <si>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</si>
  <si>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</si>
  <si>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</si>
  <si>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</si>
  <si>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</si>
  <si>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</si>
  <si>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</si>
  <si>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</si>
  <si>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</si>
  <si>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</si>
  <si>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</si>
  <si>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</si>
  <si>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</si>
  <si>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</si>
  <si>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</si>
  <si>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</si>
  <si>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</si>
  <si>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</si>
  <si>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</si>
  <si>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</si>
  <si>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</si>
  <si>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</si>
  <si>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</si>
  <si>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</si>
  <si>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</si>
  <si>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</si>
  <si>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</si>
  <si>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</si>
  <si>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</si>
  <si>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</si>
  <si>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</si>
  <si>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</si>
  <si>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</si>
  <si>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</si>
  <si>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</si>
  <si>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</si>
  <si>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</si>
  <si>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</si>
  <si>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</si>
  <si>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</si>
  <si>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</si>
  <si>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</si>
  <si>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</si>
  <si>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</si>
  <si>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</si>
  <si>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</si>
  <si>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</si>
  <si>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</si>
  <si>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</si>
  <si>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</si>
  <si>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</si>
  <si>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</si>
  <si>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</si>
  <si>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</si>
  <si>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</si>
  <si>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</si>
  <si>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</si>
  <si>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</si>
  <si>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</si>
  <si>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</si>
  <si>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</si>
  <si>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</si>
  <si>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</si>
  <si>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</si>
  <si>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</si>
  <si>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</si>
  <si>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</si>
  <si>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</si>
  <si>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</si>
  <si>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</si>
  <si>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</si>
  <si>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</si>
  <si>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</si>
  <si>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</si>
  <si>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</si>
  <si>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</si>
  <si>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</si>
  <si>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</si>
  <si>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</si>
  <si>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</si>
  <si>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</si>
  <si>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</si>
  <si>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</si>
  <si>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</si>
  <si>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</si>
  <si>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</si>
  <si>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</si>
  <si>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</si>
  <si>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</si>
  <si>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</si>
  <si>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</si>
  <si>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</si>
  <si>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</si>
  <si>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</si>
  <si>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</si>
  <si>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</si>
  <si>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</si>
  <si>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</si>
  <si>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</si>
  <si>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</si>
  <si>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</si>
  <si>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</si>
  <si>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</si>
  <si>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</si>
  <si>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</si>
  <si>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</si>
  <si>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</si>
  <si>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</si>
  <si>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</si>
  <si>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</si>
  <si>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</si>
  <si>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</si>
  <si>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</si>
  <si>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</si>
  <si>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</si>
  <si>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</si>
  <si>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</si>
  <si>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</si>
  <si>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</si>
  <si>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</si>
  <si>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</si>
  <si>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</si>
  <si>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</si>
  <si>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</si>
  <si>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</si>
  <si>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</si>
  <si>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</si>
  <si>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</si>
  <si>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</si>
  <si>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</si>
  <si>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</si>
  <si>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</si>
  <si>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</si>
  <si>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</si>
  <si>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</si>
  <si>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</si>
  <si>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</si>
  <si>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</si>
  <si>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</si>
  <si>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</si>
  <si>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</si>
  <si>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</si>
  <si>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</si>
  <si>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</si>
  <si>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</si>
  <si>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</si>
  <si>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</si>
  <si>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</si>
  <si>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</si>
  <si>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</si>
  <si>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</si>
  <si>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</si>
  <si>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</si>
  <si>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</si>
  <si>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</si>
  <si>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</si>
  <si>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</si>
  <si>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</si>
  <si>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</si>
  <si>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</si>
  <si>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</si>
  <si>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</si>
  <si>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</si>
  <si>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</si>
  <si>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</si>
  <si>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</si>
  <si>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</si>
  <si>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</si>
  <si>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</si>
  <si>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</si>
  <si>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</si>
  <si>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</si>
  <si>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</si>
  <si>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</si>
  <si>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</si>
  <si>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</si>
  <si>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</si>
  <si>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</si>
  <si>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</si>
  <si>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</si>
  <si>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</si>
  <si>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</si>
  <si>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</si>
  <si>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</si>
  <si>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</si>
  <si>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</si>
  <si>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</si>
  <si>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</si>
  <si>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</si>
  <si>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</si>
  <si>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</si>
  <si>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</si>
  <si>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</si>
  <si>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</si>
  <si>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</si>
  <si>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</si>
  <si>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</si>
  <si>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</si>
  <si>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</si>
  <si>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</si>
  <si>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</si>
  <si>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</si>
  <si>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</si>
  <si>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</si>
  <si>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</si>
  <si>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</si>
  <si>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</si>
  <si>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</si>
  <si>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</si>
  <si>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</si>
  <si>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</si>
  <si>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</si>
  <si>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</si>
  <si>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</si>
  <si>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</si>
  <si>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</si>
  <si>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</si>
  <si>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</si>
  <si>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</si>
  <si>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</si>
  <si>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</si>
  <si>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</si>
  <si>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</si>
  <si>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</si>
  <si>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</si>
  <si>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</si>
  <si>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</si>
  <si>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</si>
  <si>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</si>
  <si>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</si>
  <si>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</si>
  <si>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</si>
  <si>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</si>
  <si>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</si>
  <si>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</si>
  <si>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</si>
  <si>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</si>
  <si>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</si>
  <si>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</si>
  <si>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</si>
  <si>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</si>
  <si>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</si>
  <si>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</si>
  <si>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</si>
  <si>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</si>
  <si>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</si>
  <si>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</si>
  <si>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</si>
  <si>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</si>
  <si>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</si>
  <si>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</si>
  <si>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</si>
  <si>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</si>
  <si>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</si>
  <si>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</si>
  <si>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</si>
  <si>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</si>
  <si>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</si>
  <si>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</si>
  <si>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</si>
  <si>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</si>
  <si>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</si>
  <si>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</si>
  <si>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</si>
  <si>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</si>
  <si>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</si>
  <si>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</si>
  <si>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</si>
  <si>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</si>
  <si>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</si>
  <si>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</si>
  <si>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</si>
  <si>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</si>
  <si>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</si>
  <si>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</si>
  <si>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</si>
  <si>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</si>
  <si>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</si>
  <si>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</si>
  <si>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</si>
  <si>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</si>
  <si>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</si>
  <si>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</si>
  <si>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</si>
  <si>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</si>
  <si>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</si>
  <si>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</si>
  <si>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</si>
  <si>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</si>
  <si>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</si>
  <si>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</si>
  <si>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</si>
  <si>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</si>
  <si>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</si>
  <si>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</si>
  <si>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</si>
  <si>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</si>
  <si>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</si>
  <si>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</si>
  <si>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</si>
  <si>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</si>
  <si>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</si>
  <si>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</si>
  <si>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</si>
  <si>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</si>
  <si>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</si>
  <si>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</si>
  <si>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</si>
  <si>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</si>
  <si>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</si>
  <si>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</si>
  <si>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</si>
  <si>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</si>
  <si>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</si>
  <si>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</si>
  <si>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</si>
  <si>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</si>
  <si>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</si>
  <si>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</si>
  <si>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</si>
  <si>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</si>
  <si>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</si>
  <si>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</si>
  <si>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</si>
  <si>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</si>
  <si>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</si>
  <si>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</si>
  <si>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</si>
  <si>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</si>
  <si>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</si>
  <si>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</si>
  <si>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</si>
  <si>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</si>
  <si>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</si>
  <si>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</si>
  <si>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</si>
  <si>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</si>
  <si>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</si>
  <si>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</si>
  <si>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</si>
  <si>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</si>
  <si>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</si>
  <si>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</si>
  <si>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</si>
  <si>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</si>
  <si>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</si>
  <si>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</si>
  <si>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</si>
  <si>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</si>
  <si>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</si>
  <si>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</si>
  <si>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</si>
  <si>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</si>
  <si>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</si>
  <si>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</si>
  <si>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</si>
  <si>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</si>
  <si>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</si>
  <si>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</si>
  <si>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</si>
  <si>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</si>
  <si>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</si>
  <si>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</si>
  <si>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</si>
  <si>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</si>
  <si>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</si>
  <si>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</si>
  <si>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</si>
  <si>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</si>
  <si>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</si>
  <si>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</si>
  <si>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</si>
  <si>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</si>
  <si>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</si>
  <si>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</si>
  <si>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</si>
  <si>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</si>
  <si>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</si>
  <si>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</si>
  <si>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</si>
  <si>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</si>
  <si>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</si>
  <si>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</si>
  <si>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</si>
  <si>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</si>
  <si>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</si>
  <si>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</si>
  <si>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</si>
  <si>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</si>
  <si>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</si>
  <si>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</si>
  <si>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</si>
  <si>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</si>
  <si>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</si>
  <si>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</si>
  <si>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</si>
  <si>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</si>
  <si>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</si>
  <si>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</si>
  <si>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</si>
  <si>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</si>
  <si>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</si>
  <si>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</si>
  <si>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</si>
  <si>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</si>
  <si>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</si>
  <si>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</si>
  <si>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</si>
  <si>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</si>
  <si>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</si>
  <si>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</si>
  <si>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</si>
  <si>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</si>
  <si>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</si>
  <si>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</si>
  <si>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</si>
  <si>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</si>
  <si>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</si>
  <si>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</si>
  <si>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</si>
  <si>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</si>
  <si>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</si>
  <si>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</si>
  <si>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</si>
  <si>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</si>
  <si>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</si>
  <si>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</si>
  <si>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</si>
  <si>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</si>
  <si>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</si>
  <si>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</si>
  <si>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</si>
  <si>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</si>
  <si>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</si>
  <si>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</si>
  <si>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</si>
  <si>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</si>
  <si>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</si>
  <si>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</si>
  <si>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</si>
  <si>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</si>
  <si>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</si>
  <si>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</si>
  <si>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</si>
  <si>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</si>
  <si>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</si>
  <si>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</si>
  <si>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</si>
  <si>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</si>
  <si>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</si>
  <si>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</si>
  <si>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</si>
  <si>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</si>
  <si>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</si>
  <si>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</si>
  <si>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</si>
  <si>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</si>
  <si>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</si>
  <si>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</si>
  <si>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</si>
  <si>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</si>
  <si>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</si>
  <si>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</si>
  <si>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</si>
  <si>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</si>
  <si>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</si>
  <si>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</si>
  <si>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</si>
  <si>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</si>
  <si>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</si>
  <si>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</si>
  <si>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</si>
  <si>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</si>
  <si>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</si>
  <si>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</si>
  <si>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</si>
  <si>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</si>
  <si>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</si>
  <si>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</si>
  <si>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</si>
  <si>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</si>
  <si>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</si>
  <si>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</si>
  <si>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</si>
  <si>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</si>
  <si>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</si>
  <si>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</si>
  <si>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</si>
  <si>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</si>
  <si>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</si>
  <si>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</si>
  <si>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</si>
  <si>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</si>
  <si>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</si>
  <si>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</si>
  <si>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</si>
  <si>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</si>
  <si>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</si>
  <si>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</si>
  <si>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</si>
  <si>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</si>
  <si>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</si>
  <si>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</si>
  <si>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</si>
  <si>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</si>
  <si>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</si>
  <si>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</si>
  <si>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</si>
  <si>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</si>
  <si>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</si>
  <si>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</si>
  <si>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</si>
  <si>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</si>
  <si>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</si>
  <si>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</si>
  <si>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</si>
  <si>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</si>
  <si>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</si>
  <si>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</si>
  <si>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</si>
  <si>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</si>
  <si>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</si>
  <si>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</si>
  <si>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</si>
  <si>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</si>
  <si>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</si>
  <si>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</si>
  <si>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</si>
  <si>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</si>
  <si>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</si>
  <si>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</si>
  <si>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</si>
  <si>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</si>
  <si>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</si>
  <si>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</si>
  <si>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</si>
  <si>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</si>
  <si>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</si>
  <si>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</si>
  <si>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</si>
  <si>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</si>
  <si>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</si>
  <si>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</si>
  <si>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</si>
  <si>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</si>
  <si>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</si>
  <si>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</si>
  <si>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</si>
  <si>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</si>
  <si>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</si>
  <si>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</si>
  <si>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</si>
  <si>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</si>
  <si>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</si>
  <si>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</si>
  <si>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</si>
  <si>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</si>
  <si>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</si>
  <si>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</si>
  <si>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</si>
  <si>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</si>
  <si>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</si>
  <si>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</si>
  <si>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</si>
  <si>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</si>
  <si>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</si>
  <si>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</si>
  <si>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</si>
  <si>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</si>
  <si>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</si>
  <si>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</si>
  <si>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</si>
  <si>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</si>
  <si>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</si>
  <si>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</si>
  <si>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</si>
  <si>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</si>
  <si>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</si>
  <si>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</si>
  <si>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</si>
  <si>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</si>
  <si>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</si>
  <si>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</si>
  <si>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</si>
  <si>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</si>
  <si>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</si>
  <si>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</si>
  <si>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</si>
  <si>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</si>
  <si>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</si>
  <si>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</si>
  <si>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</si>
  <si>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</si>
  <si>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</si>
  <si>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</si>
  <si>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</si>
  <si>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</si>
  <si>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</si>
  <si>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</si>
  <si>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</si>
  <si>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</si>
  <si>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</si>
  <si>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</si>
  <si>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</si>
  <si>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</si>
  <si>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</si>
  <si>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</si>
  <si>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</si>
  <si>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</si>
  <si>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</si>
  <si>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</si>
  <si>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</si>
  <si>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</si>
  <si>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</si>
  <si>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</si>
  <si>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</si>
  <si>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</si>
  <si>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</si>
  <si>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</si>
  <si>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</si>
  <si>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</si>
  <si>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</si>
  <si>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</si>
  <si>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</si>
  <si>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</si>
  <si>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</si>
  <si>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</si>
  <si>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</si>
  <si>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</si>
  <si>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</si>
  <si>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</si>
  <si>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</si>
  <si>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</si>
  <si>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</si>
  <si>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</si>
  <si>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</si>
  <si>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</si>
  <si>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</si>
  <si>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</si>
  <si>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</si>
  <si>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</si>
  <si>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</si>
  <si>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</si>
  <si>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</si>
  <si>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</si>
  <si>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</si>
  <si>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</si>
  <si>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</si>
  <si>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</si>
  <si>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</si>
  <si>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</si>
  <si>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</si>
  <si>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</si>
  <si>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</si>
  <si>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</si>
  <si>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</si>
  <si>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</si>
  <si>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</si>
  <si>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</si>
  <si>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</si>
  <si>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</si>
  <si>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</si>
  <si>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</si>
  <si>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</si>
  <si>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</si>
  <si>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</si>
  <si>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</si>
  <si>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</si>
  <si>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</si>
  <si>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</si>
  <si>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</si>
  <si>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</si>
  <si>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</si>
  <si>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</si>
  <si>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</si>
  <si>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</si>
  <si>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</si>
  <si>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</si>
  <si>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</si>
  <si>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</si>
  <si>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</si>
  <si>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</si>
  <si>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</si>
  <si>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</si>
  <si>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</si>
  <si>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</si>
  <si>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</si>
  <si>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</si>
  <si>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</si>
  <si>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</si>
  <si>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</si>
  <si>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</si>
  <si>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</si>
  <si>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</si>
  <si>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</si>
  <si>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</si>
  <si>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</si>
  <si>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</si>
  <si>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</si>
  <si>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</si>
  <si>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</si>
  <si>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</si>
  <si>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</si>
  <si>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</si>
  <si>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</si>
  <si>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</si>
  <si>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</si>
  <si>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</si>
  <si>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</si>
  <si>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</si>
  <si>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</si>
  <si>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</si>
  <si>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</si>
  <si>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</si>
  <si>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</si>
  <si>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</si>
  <si>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</si>
  <si>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</si>
  <si>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</si>
  <si>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</si>
  <si>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</si>
  <si>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</si>
  <si>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</si>
  <si>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</si>
  <si>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</si>
  <si>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</si>
  <si>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</si>
  <si>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</si>
  <si>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</si>
  <si>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</si>
  <si>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</si>
  <si>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</si>
  <si>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</si>
  <si>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</si>
  <si>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</si>
  <si>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</si>
  <si>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</si>
  <si>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</si>
  <si>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</si>
  <si>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</si>
  <si>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</si>
  <si>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</si>
  <si>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</si>
  <si>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</si>
  <si>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</si>
  <si>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</si>
  <si>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</si>
  <si>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</si>
  <si>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</si>
  <si>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</si>
  <si>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</si>
  <si>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</si>
  <si>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</si>
  <si>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</si>
  <si>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</si>
  <si>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</si>
  <si>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</si>
  <si>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</si>
  <si>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</si>
  <si>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</si>
  <si>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</si>
  <si>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</si>
  <si>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</si>
  <si>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</si>
  <si>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</si>
  <si>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</si>
  <si>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</si>
  <si>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</si>
  <si>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</si>
  <si>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</si>
  <si>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</si>
  <si>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</si>
  <si>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</si>
  <si>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</si>
  <si>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</si>
  <si>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</si>
  <si>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</si>
  <si>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</si>
  <si>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</si>
  <si>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</si>
  <si>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</si>
  <si>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</si>
  <si>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</si>
  <si>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</si>
  <si>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</si>
  <si>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</si>
  <si>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</si>
  <si>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</si>
  <si>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</si>
  <si>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</si>
  <si>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</si>
  <si>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</si>
  <si>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</si>
  <si>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</si>
  <si>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</si>
  <si>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</si>
  <si>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</si>
  <si>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</si>
  <si>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</si>
  <si>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</si>
  <si>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</si>
  <si>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</si>
  <si>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</si>
  <si>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</si>
  <si>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</si>
  <si>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</si>
  <si>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</si>
  <si>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</si>
  <si>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</si>
  <si>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</si>
  <si>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</si>
  <si>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</si>
  <si>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</si>
  <si>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</si>
  <si>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</si>
  <si>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</si>
  <si>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</si>
  <si>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</si>
  <si>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</si>
  <si>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</si>
  <si>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</si>
  <si>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</si>
  <si>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</si>
  <si>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</si>
  <si>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</si>
  <si>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</si>
  <si>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</si>
  <si>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</si>
  <si>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</si>
  <si>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</si>
  <si>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</si>
  <si>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</si>
  <si>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</si>
  <si>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</si>
  <si>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</si>
  <si>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</si>
  <si>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</si>
  <si>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</si>
  <si>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</si>
  <si>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</si>
  <si>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</si>
  <si>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</si>
  <si>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</si>
  <si>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</si>
  <si>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</si>
  <si>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</si>
  <si>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</si>
  <si>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</si>
  <si>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</si>
  <si>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</si>
  <si>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</si>
  <si>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</si>
  <si>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</si>
  <si>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</si>
  <si>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</si>
  <si>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</si>
  <si>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</si>
  <si>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</si>
  <si>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</si>
  <si>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</si>
  <si>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</si>
  <si>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</si>
  <si>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</si>
  <si>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</si>
  <si>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</si>
  <si>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</si>
  <si>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</si>
  <si>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</si>
  <si>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</si>
  <si>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</si>
  <si>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</si>
  <si>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</si>
  <si>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</si>
  <si>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</si>
  <si>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</si>
  <si>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</si>
  <si>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</si>
  <si>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</si>
  <si>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</si>
  <si>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</si>
  <si>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</si>
  <si>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</si>
  <si>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</si>
  <si>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</si>
  <si>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</si>
  <si>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</si>
  <si>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</si>
  <si>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</si>
  <si>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</si>
  <si>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</si>
  <si>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</si>
  <si>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</si>
  <si>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</si>
  <si>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</si>
  <si>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</si>
  <si>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</si>
  <si>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</si>
  <si>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</si>
  <si>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</si>
  <si>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</si>
  <si>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</si>
  <si>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</si>
  <si>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</si>
  <si>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</si>
  <si>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</si>
  <si>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</si>
  <si>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</si>
  <si>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</si>
  <si>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</si>
  <si>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</si>
  <si>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</si>
  <si>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</si>
  <si>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</si>
  <si>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</si>
  <si>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</si>
  <si>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</si>
  <si>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</si>
  <si>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</si>
  <si>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</si>
  <si>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</si>
  <si>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</si>
  <si>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</si>
  <si>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</si>
  <si>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</si>
  <si>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</si>
  <si>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</si>
  <si>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</si>
  <si>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</si>
  <si>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</si>
  <si>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</si>
  <si>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</si>
  <si>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</si>
  <si>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</si>
  <si>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</si>
  <si>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</si>
  <si>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</si>
  <si>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</si>
  <si>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</si>
  <si>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</si>
  <si>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</si>
  <si>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</si>
  <si>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</si>
  <si>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</si>
  <si>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</si>
  <si>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</si>
  <si>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</si>
  <si>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</si>
  <si>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</si>
  <si>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</si>
  <si>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</si>
  <si>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</si>
  <si>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</si>
  <si>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</si>
  <si>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</si>
  <si>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</si>
  <si>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</si>
  <si>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</si>
  <si>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</si>
  <si>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</si>
  <si>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</si>
  <si>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</si>
  <si>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</si>
  <si>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</si>
  <si>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</si>
  <si>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</si>
  <si>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</si>
  <si>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</si>
  <si>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</si>
  <si>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</si>
  <si>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</si>
  <si>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</si>
  <si>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</si>
  <si>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</si>
  <si>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</si>
  <si>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</si>
  <si>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</si>
  <si>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</si>
  <si>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</si>
  <si>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</si>
  <si>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</si>
  <si>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</si>
  <si>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</si>
  <si>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</si>
  <si>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</si>
  <si>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</si>
  <si>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</si>
  <si>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</si>
  <si>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</si>
  <si>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</si>
  <si>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</si>
  <si>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</si>
  <si>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</si>
  <si>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</si>
  <si>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</si>
  <si>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</si>
  <si>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</si>
  <si>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</si>
  <si>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</si>
  <si>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</si>
  <si>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</si>
  <si>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</si>
  <si>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</si>
  <si>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</si>
  <si>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</si>
  <si>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</si>
  <si>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</si>
  <si>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</si>
  <si>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</si>
  <si>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</si>
  <si>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</si>
  <si>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</si>
  <si>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</si>
  <si>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</si>
  <si>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</si>
  <si>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</si>
  <si>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</si>
  <si>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</si>
  <si>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</si>
  <si>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</si>
  <si>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</si>
  <si>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</si>
  <si>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</si>
  <si>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</si>
  <si>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</si>
  <si>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</si>
  <si>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</si>
  <si>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</si>
  <si>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</si>
  <si>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</si>
  <si>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</si>
  <si>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</si>
  <si>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</si>
  <si>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</si>
  <si>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</si>
  <si>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</si>
  <si>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</si>
  <si>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</si>
  <si>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</si>
  <si>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</si>
  <si>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</si>
  <si>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</si>
  <si>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</si>
  <si>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</si>
  <si>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</si>
  <si>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</si>
  <si>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</si>
  <si>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</si>
  <si>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</si>
  <si>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</si>
  <si>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</si>
  <si>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</si>
  <si>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</si>
  <si>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</si>
  <si>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</si>
  <si>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</si>
  <si>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</si>
  <si>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</si>
  <si>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</si>
  <si>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</si>
  <si>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</si>
  <si>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</si>
  <si>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</si>
  <si>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</si>
  <si>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</si>
  <si>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</si>
  <si>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</si>
  <si>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</si>
  <si>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</si>
  <si>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</si>
  <si>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</si>
  <si>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</si>
  <si>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</si>
  <si>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</si>
  <si>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</si>
  <si>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</si>
  <si>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</si>
  <si>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</si>
  <si>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</si>
  <si>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</si>
  <si>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</si>
  <si>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</si>
  <si>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</si>
  <si>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</si>
  <si>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</si>
  <si>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</si>
  <si>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</si>
  <si>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</si>
  <si>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</si>
  <si>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</si>
  <si>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</si>
  <si>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</si>
  <si>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</si>
  <si>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</si>
  <si>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</si>
  <si>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</si>
  <si>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</si>
  <si>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</si>
  <si>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</si>
  <si>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</si>
  <si>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</si>
  <si>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</si>
  <si>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</si>
  <si>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</si>
  <si>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</si>
  <si>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</si>
  <si>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</si>
  <si>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</si>
  <si>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</si>
  <si>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</si>
  <si>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</si>
  <si>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</si>
  <si>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</si>
  <si>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</si>
  <si>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</si>
  <si>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</si>
  <si>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</si>
  <si>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</si>
  <si>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</si>
  <si>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</si>
  <si>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</si>
  <si>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</si>
  <si>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</si>
  <si>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</si>
  <si>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</si>
  <si>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</si>
  <si>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</si>
  <si>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</si>
  <si>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</si>
  <si>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</si>
  <si>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</si>
  <si>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</si>
  <si>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</si>
  <si>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</si>
  <si>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</si>
  <si>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</si>
  <si>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</si>
  <si>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</si>
  <si>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</si>
  <si>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</si>
  <si>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</si>
  <si>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</si>
  <si>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</si>
  <si>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</si>
  <si>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</si>
  <si>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</si>
  <si>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</si>
  <si>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</si>
  <si>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</si>
  <si>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</si>
  <si>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</si>
  <si>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</si>
  <si>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</si>
  <si>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</si>
  <si>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</si>
  <si>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</si>
  <si>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</si>
  <si>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</si>
  <si>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</si>
  <si>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</si>
  <si>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</si>
  <si>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</si>
  <si>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</si>
  <si>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</si>
  <si>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</si>
  <si>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</si>
  <si>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</si>
  <si>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</si>
  <si>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</si>
  <si>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</si>
  <si>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</si>
  <si>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</si>
  <si>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</si>
  <si>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</si>
  <si>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</si>
  <si>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</si>
  <si>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</si>
  <si>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</si>
  <si>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</si>
  <si>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</si>
  <si>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</si>
  <si>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</si>
  <si>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</si>
  <si>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</si>
  <si>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</si>
  <si>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</si>
  <si>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</si>
  <si>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</si>
  <si>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</si>
  <si>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</si>
  <si>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</si>
  <si>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</si>
  <si>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</si>
  <si>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</si>
  <si>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</si>
  <si>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</si>
  <si>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</si>
  <si>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</si>
  <si>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</si>
  <si>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</si>
  <si>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</si>
  <si>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</si>
  <si>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</si>
  <si>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</si>
  <si>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</si>
  <si>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</si>
  <si>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</si>
  <si>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</si>
  <si>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</si>
  <si>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</si>
  <si>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</si>
  <si>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</si>
  <si>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</si>
  <si>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</si>
  <si>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</si>
  <si>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</si>
  <si>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</si>
  <si>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</si>
  <si>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</si>
  <si>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</si>
  <si>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</si>
  <si>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</si>
  <si>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</si>
  <si>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</si>
  <si>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</si>
  <si>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</si>
  <si>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</si>
  <si>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</si>
  <si>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</si>
  <si>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</si>
  <si>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</si>
  <si>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</si>
  <si>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</si>
  <si>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</si>
  <si>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</si>
  <si>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</si>
  <si>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</si>
  <si>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</si>
  <si>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</si>
  <si>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</si>
  <si>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</si>
  <si>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</si>
  <si>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</si>
  <si>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</si>
  <si>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</si>
  <si>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</si>
  <si>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</si>
  <si>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</si>
  <si>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</si>
  <si>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</si>
  <si>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</si>
  <si>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</si>
  <si>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</si>
  <si>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</si>
  <si>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</si>
  <si>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</si>
  <si>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</si>
  <si>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</si>
  <si>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</si>
  <si>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</si>
  <si>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</si>
  <si>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</si>
  <si>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</si>
  <si>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</si>
  <si>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</si>
  <si>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</si>
  <si>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</si>
  <si>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</si>
  <si>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</si>
  <si>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</si>
  <si>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</si>
  <si>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</si>
  <si>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</si>
  <si>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</si>
  <si>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</si>
  <si>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</si>
  <si>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</si>
  <si>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</si>
  <si>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</si>
  <si>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</si>
  <si>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</si>
  <si>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</si>
  <si>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</si>
  <si>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</si>
  <si>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</si>
  <si>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</si>
  <si>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</si>
  <si>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</si>
  <si>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</si>
  <si>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</si>
  <si>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</si>
  <si>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</si>
  <si>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</si>
  <si>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</si>
  <si>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</si>
  <si>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</si>
  <si>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</si>
  <si>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</si>
  <si>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</si>
  <si>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</si>
  <si>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</si>
  <si>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</si>
  <si>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</si>
  <si>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</si>
  <si>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</si>
  <si>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</si>
  <si>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</si>
  <si>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</si>
  <si>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</si>
  <si>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</si>
  <si>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</si>
  <si>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</si>
  <si>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</si>
  <si>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</si>
  <si>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</si>
  <si>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</si>
  <si>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</si>
  <si>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</si>
  <si>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</si>
  <si>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</si>
  <si>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</si>
  <si>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</si>
  <si>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</si>
  <si>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</si>
  <si>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</si>
  <si>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</si>
  <si>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</si>
  <si>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</si>
  <si>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</si>
  <si>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</si>
  <si>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</si>
  <si>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</si>
  <si>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</si>
  <si>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</si>
  <si>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</si>
  <si>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</si>
  <si>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</si>
  <si>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</si>
  <si>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</si>
  <si>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</si>
  <si>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</si>
  <si>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</si>
  <si>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</si>
  <si>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</si>
  <si>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</si>
  <si>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</si>
  <si>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</si>
  <si>
    <t>2026-096</t>
  </si>
  <si>
    <t>13246/2026</t>
  </si>
  <si>
    <t>Pesquisa de Preços em Compras Públicas à luz do Decreto Distrital nº 44.330/2023</t>
  </si>
  <si>
    <t>10 e 12/11/2026</t>
  </si>
  <si>
    <t>2026-097</t>
  </si>
  <si>
    <t>14556/2026</t>
  </si>
  <si>
    <t>Oficina de Avaliação em T&amp;D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</si>
</sst>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7" fillId="0" borderId="0" applyNumberFormat="0" applyFill="0" applyBorder="0" applyAlignment="0" applyProtection="0"/>
    <xf numFmtId="44" fontId="9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23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6" fillId="2" borderId="1" xfId="0" applyNumberFormat="1" applyFont="1" applyFill="1" applyBorder="1" applyAlignment="1">
      <alignment horizontal="center" vertical="center"/>
    </xf>
    <xf numFmtId="14" fontId="6" fillId="2" borderId="1" xfId="0" applyNumberFormat="1" applyFont="1" applyFill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2" fillId="0" borderId="0" xfId="0" applyFont="1"/>
    <xf numFmtId="0" fontId="13" fillId="4" borderId="0" xfId="0" applyFont="1" applyFill="1" applyAlignment="1">
      <alignment horizontal="center"/>
    </xf>
    <xf numFmtId="1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center"/>
    </xf>
    <xf numFmtId="0" fontId="14" fillId="0" borderId="0" xfId="0" applyFont="1"/>
    <xf numFmtId="1" fontId="0" fillId="0" borderId="0" xfId="0" applyNumberFormat="1"/>
    <xf numFmtId="0" fontId="17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7" fillId="7" borderId="4" xfId="0" applyFont="1" applyFill="1" applyBorder="1" applyAlignment="1">
      <alignment horizontal="center"/>
    </xf>
    <xf numFmtId="0" fontId="19" fillId="8" borderId="4" xfId="0" applyFont="1" applyFill="1" applyBorder="1"/>
    <xf numFmtId="3" fontId="22" fillId="8" borderId="4" xfId="0" applyNumberFormat="1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7" fillId="7" borderId="4" xfId="0" applyFont="1" applyFill="1" applyBorder="1"/>
    <xf numFmtId="3" fontId="23" fillId="7" borderId="4" xfId="0" applyNumberFormat="1" applyFont="1" applyFill="1" applyBorder="1" applyAlignment="1">
      <alignment horizontal="center"/>
    </xf>
    <xf numFmtId="3" fontId="20" fillId="8" borderId="6" xfId="0" applyNumberFormat="1" applyFont="1" applyFill="1" applyBorder="1" applyAlignment="1">
      <alignment horizontal="center"/>
    </xf>
    <xf numFmtId="0" fontId="19" fillId="8" borderId="8" xfId="0" applyFont="1" applyFill="1" applyBorder="1" applyAlignment="1">
      <alignment horizontal="left"/>
    </xf>
    <xf numFmtId="3" fontId="24" fillId="8" borderId="4" xfId="0" applyNumberFormat="1" applyFont="1" applyFill="1" applyBorder="1" applyAlignment="1">
      <alignment horizontal="center"/>
    </xf>
    <xf numFmtId="167" fontId="19" fillId="8" borderId="4" xfId="0" applyNumberFormat="1" applyFont="1" applyFill="1" applyBorder="1" applyAlignment="1">
      <alignment horizontal="center"/>
    </xf>
    <xf numFmtId="3" fontId="24" fillId="9" borderId="4" xfId="0" applyNumberFormat="1" applyFont="1" applyFill="1" applyBorder="1" applyAlignment="1">
      <alignment horizontal="center"/>
    </xf>
    <xf numFmtId="167" fontId="19" fillId="9" borderId="4" xfId="0" applyNumberFormat="1" applyFont="1" applyFill="1" applyBorder="1" applyAlignment="1">
      <alignment horizontal="center"/>
    </xf>
    <xf numFmtId="3" fontId="25" fillId="7" borderId="4" xfId="0" applyNumberFormat="1" applyFont="1" applyFill="1" applyBorder="1" applyAlignment="1">
      <alignment horizontal="center"/>
    </xf>
    <xf numFmtId="167" fontId="17" fillId="7" borderId="4" xfId="0" applyNumberFormat="1" applyFont="1" applyFill="1" applyBorder="1" applyAlignment="1">
      <alignment horizontal="center"/>
    </xf>
    <xf numFmtId="3" fontId="28" fillId="11" borderId="6" xfId="0" applyNumberFormat="1" applyFont="1" applyFill="1" applyBorder="1" applyAlignment="1">
      <alignment horizontal="center"/>
    </xf>
    <xf numFmtId="0" fontId="27" fillId="11" borderId="8" xfId="0" applyFont="1" applyFill="1" applyBorder="1" applyAlignment="1">
      <alignment horizontal="left"/>
    </xf>
    <xf numFmtId="0" fontId="17" fillId="12" borderId="9" xfId="0" applyFont="1" applyFill="1" applyBorder="1" applyAlignment="1">
      <alignment horizontal="center"/>
    </xf>
    <xf numFmtId="3" fontId="29" fillId="13" borderId="10" xfId="0" applyNumberFormat="1" applyFont="1" applyFill="1" applyBorder="1" applyAlignment="1">
      <alignment horizontal="center"/>
    </xf>
    <xf numFmtId="3" fontId="30" fillId="8" borderId="4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0" fontId="35" fillId="0" borderId="0" xfId="0" applyFont="1"/>
    <xf numFmtId="0" fontId="39" fillId="14" borderId="11" xfId="0" applyFont="1" applyFill="1" applyBorder="1" applyAlignment="1">
      <alignment horizontal="center" vertical="center"/>
    </xf>
    <xf numFmtId="0" fontId="40" fillId="14" borderId="11" xfId="0" applyFont="1" applyFill="1" applyBorder="1" applyAlignment="1">
      <alignment horizontal="center" vertical="center"/>
    </xf>
    <xf numFmtId="3" fontId="40" fillId="14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4" borderId="13" xfId="0" applyFont="1" applyFill="1" applyBorder="1" applyAlignment="1">
      <alignment horizontal="center" vertical="center"/>
    </xf>
    <xf numFmtId="0" fontId="40" fillId="14" borderId="13" xfId="0" applyFont="1" applyFill="1" applyBorder="1" applyAlignment="1">
      <alignment horizontal="center" vertical="center"/>
    </xf>
    <xf numFmtId="3" fontId="40" fillId="14" borderId="13" xfId="0" applyNumberFormat="1" applyFont="1" applyFill="1" applyBorder="1" applyAlignment="1">
      <alignment horizontal="center" vertical="center"/>
    </xf>
    <xf numFmtId="0" fontId="40" fillId="14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4" borderId="13" xfId="0" applyFont="1" applyFill="1" applyBorder="1" applyAlignment="1">
      <alignment vertical="center" wrapText="1"/>
    </xf>
    <xf numFmtId="0" fontId="38" fillId="7" borderId="0" xfId="0" applyFont="1" applyFill="1" applyAlignment="1">
      <alignment horizontal="center" vertical="center"/>
    </xf>
    <xf numFmtId="0" fontId="19" fillId="8" borderId="18" xfId="0" applyFont="1" applyFill="1" applyBorder="1"/>
    <xf numFmtId="3" fontId="24" fillId="8" borderId="18" xfId="0" applyNumberFormat="1" applyFont="1" applyFill="1" applyBorder="1" applyAlignment="1">
      <alignment horizontal="center"/>
    </xf>
    <xf numFmtId="3" fontId="30" fillId="8" borderId="18" xfId="0" applyNumberFormat="1" applyFont="1" applyFill="1" applyBorder="1" applyAlignment="1">
      <alignment horizontal="center"/>
    </xf>
    <xf numFmtId="167" fontId="19" fillId="8" borderId="18" xfId="0" applyNumberFormat="1" applyFont="1" applyFill="1" applyBorder="1" applyAlignment="1">
      <alignment horizontal="center"/>
    </xf>
    <xf numFmtId="0" fontId="32" fillId="9" borderId="19" xfId="0" applyFont="1" applyFill="1" applyBorder="1"/>
    <xf numFmtId="3" fontId="26" fillId="9" borderId="19" xfId="0" applyNumberFormat="1" applyFont="1" applyFill="1" applyBorder="1" applyAlignment="1">
      <alignment horizontal="center"/>
    </xf>
    <xf numFmtId="167" fontId="31" fillId="9" borderId="19" xfId="0" applyNumberFormat="1" applyFont="1" applyFill="1" applyBorder="1" applyAlignment="1">
      <alignment horizontal="center"/>
    </xf>
    <xf numFmtId="3" fontId="24" fillId="8" borderId="20" xfId="0" applyNumberFormat="1" applyFont="1" applyFill="1" applyBorder="1" applyAlignment="1">
      <alignment horizontal="center"/>
    </xf>
    <xf numFmtId="3" fontId="30" fillId="8" borderId="20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0" fontId="19" fillId="8" borderId="20" xfId="0" applyFont="1" applyFill="1" applyBorder="1"/>
    <xf numFmtId="0" fontId="19" fillId="9" borderId="20" xfId="0" applyFont="1" applyFill="1" applyBorder="1"/>
    <xf numFmtId="167" fontId="19" fillId="8" borderId="20" xfId="0" applyNumberFormat="1" applyFont="1" applyFill="1" applyBorder="1" applyAlignment="1">
      <alignment horizontal="center"/>
    </xf>
    <xf numFmtId="167" fontId="19" fillId="9" borderId="20" xfId="0" applyNumberFormat="1" applyFont="1" applyFill="1" applyBorder="1" applyAlignment="1">
      <alignment horizontal="center"/>
    </xf>
    <xf numFmtId="0" fontId="25" fillId="7" borderId="0" xfId="0" applyFont="1" applyFill="1"/>
    <xf numFmtId="0" fontId="41" fillId="4" borderId="0" xfId="0" applyFont="1" applyFill="1" applyAlignment="1">
      <alignment horizontal="center"/>
    </xf>
    <xf numFmtId="0" fontId="4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40" fillId="14" borderId="11" xfId="0" applyNumberFormat="1" applyFont="1" applyFill="1" applyBorder="1" applyAlignment="1">
      <alignment horizontal="center" vertical="center"/>
    </xf>
    <xf numFmtId="165" fontId="40" fillId="3" borderId="13" xfId="0" applyNumberFormat="1" applyFont="1" applyFill="1" applyBorder="1" applyAlignment="1">
      <alignment horizontal="center" vertical="center"/>
    </xf>
    <xf numFmtId="165" fontId="40" fillId="14" borderId="13" xfId="0" applyNumberFormat="1" applyFont="1" applyFill="1" applyBorder="1" applyAlignment="1">
      <alignment horizontal="center" vertical="center"/>
    </xf>
    <xf numFmtId="0" fontId="43" fillId="13" borderId="13" xfId="0" applyFont="1" applyFill="1" applyBorder="1" applyAlignment="1">
      <alignment horizontal="center"/>
    </xf>
    <xf numFmtId="165" fontId="43" fillId="13" borderId="13" xfId="0" applyNumberFormat="1" applyFont="1" applyFill="1" applyBorder="1" applyAlignment="1">
      <alignment horizontal="center"/>
    </xf>
    <xf numFmtId="0" fontId="43" fillId="13" borderId="13" xfId="0" applyFont="1" applyFill="1" applyBorder="1"/>
    <xf numFmtId="3" fontId="43" fillId="13" borderId="13" xfId="0" applyNumberFormat="1" applyFont="1" applyFill="1" applyBorder="1" applyAlignment="1">
      <alignment horizontal="center"/>
    </xf>
    <xf numFmtId="0" fontId="43" fillId="13" borderId="12" xfId="0" applyFont="1" applyFill="1" applyBorder="1" applyAlignment="1">
      <alignment horizontal="center"/>
    </xf>
    <xf numFmtId="165" fontId="43" fillId="13" borderId="12" xfId="0" applyNumberFormat="1" applyFont="1" applyFill="1" applyBorder="1" applyAlignment="1">
      <alignment horizontal="center"/>
    </xf>
    <xf numFmtId="0" fontId="43" fillId="13" borderId="12" xfId="0" applyFont="1" applyFill="1" applyBorder="1"/>
    <xf numFmtId="3" fontId="43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4" fillId="0" borderId="22" xfId="0" applyFont="1" applyBorder="1" applyAlignment="1">
      <alignment horizontal="center"/>
    </xf>
    <xf numFmtId="166" fontId="44" fillId="0" borderId="22" xfId="0" applyNumberFormat="1" applyFont="1" applyBorder="1" applyAlignment="1">
      <alignment horizontal="center"/>
    </xf>
    <xf numFmtId="0" fontId="0" fillId="0" borderId="22" xfId="0" applyBorder="1"/>
    <xf numFmtId="0" fontId="25" fillId="7" borderId="0" xfId="0" applyFont="1" applyFill="1" applyAlignment="1">
      <alignment horizontal="center"/>
    </xf>
    <xf numFmtId="2" fontId="0" fillId="3" borderId="0" xfId="0" applyNumberFormat="1" applyFill="1"/>
    <xf numFmtId="0" fontId="3" fillId="0" borderId="0" xfId="0" applyFont="1"/>
    <xf numFmtId="0" fontId="3" fillId="0" borderId="0" xfId="0" applyFont="1" applyAlignment="1">
      <alignment vertical="center"/>
    </xf>
    <xf numFmtId="0" fontId="47" fillId="0" borderId="0" xfId="0" applyFont="1"/>
    <xf numFmtId="0" fontId="48" fillId="0" borderId="0" xfId="0" applyFont="1"/>
    <xf numFmtId="49" fontId="14" fillId="0" borderId="0" xfId="0" applyNumberFormat="1" applyFont="1"/>
    <xf numFmtId="168" fontId="6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" fillId="4" borderId="0" xfId="0" applyFont="1" applyFill="1" applyAlignment="1">
      <alignment horizontal="center"/>
    </xf>
    <xf numFmtId="0" fontId="5" fillId="0" borderId="0" xfId="0" applyFont="1"/>
    <xf numFmtId="0" fontId="5" fillId="8" borderId="0" xfId="0" applyFont="1" applyFill="1"/>
    <xf numFmtId="0" fontId="5" fillId="8" borderId="22" xfId="0" applyFont="1" applyFill="1" applyBorder="1" applyAlignment="1">
      <alignment horizontal="center"/>
    </xf>
    <xf numFmtId="0" fontId="5" fillId="16" borderId="22" xfId="0" applyFont="1" applyFill="1" applyBorder="1" applyAlignment="1">
      <alignment horizontal="right"/>
    </xf>
    <xf numFmtId="166" fontId="5" fillId="16" borderId="22" xfId="0" applyNumberFormat="1" applyFont="1" applyFill="1" applyBorder="1" applyAlignment="1">
      <alignment horizontal="center"/>
    </xf>
    <xf numFmtId="49" fontId="6" fillId="2" borderId="23" xfId="0" applyNumberFormat="1" applyFont="1" applyFill="1" applyBorder="1" applyAlignment="1">
      <alignment horizontal="center" vertical="center"/>
    </xf>
    <xf numFmtId="0" fontId="17" fillId="7" borderId="0" xfId="0" applyFont="1" applyFill="1"/>
    <xf numFmtId="0" fontId="10" fillId="0" borderId="1" xfId="0" applyFont="1" applyBorder="1" applyAlignment="1">
      <alignment horizontal="center" vertical="center"/>
    </xf>
    <xf numFmtId="49" fontId="11" fillId="0" borderId="1" xfId="0" applyNumberFormat="1" applyFont="1" applyBorder="1" applyAlignment="1">
      <alignment vertical="center"/>
    </xf>
    <xf numFmtId="0" fontId="11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49" fontId="10" fillId="0" borderId="1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 vertical="center"/>
    </xf>
    <xf numFmtId="164" fontId="10" fillId="0" borderId="1" xfId="2" applyNumberFormat="1" applyFont="1" applyFill="1" applyBorder="1" applyAlignment="1">
      <alignment vertical="center"/>
    </xf>
    <xf numFmtId="1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vertical="center"/>
    </xf>
    <xf numFmtId="1" fontId="10" fillId="0" borderId="1" xfId="0" applyNumberFormat="1" applyFont="1" applyBorder="1" applyAlignment="1">
      <alignment vertical="center"/>
    </xf>
    <xf numFmtId="14" fontId="10" fillId="0" borderId="1" xfId="0" applyNumberFormat="1" applyFont="1" applyBorder="1" applyAlignment="1">
      <alignment horizontal="center" vertical="center"/>
    </xf>
    <xf numFmtId="164" fontId="10" fillId="0" borderId="1" xfId="2" applyNumberFormat="1" applyFont="1" applyFill="1" applyBorder="1" applyAlignment="1">
      <alignment horizontal="right" vertical="center"/>
    </xf>
    <xf numFmtId="22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vertical="center" wrapText="1"/>
    </xf>
    <xf numFmtId="49" fontId="11" fillId="0" borderId="1" xfId="0" applyNumberFormat="1" applyFont="1" applyBorder="1" applyAlignment="1">
      <alignment horizontal="left" vertical="center"/>
    </xf>
    <xf numFmtId="14" fontId="10" fillId="0" borderId="1" xfId="0" applyNumberFormat="1" applyFont="1" applyBorder="1"/>
    <xf numFmtId="0" fontId="10" fillId="0" borderId="1" xfId="0" applyFont="1" applyBorder="1"/>
    <xf numFmtId="49" fontId="11" fillId="0" borderId="1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49" fontId="11" fillId="0" borderId="2" xfId="0" applyNumberFormat="1" applyFont="1" applyBorder="1" applyAlignment="1">
      <alignment vertical="center"/>
    </xf>
    <xf numFmtId="0" fontId="10" fillId="0" borderId="2" xfId="0" applyFont="1" applyBorder="1" applyAlignment="1">
      <alignment vertical="center"/>
    </xf>
    <xf numFmtId="49" fontId="10" fillId="0" borderId="2" xfId="0" applyNumberFormat="1" applyFont="1" applyBorder="1" applyAlignment="1">
      <alignment horizontal="center" vertical="center"/>
    </xf>
    <xf numFmtId="165" fontId="10" fillId="0" borderId="2" xfId="0" applyNumberFormat="1" applyFont="1" applyBorder="1" applyAlignment="1">
      <alignment horizontal="center" vertical="center"/>
    </xf>
    <xf numFmtId="164" fontId="10" fillId="0" borderId="2" xfId="2" applyNumberFormat="1" applyFont="1" applyFill="1" applyBorder="1" applyAlignment="1">
      <alignment vertical="center"/>
    </xf>
    <xf numFmtId="1" fontId="10" fillId="0" borderId="2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49" fontId="11" fillId="0" borderId="1" xfId="0" applyNumberFormat="1" applyFont="1" applyBorder="1" applyAlignment="1">
      <alignment vertical="center" wrapText="1"/>
    </xf>
    <xf numFmtId="0" fontId="10" fillId="0" borderId="1" xfId="0" applyFont="1" applyBorder="1" applyAlignment="1">
      <alignment horizontal="center" vertical="center" wrapText="1"/>
    </xf>
    <xf numFmtId="49" fontId="10" fillId="0" borderId="1" xfId="0" applyNumberFormat="1" applyFont="1" applyBorder="1" applyAlignment="1">
      <alignment horizontal="center" vertical="center" wrapText="1"/>
    </xf>
    <xf numFmtId="0" fontId="10" fillId="0" borderId="1" xfId="0" applyFont="1" applyBorder="1" applyAlignment="1">
      <alignment wrapText="1"/>
    </xf>
    <xf numFmtId="0" fontId="10" fillId="0" borderId="2" xfId="0" applyFont="1" applyBorder="1" applyAlignment="1">
      <alignment vertical="center" wrapText="1"/>
    </xf>
    <xf numFmtId="0" fontId="10" fillId="0" borderId="2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168" fontId="10" fillId="0" borderId="1" xfId="2" applyNumberFormat="1" applyFont="1" applyFill="1" applyBorder="1" applyAlignment="1">
      <alignment vertical="center"/>
    </xf>
    <xf numFmtId="49" fontId="10" fillId="0" borderId="1" xfId="0" quotePrefix="1" applyNumberFormat="1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vertical="center"/>
    </xf>
    <xf numFmtId="49" fontId="33" fillId="0" borderId="1" xfId="0" applyNumberFormat="1" applyFont="1" applyBorder="1" applyAlignment="1">
      <alignment horizontal="center" vertical="center"/>
    </xf>
    <xf numFmtId="165" fontId="33" fillId="0" borderId="1" xfId="0" applyNumberFormat="1" applyFont="1" applyBorder="1" applyAlignment="1">
      <alignment horizontal="center" vertical="center"/>
    </xf>
    <xf numFmtId="1" fontId="33" fillId="0" borderId="1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vertical="center"/>
    </xf>
    <xf numFmtId="168" fontId="33" fillId="0" borderId="1" xfId="2" applyNumberFormat="1" applyFont="1" applyFill="1" applyBorder="1" applyAlignment="1">
      <alignment vertical="center"/>
    </xf>
    <xf numFmtId="168" fontId="10" fillId="0" borderId="1" xfId="0" applyNumberFormat="1" applyFont="1" applyBorder="1" applyAlignment="1">
      <alignment vertical="center"/>
    </xf>
    <xf numFmtId="168" fontId="10" fillId="0" borderId="2" xfId="0" applyNumberFormat="1" applyFont="1" applyBorder="1" applyAlignment="1">
      <alignment vertical="center"/>
    </xf>
    <xf numFmtId="0" fontId="10" fillId="0" borderId="2" xfId="0" applyFont="1" applyBorder="1" applyAlignment="1">
      <alignment wrapText="1"/>
    </xf>
    <xf numFmtId="168" fontId="10" fillId="0" borderId="2" xfId="2" applyNumberFormat="1" applyFont="1" applyFill="1" applyBorder="1" applyAlignment="1">
      <alignment vertical="center"/>
    </xf>
    <xf numFmtId="49" fontId="33" fillId="0" borderId="2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vertical="center" wrapText="1"/>
    </xf>
    <xf numFmtId="0" fontId="49" fillId="0" borderId="0" xfId="0" applyFont="1"/>
    <xf numFmtId="0" fontId="50" fillId="0" borderId="0" xfId="0" applyFont="1"/>
    <xf numFmtId="0" fontId="0" fillId="0" borderId="0" xfId="0" applyAlignment="1">
      <alignment horizontal="left"/>
    </xf>
    <xf numFmtId="0" fontId="6" fillId="0" borderId="1" xfId="0" applyFont="1" applyBorder="1" applyAlignment="1">
      <alignment horizontal="center" vertical="center"/>
    </xf>
    <xf numFmtId="49" fontId="10" fillId="0" borderId="2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49" fontId="33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center" vertical="center" wrapText="1"/>
    </xf>
    <xf numFmtId="165" fontId="33" fillId="0" borderId="0" xfId="0" applyNumberFormat="1" applyFont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6" fontId="10" fillId="0" borderId="2" xfId="0" applyNumberFormat="1" applyFont="1" applyBorder="1" applyAlignment="1">
      <alignment horizontal="center" vertical="center"/>
    </xf>
    <xf numFmtId="166" fontId="33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10" fillId="0" borderId="2" xfId="0" applyNumberFormat="1" applyFont="1" applyBorder="1" applyAlignment="1">
      <alignment horizontal="center" vertical="center" wrapText="1"/>
    </xf>
    <xf numFmtId="1" fontId="10" fillId="0" borderId="1" xfId="0" applyNumberFormat="1" applyFont="1" applyBorder="1" applyAlignment="1">
      <alignment horizontal="center" vertical="center" wrapText="1"/>
    </xf>
    <xf numFmtId="0" fontId="5" fillId="4" borderId="1" xfId="0" applyFont="1" applyFill="1" applyBorder="1" applyAlignment="1">
      <alignment vertical="center"/>
    </xf>
    <xf numFmtId="49" fontId="10" fillId="0" borderId="21" xfId="0" applyNumberFormat="1" applyFont="1" applyBorder="1" applyAlignment="1">
      <alignment horizontal="center" vertical="center"/>
    </xf>
    <xf numFmtId="1" fontId="44" fillId="0" borderId="1" xfId="0" applyNumberFormat="1" applyFont="1" applyBorder="1" applyAlignment="1">
      <alignment horizontal="center" vertical="center"/>
    </xf>
    <xf numFmtId="49" fontId="5" fillId="17" borderId="1" xfId="0" applyNumberFormat="1" applyFont="1" applyFill="1" applyBorder="1" applyAlignment="1">
      <alignment horizontal="center" vertical="center"/>
    </xf>
    <xf numFmtId="14" fontId="33" fillId="0" borderId="1" xfId="0" applyNumberFormat="1" applyFont="1" applyBorder="1" applyAlignment="1">
      <alignment horizontal="center" vertical="center"/>
    </xf>
    <xf numFmtId="44" fontId="33" fillId="0" borderId="1" xfId="2" applyFont="1" applyFill="1" applyBorder="1" applyAlignment="1">
      <alignment vertical="center"/>
    </xf>
    <xf numFmtId="0" fontId="33" fillId="0" borderId="0" xfId="0" applyFont="1" applyAlignment="1">
      <alignment horizontal="center" vertical="center"/>
    </xf>
    <xf numFmtId="49" fontId="33" fillId="0" borderId="1" xfId="0" applyNumberFormat="1" applyFont="1" applyBorder="1" applyAlignment="1">
      <alignment horizontal="center" vertical="center" wrapText="1"/>
    </xf>
    <xf numFmtId="0" fontId="33" fillId="0" borderId="2" xfId="0" applyFont="1" applyBorder="1" applyAlignment="1">
      <alignment horizontal="center" vertical="center"/>
    </xf>
    <xf numFmtId="0" fontId="33" fillId="0" borderId="2" xfId="0" applyFont="1" applyBorder="1" applyAlignment="1">
      <alignment vertical="center"/>
    </xf>
    <xf numFmtId="14" fontId="33" fillId="0" borderId="2" xfId="0" applyNumberFormat="1" applyFont="1" applyBorder="1" applyAlignment="1">
      <alignment horizontal="center" vertical="center"/>
    </xf>
    <xf numFmtId="168" fontId="33" fillId="0" borderId="2" xfId="2" applyNumberFormat="1" applyFont="1" applyFill="1" applyBorder="1" applyAlignment="1">
      <alignment vertical="center"/>
    </xf>
    <xf numFmtId="166" fontId="33" fillId="0" borderId="2" xfId="0" applyNumberFormat="1" applyFont="1" applyBorder="1" applyAlignment="1">
      <alignment horizontal="center" vertical="center"/>
    </xf>
    <xf numFmtId="1" fontId="33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vertical="center"/>
    </xf>
    <xf numFmtId="1" fontId="33" fillId="0" borderId="1" xfId="0" quotePrefix="1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69" fontId="33" fillId="0" borderId="2" xfId="0" applyNumberFormat="1" applyFont="1" applyBorder="1" applyAlignment="1">
      <alignment horizontal="center" vertical="center"/>
    </xf>
    <xf numFmtId="168" fontId="33" fillId="0" borderId="2" xfId="2" applyNumberFormat="1" applyFont="1" applyFill="1" applyBorder="1" applyAlignment="1">
      <alignment horizontal="center" vertical="center"/>
    </xf>
    <xf numFmtId="164" fontId="33" fillId="0" borderId="2" xfId="2" applyNumberFormat="1" applyFont="1" applyFill="1" applyBorder="1" applyAlignment="1">
      <alignment vertical="center"/>
    </xf>
    <xf numFmtId="169" fontId="33" fillId="0" borderId="1" xfId="0" applyNumberFormat="1" applyFont="1" applyBorder="1" applyAlignment="1">
      <alignment horizontal="center" vertical="center"/>
    </xf>
    <xf numFmtId="168" fontId="33" fillId="0" borderId="1" xfId="2" applyNumberFormat="1" applyFont="1" applyFill="1" applyBorder="1" applyAlignment="1">
      <alignment horizontal="center" vertical="center"/>
    </xf>
    <xf numFmtId="164" fontId="33" fillId="0" borderId="1" xfId="2" applyNumberFormat="1" applyFont="1" applyFill="1" applyBorder="1" applyAlignment="1">
      <alignment vertical="center"/>
    </xf>
    <xf numFmtId="0" fontId="17" fillId="18" borderId="0" xfId="0" applyFont="1" applyFill="1"/>
    <xf numFmtId="49" fontId="10" fillId="17" borderId="1" xfId="0" applyNumberFormat="1" applyFont="1" applyFill="1" applyBorder="1" applyAlignment="1">
      <alignment horizontal="center" vertical="center"/>
    </xf>
    <xf numFmtId="1" fontId="52" fillId="0" borderId="1" xfId="0" applyNumberFormat="1" applyFont="1" applyBorder="1" applyAlignment="1">
      <alignment horizontal="center" vertical="center"/>
    </xf>
    <xf numFmtId="1" fontId="53" fillId="0" borderId="1" xfId="0" applyNumberFormat="1" applyFont="1" applyBorder="1" applyAlignment="1">
      <alignment horizontal="center" vertical="center"/>
    </xf>
    <xf numFmtId="1" fontId="52" fillId="0" borderId="21" xfId="0" applyNumberFormat="1" applyFont="1" applyBorder="1" applyAlignment="1">
      <alignment horizontal="center" vertical="center"/>
    </xf>
    <xf numFmtId="1" fontId="52" fillId="0" borderId="2" xfId="0" applyNumberFormat="1" applyFont="1" applyBorder="1" applyAlignment="1">
      <alignment horizontal="center" vertical="center"/>
    </xf>
    <xf numFmtId="0" fontId="51" fillId="0" borderId="23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1" fontId="55" fillId="17" borderId="1" xfId="0" applyNumberFormat="1" applyFont="1" applyFill="1" applyBorder="1" applyAlignment="1">
      <alignment horizontal="center" vertical="center"/>
    </xf>
    <xf numFmtId="1" fontId="56" fillId="17" borderId="2" xfId="0" applyNumberFormat="1" applyFont="1" applyFill="1" applyBorder="1" applyAlignment="1">
      <alignment horizontal="center" vertical="center"/>
    </xf>
    <xf numFmtId="1" fontId="57" fillId="17" borderId="1" xfId="0" applyNumberFormat="1" applyFont="1" applyFill="1" applyBorder="1" applyAlignment="1">
      <alignment horizontal="center" vertical="center"/>
    </xf>
    <xf numFmtId="0" fontId="2" fillId="0" borderId="0" xfId="0" applyFont="1"/>
    <xf numFmtId="0" fontId="1" fillId="0" borderId="0" xfId="0" applyFont="1"/>
    <xf numFmtId="0" fontId="21" fillId="5" borderId="0" xfId="0" applyFont="1" applyFill="1" applyAlignment="1">
      <alignment horizontal="center"/>
    </xf>
    <xf numFmtId="0" fontId="0" fillId="0" borderId="0" xfId="0"/>
    <xf numFmtId="0" fontId="18" fillId="7" borderId="0" xfId="0" applyFont="1" applyFill="1" applyAlignment="1">
      <alignment horizontal="center"/>
    </xf>
    <xf numFmtId="0" fontId="17" fillId="5" borderId="5" xfId="0" applyFont="1" applyFill="1" applyBorder="1" applyAlignment="1">
      <alignment horizontal="center"/>
    </xf>
    <xf numFmtId="0" fontId="17" fillId="5" borderId="7" xfId="0" applyFont="1" applyFill="1" applyBorder="1" applyAlignment="1">
      <alignment horizontal="center"/>
    </xf>
    <xf numFmtId="0" fontId="17" fillId="10" borderId="5" xfId="0" applyFont="1" applyFill="1" applyBorder="1" applyAlignment="1">
      <alignment horizontal="center"/>
    </xf>
    <xf numFmtId="0" fontId="17" fillId="10" borderId="7" xfId="0" applyFont="1" applyFill="1" applyBorder="1" applyAlignment="1">
      <alignment horizontal="center"/>
    </xf>
    <xf numFmtId="0" fontId="34" fillId="7" borderId="0" xfId="0" applyFont="1" applyFill="1" applyAlignment="1">
      <alignment horizontal="left"/>
    </xf>
    <xf numFmtId="0" fontId="36" fillId="8" borderId="14" xfId="0" applyFont="1" applyFill="1" applyBorder="1" applyAlignment="1">
      <alignment horizontal="center" vertical="center"/>
    </xf>
    <xf numFmtId="0" fontId="36" fillId="8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5" fillId="0" borderId="0" xfId="0" applyFont="1"/>
    <xf numFmtId="0" fontId="16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26</c:v>
                </c:pt>
                <c:pt idx="1">
                  <c:v>27</c:v>
                </c:pt>
                <c:pt idx="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1121</c:v>
                </c:pt>
                <c:pt idx="1">
                  <c:v>1719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8</c:v>
                </c:pt>
                <c:pt idx="5">
                  <c:v>18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/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37" activePane="bottomLeft" state="frozen"/>
      <selection pane="bottomLeft" activeCell="C751" sqref="C75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2026-098</v>
      </c>
    </row>
    <row r="4" spans="1:23" ht="15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x14ac:dyDescent="0.25">
      <c r="A699" s="155" t="s">
        <v>2869</v>
      </c>
      <c r="B699" s="136">
        <v>2026</v>
      </c>
      <c r="C699" s="153" t="s">
        <v>23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x14ac:dyDescent="0.25">
      <c r="A709" s="155" t="s">
        <v>2911</v>
      </c>
      <c r="B709" s="136">
        <v>2026</v>
      </c>
      <c r="C709" s="153" t="s">
        <v>23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23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>
        <v>15</v>
      </c>
      <c r="O718" s="157">
        <v>14</v>
      </c>
      <c r="P718" s="157">
        <v>0</v>
      </c>
      <c r="Q718" s="157">
        <v>0</v>
      </c>
      <c r="R718" s="157">
        <f t="shared" si="14"/>
        <v>14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89" t="s">
        <v>3036</v>
      </c>
      <c r="J741" s="189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51" si="16">IF(B744="","",SUM(O744:Q744))</f>
        <v>0</v>
      </c>
      <c r="S744" s="153">
        <v>20</v>
      </c>
      <c r="T744" s="154" t="s">
        <v>3048</v>
      </c>
      <c r="U744" s="210"/>
    </row>
    <row r="745" spans="1:21" ht="15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x14ac:dyDescent="0.25">
      <c r="A748" s="155" t="s">
        <v>3263</v>
      </c>
      <c r="B748" s="153">
        <v>2026</v>
      </c>
      <c r="C748" s="153" t="s">
        <v>23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>
        <v>0</v>
      </c>
      <c r="P748" s="157">
        <v>34</v>
      </c>
      <c r="Q748" s="157">
        <v>0</v>
      </c>
      <c r="R748" s="157">
        <f t="shared" si="16"/>
        <v>34</v>
      </c>
      <c r="S748" s="153">
        <v>20</v>
      </c>
      <c r="T748" s="154" t="s">
        <v>3270</v>
      </c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>
        <f t="shared" si="16"/>
        <v>0</v>
      </c>
      <c r="S749" s="153">
        <v>20</v>
      </c>
      <c r="T749" s="154" t="s">
        <v>3270</v>
      </c>
      <c r="U749" s="210"/>
    </row>
    <row r="750" spans="1:21" ht="15" x14ac:dyDescent="0.25">
      <c r="A750" s="155" t="s">
        <v>3271</v>
      </c>
      <c r="B750" s="153">
        <v>2026</v>
      </c>
      <c r="C750" s="153" t="s">
        <v>2870</v>
      </c>
      <c r="D750" s="153" t="s">
        <v>3272</v>
      </c>
      <c r="E750" s="158" t="s">
        <v>3273</v>
      </c>
      <c r="F750" s="169" t="s">
        <v>70</v>
      </c>
      <c r="G750" s="154" t="s">
        <v>80</v>
      </c>
      <c r="H750" s="155" t="s">
        <v>3274</v>
      </c>
      <c r="I750" s="189">
        <v>46336</v>
      </c>
      <c r="J750" s="189">
        <v>46338</v>
      </c>
      <c r="K750" s="153" t="s">
        <v>39</v>
      </c>
      <c r="L750" s="159">
        <v>0</v>
      </c>
      <c r="M750" s="181"/>
      <c r="N750" s="157">
        <v>20</v>
      </c>
      <c r="O750" s="157"/>
      <c r="P750" s="157"/>
      <c r="Q750" s="157"/>
      <c r="R750" s="157">
        <f t="shared" si="16"/>
        <v>0</v>
      </c>
      <c r="S750" s="153">
        <v>8</v>
      </c>
      <c r="T750" s="154" t="s">
        <v>3111</v>
      </c>
      <c r="U750" s="210"/>
    </row>
    <row r="751" spans="1:21" ht="15" x14ac:dyDescent="0.25">
      <c r="A751" s="155" t="s">
        <v>3275</v>
      </c>
      <c r="B751" s="153">
        <v>2026</v>
      </c>
      <c r="C751" s="153" t="s">
        <v>2870</v>
      </c>
      <c r="D751" s="153" t="s">
        <v>3276</v>
      </c>
      <c r="E751" s="158" t="s">
        <v>3277</v>
      </c>
      <c r="F751" s="169" t="s">
        <v>25</v>
      </c>
      <c r="G751" s="154" t="s">
        <v>2795</v>
      </c>
      <c r="H751" s="155" t="s">
        <v>2990</v>
      </c>
      <c r="I751" s="189">
        <v>46316</v>
      </c>
      <c r="J751" s="189">
        <v>46316</v>
      </c>
      <c r="K751" s="153" t="s">
        <v>39</v>
      </c>
      <c r="L751" s="159">
        <v>0</v>
      </c>
      <c r="M751" s="181"/>
      <c r="N751" s="157">
        <v>20</v>
      </c>
      <c r="O751" s="157"/>
      <c r="P751" s="157"/>
      <c r="Q751" s="157"/>
      <c r="R751" s="157">
        <f t="shared" si="16"/>
        <v>0</v>
      </c>
      <c r="S751" s="153">
        <v>5</v>
      </c>
      <c r="T751" s="154" t="s">
        <v>2797</v>
      </c>
      <c r="U751" s="210"/>
    </row>
    <row r="752" spans="1:21" ht="15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8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AA97" sqref="AA97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6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4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5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Realizado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L74">
        <f ca="1"/>
        <v>2026</v>
      </c>
      <c r="M74" t="str">
        <f ca="1"/>
        <v>2026-097</v>
      </c>
      <c r="N74" t="str">
        <f ca="1"/>
        <v>A realizar</v>
      </c>
      <c r="O74" t="str">
        <f ca="1"/>
        <v>Oficina de Avaliação em T&amp;D</v>
      </c>
      <c r="P74">
        <f ca="1"/>
        <v>5</v>
      </c>
      <c r="Q74" t="str">
        <f ca="1"/>
        <v>Paulo José Góes Daltro</v>
      </c>
      <c r="R74">
        <f ca="1"/>
        <v>1</v>
      </c>
      <c r="S74">
        <f ca="1"/>
        <v>160</v>
      </c>
      <c r="T74">
        <f ca="1"/>
        <v>159</v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T75">
        <f ca="1"/>
        <v>160</v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s="219" t="s">
        <v>3271</v>
      </c>
      <c r="Y95" s="219" t="s">
        <v>3111</v>
      </c>
      <c r="Z95">
        <v>0</v>
      </c>
      <c r="AA95">
        <v>0</v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  <c r="X96" s="220" t="s">
        <v>3275</v>
      </c>
      <c r="Y96" s="220" t="s">
        <v>2797</v>
      </c>
      <c r="Z96">
        <v>0</v>
      </c>
      <c r="AA96">
        <v>0</v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Realizado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Realizado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:19" x14ac:dyDescent="0.25">
      <c r="A161">
        <f ca="1"/>
        <v>2026</v>
      </c>
      <c r="B161" t="str">
        <f ca="1"/>
        <v>2026-097</v>
      </c>
      <c r="C161" t="str">
        <f ca="1"/>
        <v>A realizar</v>
      </c>
      <c r="D161" t="str">
        <f ca="1"/>
        <v>Oficina de Avaliação em T&amp;D</v>
      </c>
      <c r="E161">
        <f ca="1"/>
        <v>5</v>
      </c>
      <c r="F161" t="str">
        <f ca="1"/>
        <v>Paulo José Góes Daltro</v>
      </c>
      <c r="G161">
        <f ca="1"/>
        <v>1</v>
      </c>
      <c r="H161">
        <f ca="1"/>
        <v>0</v>
      </c>
      <c r="I161">
        <f ca="1"/>
        <v>0</v>
      </c>
      <c r="J161">
        <f ca="1"/>
        <v>0</v>
      </c>
      <c r="R161" t="str">
        <f ca="1"/>
        <v/>
      </c>
      <c r="S161" t="str">
        <f ca="1"/>
        <v/>
      </c>
    </row>
    <row r="162" spans="1:19" x14ac:dyDescent="0.25">
      <c r="R162" t="str">
        <f ca="1"/>
        <v/>
      </c>
      <c r="S162" t="str">
        <f ca="1"/>
        <v/>
      </c>
    </row>
    <row r="163" spans="1:19" x14ac:dyDescent="0.25">
      <c r="R163" t="str">
        <f ca="1"/>
        <v/>
      </c>
      <c r="S163" t="str">
        <f ca="1"/>
        <v/>
      </c>
    </row>
    <row r="164" spans="1:19" x14ac:dyDescent="0.25">
      <c r="R164" t="str">
        <f ca="1"/>
        <v/>
      </c>
      <c r="S164" t="str">
        <f ca="1"/>
        <v/>
      </c>
    </row>
    <row r="165" spans="1:19" x14ac:dyDescent="0.25">
      <c r="R165" t="str">
        <f ca="1"/>
        <v/>
      </c>
      <c r="S165" t="str">
        <f ca="1"/>
        <v/>
      </c>
    </row>
    <row r="166" spans="1:19" x14ac:dyDescent="0.25">
      <c r="R166" t="str">
        <f ca="1"/>
        <v/>
      </c>
      <c r="S166" t="str">
        <f ca="1"/>
        <v/>
      </c>
    </row>
    <row r="167" spans="1:19" x14ac:dyDescent="0.25">
      <c r="R167" t="str">
        <f ca="1"/>
        <v/>
      </c>
      <c r="S167" t="str">
        <f ca="1"/>
        <v/>
      </c>
    </row>
    <row r="168" spans="1:19" x14ac:dyDescent="0.25">
      <c r="R168" t="str">
        <f ca="1"/>
        <v/>
      </c>
      <c r="S168" t="str">
        <f ca="1"/>
        <v/>
      </c>
    </row>
    <row r="169" spans="1:19" x14ac:dyDescent="0.25">
      <c r="R169" t="str">
        <f ca="1"/>
        <v/>
      </c>
      <c r="S169" t="str">
        <f ca="1"/>
        <v/>
      </c>
    </row>
    <row r="170" spans="1:19" x14ac:dyDescent="0.25">
      <c r="R170" t="str">
        <f ca="1"/>
        <v/>
      </c>
      <c r="S170" t="str">
        <f ca="1"/>
        <v/>
      </c>
    </row>
    <row r="171" spans="1:19" x14ac:dyDescent="0.25">
      <c r="R171" t="str">
        <f ca="1"/>
        <v/>
      </c>
      <c r="S171" t="str">
        <f ca="1"/>
        <v/>
      </c>
    </row>
    <row r="172" spans="1:19" x14ac:dyDescent="0.25">
      <c r="R172" t="str">
        <f ca="1"/>
        <v/>
      </c>
      <c r="S172" t="str">
        <f ca="1"/>
        <v/>
      </c>
    </row>
    <row r="173" spans="1:19" x14ac:dyDescent="0.25">
      <c r="R173" t="str">
        <f ca="1"/>
        <v/>
      </c>
      <c r="S173" t="str">
        <f ca="1"/>
        <v/>
      </c>
    </row>
    <row r="174" spans="1:19" x14ac:dyDescent="0.25">
      <c r="R174" t="str">
        <f ca="1"/>
        <v/>
      </c>
      <c r="S174" t="str">
        <f ca="1"/>
        <v/>
      </c>
    </row>
    <row r="175" spans="1:19" x14ac:dyDescent="0.25">
      <c r="R175" t="str">
        <f ca="1"/>
        <v/>
      </c>
      <c r="S175" t="str">
        <f ca="1"/>
        <v/>
      </c>
    </row>
    <row r="176" spans="1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3" t="s">
        <v>3155</v>
      </c>
      <c r="B1" s="223"/>
      <c r="C1" s="223"/>
      <c r="D1" s="223"/>
      <c r="E1" s="223"/>
      <c r="F1" s="223"/>
      <c r="G1" s="223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4" t="s">
        <v>3156</v>
      </c>
      <c r="B4" s="225"/>
      <c r="D4" s="226" t="s">
        <v>3157</v>
      </c>
      <c r="E4" s="227"/>
      <c r="G4" s="44" t="s">
        <v>3158</v>
      </c>
    </row>
    <row r="5" spans="1:7" ht="54.95" customHeight="1" thickBot="1" x14ac:dyDescent="0.75">
      <c r="A5" s="34">
        <f>COUNTIF('Ações InCompany'!B:B,2026)</f>
        <v>95</v>
      </c>
      <c r="B5" s="35" t="s">
        <v>3159</v>
      </c>
      <c r="D5" s="42">
        <f>COUNTIFS('Ações InCompany'!B:B,2026,'Ações InCompany'!C:C,"Realizado")</f>
        <v>71</v>
      </c>
      <c r="E5" s="43" t="s">
        <v>3159</v>
      </c>
      <c r="G5" s="45">
        <f>COUNTIFS('Ações InCompany'!B:B,2026,'Ações InCompany'!C:C,"A realizar")</f>
        <v>15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1" t="s">
        <v>3160</v>
      </c>
      <c r="B8" s="221"/>
      <c r="D8" s="221" t="s">
        <v>3161</v>
      </c>
      <c r="E8" s="221"/>
    </row>
    <row r="9" spans="1:7" ht="5.0999999999999996" customHeight="1" x14ac:dyDescent="0.25">
      <c r="A9" s="222"/>
      <c r="B9" s="222"/>
      <c r="D9" s="222"/>
      <c r="E9" s="222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26</v>
      </c>
      <c r="D11" s="28" t="s">
        <v>3165</v>
      </c>
      <c r="E11" s="29">
        <f>SUMIFS('Ações InCompany'!O:O,'Ações InCompany'!B:B,2026,'Ações InCompany'!C:C,"Realizado")</f>
        <v>1121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1719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18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71</v>
      </c>
      <c r="D14" s="32" t="s">
        <v>3169</v>
      </c>
      <c r="E14" s="33">
        <f>SUM(E11:E13)</f>
        <v>3647</v>
      </c>
    </row>
    <row r="30" spans="1:5" ht="17.25" x14ac:dyDescent="0.3">
      <c r="A30" s="221" t="s">
        <v>3170</v>
      </c>
      <c r="B30" s="221"/>
      <c r="C30" s="221"/>
      <c r="D30" s="221"/>
      <c r="E30" s="221"/>
    </row>
    <row r="31" spans="1:5" ht="5.0999999999999996" customHeight="1" x14ac:dyDescent="0.25">
      <c r="A31" s="222"/>
      <c r="B31" s="222"/>
      <c r="C31" s="222"/>
      <c r="D31" s="222"/>
      <c r="E31" s="222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23</v>
      </c>
      <c r="E33" s="37">
        <f t="shared" ref="E33:E44" si="1">D33/$D$45</f>
        <v>0.26744186046511625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4.6511627906976744E-2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0.10465116279069768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1</v>
      </c>
      <c r="D36" s="38">
        <f t="shared" si="0"/>
        <v>3</v>
      </c>
      <c r="E36" s="39">
        <f t="shared" si="1"/>
        <v>3.4883720930232558E-2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8</v>
      </c>
      <c r="C37" s="46">
        <f>COUNTIFS('Ações InCompany'!B:B,2026,'Ações InCompany'!C:C,"A realizar",'Ações InCompany'!G:G,A37)</f>
        <v>2</v>
      </c>
      <c r="D37" s="36">
        <f t="shared" si="0"/>
        <v>10</v>
      </c>
      <c r="E37" s="37">
        <f t="shared" si="1"/>
        <v>0.11627906976744186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18</v>
      </c>
      <c r="C38" s="47">
        <f>COUNTIFS('Ações InCompany'!B:B,2026,'Ações InCompany'!C:C,"A realizar",'Ações InCompany'!G:G,A38)</f>
        <v>4</v>
      </c>
      <c r="D38" s="38">
        <f t="shared" si="0"/>
        <v>22</v>
      </c>
      <c r="E38" s="39">
        <f t="shared" si="1"/>
        <v>0.2558139534883721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4.6511627906976744E-2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2.3255813953488372E-2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8.1395348837209308E-2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2.3255813953488372E-2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71</v>
      </c>
      <c r="C45" s="40">
        <f>SUM(C33:C44)</f>
        <v>15</v>
      </c>
      <c r="D45" s="40">
        <f>SUM(D33:D44)</f>
        <v>86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8" t="s">
        <v>3221</v>
      </c>
      <c r="B1" s="228"/>
      <c r="C1" s="228"/>
      <c r="D1" s="228"/>
      <c r="E1" s="228"/>
      <c r="F1" s="228"/>
      <c r="G1" s="228"/>
      <c r="H1" s="228"/>
    </row>
    <row r="2" spans="1:8" x14ac:dyDescent="0.25">
      <c r="A2" s="48" t="s">
        <v>3222</v>
      </c>
    </row>
    <row r="4" spans="1:8" ht="21.95" customHeight="1" x14ac:dyDescent="0.25">
      <c r="A4" s="229" t="s">
        <v>3223</v>
      </c>
      <c r="B4" s="230"/>
      <c r="D4" s="229" t="s">
        <v>3224</v>
      </c>
      <c r="E4" s="230"/>
      <c r="G4" s="229" t="s">
        <v>3225</v>
      </c>
      <c r="H4" s="230"/>
    </row>
    <row r="5" spans="1:8" ht="35.1" customHeight="1" x14ac:dyDescent="0.25">
      <c r="A5" s="233">
        <f>COUNTIF('Ações InCompany'!E:E,"*maratona*")</f>
        <v>13</v>
      </c>
      <c r="B5" s="232"/>
      <c r="D5" s="231">
        <f>SUM(H8:H100)</f>
        <v>1762</v>
      </c>
      <c r="E5" s="232"/>
      <c r="G5" s="231">
        <f>IFERROR(ROUND(D5/A5,0),"-")</f>
        <v>136</v>
      </c>
      <c r="H5" s="232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4" t="s">
        <v>3231</v>
      </c>
      <c r="B1" s="234"/>
      <c r="C1" s="234"/>
      <c r="D1" s="234"/>
      <c r="E1" s="234"/>
      <c r="F1" s="234"/>
    </row>
    <row r="2" spans="1:7" x14ac:dyDescent="0.25">
      <c r="A2" s="235" t="s">
        <v>3232</v>
      </c>
      <c r="B2" s="235"/>
      <c r="C2" s="235"/>
      <c r="D2" s="235"/>
      <c r="E2" s="235"/>
      <c r="F2" s="235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3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160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www.w3.org/XML/1998/namespace"/>
    <ds:schemaRef ds:uri="http://purl.org/dc/elements/1.1/"/>
    <ds:schemaRef ds:uri="http://purl.org/dc/terms/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2026-10-23T19:53:35Z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