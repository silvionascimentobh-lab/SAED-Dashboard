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0" documentId="13_ncr:1_{6A2CC3E2-FAFB-4D8F-B284-5E8FB5045DFE}" xr6:coauthVersionLast="47" xr6:coauthVersionMax="47" xr10:uidLastSave="{78E0D952-02A0-4C32-8066-3D96918D2E7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105" i="23" l="1"/>
  <c r="A2" i="20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<sst xmlns="http://schemas.openxmlformats.org/spreadsheetml/2006/main" count="7250" uniqueCount="3186">
  <si>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</si>
  <si>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</si>
  <si>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</si>
  <si>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</si>
  <si>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</si>
  <si>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</si>
  <si>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</si>
  <si>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</si>
  <si>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</si>
  <si>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</si>
  <si>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</si>
  <si>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</si>
  <si>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</si>
  <si>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</si>
  <si>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</si>
  <si>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</si>
  <si>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</si>
  <si>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</si>
  <si>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</si>
  <si>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</si>
  <si>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</si>
  <si>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</si>
  <si>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</si>
  <si>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</si>
  <si>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</si>
  <si>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</si>
  <si>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</si>
  <si>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</si>
  <si>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</si>
  <si>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</si>
  <si>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</si>
  <si>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</si>
  <si>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</si>
  <si>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</si>
  <si>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</si>
  <si>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</si>
  <si>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</si>
  <si>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</si>
  <si>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</si>
  <si>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</si>
  <si>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</si>
  <si>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</si>
  <si>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</si>
  <si>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</si>
  <si>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</si>
  <si>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</si>
  <si>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</si>
  <si>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</si>
  <si>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</si>
  <si>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</si>
  <si>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</si>
  <si>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</si>
  <si>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</si>
  <si>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</si>
  <si>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</si>
  <si>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</si>
  <si>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</si>
  <si>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</si>
  <si>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</si>
  <si>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</si>
  <si>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</si>
  <si>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</si>
  <si>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</si>
  <si>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</si>
  <si>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</si>
  <si>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</si>
  <si>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</si>
  <si>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</si>
  <si>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</si>
  <si>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</si>
  <si>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</si>
  <si>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</si>
  <si>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</si>
  <si>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</si>
  <si>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</si>
  <si>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</si>
  <si>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</si>
  <si>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</si>
  <si>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</si>
  <si>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</si>
  <si>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</si>
  <si>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</si>
  <si>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</si>
  <si>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</si>
  <si>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</si>
  <si>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</si>
  <si>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</si>
  <si>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</si>
  <si>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</si>
  <si>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</si>
  <si>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</si>
  <si>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</si>
  <si>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</si>
  <si>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</si>
  <si>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</si>
  <si>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</si>
  <si>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</si>
  <si>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</si>
  <si>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</si>
  <si>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</si>
  <si>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</si>
  <si>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</si>
  <si>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</si>
  <si>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</si>
  <si>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</si>
  <si>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</si>
  <si>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</si>
  <si>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</si>
  <si>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</si>
  <si>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</si>
  <si>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</si>
  <si>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</si>
  <si>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</si>
  <si>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</si>
  <si>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</si>
  <si>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</si>
  <si>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</si>
  <si>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</si>
  <si>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</si>
  <si>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</si>
  <si>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</si>
  <si>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</si>
  <si>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</si>
  <si>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</si>
  <si>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</si>
  <si>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</si>
  <si>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</si>
  <si>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</si>
  <si>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</si>
  <si>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</si>
  <si>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</si>
  <si>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</si>
  <si>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</si>
  <si>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</si>
  <si>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</si>
  <si>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</si>
  <si>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</si>
  <si>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</si>
  <si>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</si>
  <si>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</si>
  <si>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</si>
  <si>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</si>
  <si>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</si>
  <si>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</si>
  <si>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</si>
  <si>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</si>
  <si>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</si>
  <si>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</si>
  <si>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</si>
  <si>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</si>
  <si>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</si>
  <si>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</si>
  <si>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</si>
  <si>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</si>
  <si>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</si>
  <si>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</si>
  <si>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</si>
  <si>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</si>
  <si>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</si>
  <si>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</si>
  <si>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</si>
  <si>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</si>
  <si>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</si>
  <si>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</si>
  <si>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</si>
  <si>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</si>
  <si>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</si>
  <si>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</si>
  <si>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</si>
  <si>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</si>
  <si>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</si>
  <si>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</si>
  <si>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</si>
  <si>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</si>
  <si>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</si>
  <si>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</si>
  <si>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</si>
  <si>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</si>
  <si>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</si>
  <si>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</si>
  <si>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</si>
  <si>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</si>
  <si>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</si>
  <si>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</si>
  <si>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</si>
  <si>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</si>
  <si>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</si>
  <si>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</si>
  <si>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</si>
  <si>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</si>
  <si>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</si>
  <si>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</si>
  <si>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</si>
  <si>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</si>
  <si>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</si>
  <si>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</si>
  <si>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</si>
  <si>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</si>
  <si>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</si>
  <si>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</si>
  <si>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</si>
  <si>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</si>
  <si>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</si>
  <si>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</si>
  <si>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</si>
  <si>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</si>
  <si>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</si>
  <si>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</si>
  <si>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</si>
  <si>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</si>
  <si>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</si>
  <si>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</si>
  <si>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</si>
  <si>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</si>
  <si>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</si>
  <si>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</si>
  <si>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</si>
  <si>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</si>
  <si>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</si>
  <si>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</si>
  <si>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</si>
  <si>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</si>
  <si>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</si>
  <si>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</si>
  <si>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</si>
  <si>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</si>
  <si>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</si>
  <si>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</si>
  <si>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</si>
  <si>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</si>
  <si>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</si>
  <si>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</si>
  <si>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</si>
  <si>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</si>
  <si>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</si>
  <si>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</si>
  <si>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</si>
  <si>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</si>
  <si>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</si>
  <si>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</si>
  <si>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</si>
  <si>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</si>
  <si>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</si>
  <si>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</si>
  <si>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</si>
  <si>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</si>
  <si>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</si>
  <si>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</si>
  <si>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</si>
  <si>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</si>
  <si>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</si>
  <si>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</si>
  <si>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</si>
  <si>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</si>
  <si>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</si>
  <si>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</si>
  <si>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</si>
  <si>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</si>
  <si>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</si>
  <si>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</si>
  <si>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</si>
  <si>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</si>
  <si>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</si>
  <si>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</si>
  <si>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</si>
  <si>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</si>
  <si>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</si>
  <si>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</si>
  <si>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</si>
  <si>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</si>
  <si>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</si>
  <si>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</si>
  <si>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</si>
  <si>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</si>
  <si>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</si>
  <si>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</si>
  <si>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</si>
  <si>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</si>
  <si>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</si>
  <si>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</si>
  <si>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</si>
  <si>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</si>
  <si>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</si>
  <si>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</si>
  <si>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</si>
  <si>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</si>
  <si>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</si>
  <si>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</si>
  <si>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</si>
  <si>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</si>
  <si>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</si>
  <si>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</si>
  <si>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</si>
  <si>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</si>
  <si>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</si>
  <si>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</si>
  <si>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</si>
  <si>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</si>
  <si>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</si>
  <si>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</si>
  <si>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</si>
  <si>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</si>
  <si>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</si>
  <si>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</si>
  <si>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</si>
  <si>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</si>
  <si>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</si>
  <si>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</si>
  <si>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</si>
  <si>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</si>
  <si>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</si>
  <si>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</si>
  <si>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</si>
  <si>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</si>
  <si>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</si>
  <si>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</si>
  <si>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</si>
  <si>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</si>
  <si>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</si>
  <si>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</si>
  <si>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</si>
  <si>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</si>
  <si>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</si>
  <si>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</si>
  <si>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</si>
  <si>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</si>
  <si>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</si>
  <si>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</si>
  <si>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</si>
  <si>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</si>
  <si>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</si>
  <si>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</si>
  <si>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</si>
  <si>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</si>
  <si>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</si>
  <si>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</si>
  <si>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</si>
  <si>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</si>
  <si>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</si>
  <si>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</si>
  <si>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</si>
  <si>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</si>
  <si>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</si>
  <si>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</si>
  <si>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</si>
  <si>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</si>
  <si>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</si>
  <si>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</si>
  <si>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</si>
  <si>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</si>
  <si>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</si>
  <si>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</si>
  <si>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</si>
  <si>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</si>
  <si>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</si>
  <si>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</si>
  <si>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</si>
  <si>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</si>
  <si>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</si>
  <si>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</si>
  <si>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</si>
  <si>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</si>
  <si>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</si>
  <si>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</si>
  <si>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</si>
  <si>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</si>
  <si>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</si>
  <si>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</si>
  <si>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</si>
  <si>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</si>
  <si>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</si>
  <si>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</si>
  <si>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</si>
  <si>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</si>
  <si>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</si>
  <si>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</si>
  <si>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</si>
  <si>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</si>
  <si>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</si>
  <si>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</si>
  <si>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</si>
  <si>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</si>
  <si>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</si>
  <si>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</si>
  <si>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</si>
  <si>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</si>
  <si>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</si>
  <si>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</si>
  <si>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</si>
  <si>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</si>
  <si>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</si>
  <si>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</si>
  <si>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</si>
  <si>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</si>
  <si>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</si>
  <si>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</si>
  <si>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</si>
  <si>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</si>
  <si>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</si>
  <si>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</si>
  <si>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</si>
  <si>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</si>
  <si>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</si>
  <si>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</si>
  <si>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</si>
  <si>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</si>
  <si>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</si>
  <si>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</si>
  <si>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</si>
  <si>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</si>
  <si>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</si>
  <si>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</si>
  <si>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</si>
  <si>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</si>
  <si>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</si>
  <si>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</si>
  <si>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</si>
  <si>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</si>
  <si>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</si>
  <si>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</si>
  <si>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</si>
  <si>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</si>
  <si>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</si>
  <si>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</si>
  <si>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</si>
  <si>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</si>
  <si>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</si>
  <si>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</si>
  <si>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</si>
  <si>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</si>
  <si>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</si>
  <si>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</si>
  <si>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</si>
  <si>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</si>
  <si>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</si>
  <si>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</si>
  <si>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</si>
  <si>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</si>
  <si>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</si>
  <si>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</si>
  <si>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</si>
  <si>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</si>
  <si>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</si>
  <si>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</si>
  <si>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</si>
  <si>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</si>
  <si>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</si>
  <si>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</si>
  <si>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</si>
  <si>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</si>
  <si>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</si>
  <si>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</si>
  <si>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</si>
  <si>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</si>
  <si>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</si>
  <si>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</si>
  <si>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</si>
  <si>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</si>
  <si>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</si>
  <si>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</si>
  <si>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</si>
  <si>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</si>
  <si>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</si>
  <si>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</si>
  <si>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</si>
  <si>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</si>
  <si>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</si>
  <si>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</si>
  <si>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</si>
  <si>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</si>
  <si>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</si>
  <si>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</si>
  <si>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</si>
  <si>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</si>
  <si>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</si>
  <si>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</si>
  <si>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</si>
  <si>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</si>
  <si>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</si>
  <si>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</si>
  <si>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</si>
  <si>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</si>
  <si>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</si>
  <si>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</si>
  <si>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</si>
  <si>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</si>
  <si>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</si>
  <si>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</si>
  <si>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</si>
  <si>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</si>
  <si>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</si>
  <si>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</si>
  <si>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</si>
  <si>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</si>
  <si>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</si>
  <si>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</si>
  <si>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</si>
  <si>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</si>
  <si>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</si>
  <si>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</si>
  <si>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</si>
  <si>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</si>
  <si>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</si>
  <si>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</si>
  <si>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</si>
  <si>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</si>
  <si>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</si>
  <si>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</si>
  <si>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</si>
  <si>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</si>
  <si>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</si>
  <si>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</si>
  <si>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</si>
  <si>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</si>
  <si>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</si>
  <si>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</si>
  <si>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</si>
  <si>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</si>
  <si>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</si>
  <si>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</si>
  <si>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</si>
  <si>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</si>
  <si>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</si>
  <si>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</si>
  <si>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</si>
  <si>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</si>
  <si>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</si>
  <si>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</si>
  <si>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</si>
  <si>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</si>
  <si>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</si>
  <si>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</si>
  <si>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</si>
  <si>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</si>
  <si>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</si>
  <si>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</si>
  <si>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</si>
  <si>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</si>
  <si>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</si>
  <si>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</si>
  <si>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</si>
  <si>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</si>
  <si>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</si>
  <si>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</si>
  <si>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</si>
  <si>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</si>
  <si>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</si>
  <si>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</si>
  <si>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</si>
  <si>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</si>
  <si>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</si>
  <si>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</si>
  <si>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</si>
  <si>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</si>
  <si>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</si>
  <si>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</si>
  <si>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</si>
  <si>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</si>
  <si>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</si>
  <si>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</si>
  <si>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</si>
  <si>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</si>
  <si>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</si>
  <si>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</si>
  <si>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</si>
  <si>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</si>
  <si>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</si>
  <si>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</si>
  <si>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</si>
  <si>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</si>
  <si>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</si>
  <si>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</si>
  <si>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</si>
  <si>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</si>
  <si>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</si>
  <si>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</si>
  <si>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</si>
  <si>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</si>
  <si>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</si>
  <si>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</si>
  <si>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</si>
  <si>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</si>
  <si>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</si>
  <si>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</si>
  <si>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</si>
  <si>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</si>
  <si>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</si>
  <si>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</si>
  <si>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</si>
  <si>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</si>
  <si>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</si>
  <si>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</si>
  <si>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</si>
  <si>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</si>
  <si>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</si>
  <si>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</si>
  <si>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</si>
  <si>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</si>
  <si>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</si>
  <si>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</si>
  <si>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</si>
  <si>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</si>
  <si>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</si>
  <si>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</si>
  <si>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</si>
  <si>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</si>
  <si>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</si>
  <si>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</si>
  <si>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</si>
  <si>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</si>
  <si>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</si>
  <si>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</si>
  <si>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</si>
  <si>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</si>
  <si>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</si>
  <si>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</si>
  <si>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</si>
  <si>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</si>
  <si>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</si>
  <si>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</si>
  <si>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</si>
  <si>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</si>
  <si>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</si>
  <si>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</si>
  <si>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</si>
  <si>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</si>
  <si>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</si>
  <si>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</si>
  <si>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</si>
  <si>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</si>
  <si>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</si>
  <si>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</si>
  <si>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</si>
  <si>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</si>
  <si>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</si>
  <si>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</si>
  <si>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</si>
  <si>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</si>
  <si>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</si>
  <si>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</si>
  <si>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</si>
  <si>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</si>
  <si>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</si>
  <si>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</si>
  <si>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</si>
  <si>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</si>
  <si>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</si>
  <si>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</si>
  <si>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</si>
  <si>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</si>
  <si>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</si>
  <si>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</si>
  <si>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</si>
  <si>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</si>
  <si>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</si>
  <si>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</si>
  <si>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</si>
  <si>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</si>
  <si>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</si>
  <si>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</si>
  <si>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</si>
  <si>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</si>
  <si>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</si>
  <si>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</si>
  <si>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</si>
  <si>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</si>
  <si>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</si>
  <si>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</si>
  <si>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</si>
  <si>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</si>
  <si>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</si>
  <si>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</si>
  <si>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</si>
  <si>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</si>
  <si>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</si>
  <si>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</si>
  <si>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</si>
  <si>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</si>
  <si>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</si>
  <si>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</si>
  <si>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</si>
  <si>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</si>
  <si>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</si>
  <si>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</si>
  <si>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</si>
  <si>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</si>
  <si>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</si>
  <si>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</si>
  <si>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</si>
  <si>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</si>
  <si>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</si>
  <si>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</si>
  <si>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</si>
  <si>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</si>
  <si>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</si>
  <si>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</si>
  <si>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</si>
  <si>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</si>
  <si>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</si>
  <si>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</si>
  <si>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</si>
  <si>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</si>
  <si>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</si>
  <si>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</si>
  <si>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</si>
  <si>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</si>
  <si>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</si>
  <si>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</si>
  <si>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</si>
  <si>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</si>
  <si>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</si>
  <si>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</si>
  <si>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</si>
  <si>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</si>
  <si>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</si>
  <si>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</si>
  <si>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</si>
  <si>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</si>
  <si>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</si>
  <si>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</si>
  <si>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</si>
  <si>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</si>
  <si>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</si>
  <si>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</si>
  <si>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</si>
  <si>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</si>
  <si>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</si>
  <si>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</si>
  <si>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</si>
  <si>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</si>
  <si>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</si>
  <si>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</si>
  <si>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</si>
  <si>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</si>
  <si>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</si>
  <si>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</si>
  <si>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</si>
  <si>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</si>
  <si>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</si>
  <si>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</si>
  <si>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</si>
  <si>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</si>
  <si>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</si>
  <si>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</si>
  <si>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</si>
  <si>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</si>
  <si>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</si>
  <si>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</si>
  <si>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</si>
  <si>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</si>
  <si>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</si>
  <si>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</si>
  <si>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</si>
  <si>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</si>
  <si>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</si>
  <si>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</si>
  <si>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</si>
  <si>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</si>
  <si>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</si>
  <si>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</si>
  <si>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</si>
  <si>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</si>
  <si>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</si>
  <si>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</si>
  <si>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</si>
  <si>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</si>
  <si>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</si>
  <si>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</si>
  <si>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</si>
  <si>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</si>
  <si>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</si>
  <si>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</si>
  <si>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</si>
  <si>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</si>
  <si>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</si>
  <si>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</si>
  <si>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</si>
  <si>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</si>
  <si>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</si>
  <si>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</si>
  <si>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</si>
  <si>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</si>
  <si>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</si>
  <si>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</si>
  <si>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</si>
  <si>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</si>
  <si>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</si>
  <si>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</si>
  <si>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</si>
  <si>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</si>
  <si>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</si>
  <si>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</si>
  <si>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</si>
  <si>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</si>
  <si>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</si>
  <si>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</si>
  <si>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</si>
  <si>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</si>
  <si>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</si>
  <si>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</si>
  <si>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</si>
  <si>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</si>
  <si>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</si>
  <si>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</si>
  <si>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</si>
  <si>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</si>
  <si>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</si>
  <si>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</si>
  <si>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</si>
  <si>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</si>
  <si>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</si>
  <si>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</si>
  <si>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</si>
  <si>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</si>
  <si>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</si>
  <si>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</si>
  <si>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</si>
  <si>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</si>
  <si>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</si>
  <si>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</si>
  <si>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</si>
  <si>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</si>
  <si>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</si>
  <si>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</si>
  <si>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</si>
  <si>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</si>
  <si>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</si>
  <si>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</si>
  <si>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</si>
  <si>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</si>
  <si>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</si>
  <si>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</si>
  <si>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</si>
  <si>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</si>
  <si>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</si>
  <si>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</si>
  <si>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</si>
  <si>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</si>
  <si>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</si>
  <si>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</si>
  <si>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</si>
  <si>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</si>
  <si>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</si>
  <si>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</si>
  <si>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</si>
  <si>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</si>
  <si>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</si>
  <si>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</si>
  <si>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</si>
  <si>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</si>
  <si>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</si>
  <si>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</si>
  <si>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</si>
  <si>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</si>
  <si>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</si>
  <si>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</si>
  <si>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</si>
  <si>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</si>
  <si>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</si>
  <si>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</si>
  <si>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</si>
  <si>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</si>
  <si>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</si>
  <si>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</si>
  <si>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</si>
  <si>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</si>
  <si>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</si>
  <si>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</si>
  <si>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</si>
  <si>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</si>
  <si>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</si>
  <si>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</si>
  <si>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</si>
  <si>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</si>
  <si>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</si>
  <si>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</si>
  <si>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</si>
  <si>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</si>
  <si>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</si>
  <si>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</si>
  <si>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</si>
  <si>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</si>
  <si>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</si>
  <si>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</si>
  <si>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</si>
  <si>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</si>
  <si>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</si>
  <si>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</si>
  <si>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</si>
  <si>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</si>
  <si>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</si>
  <si>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</si>
  <si>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</si>
  <si>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</si>
  <si>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</si>
  <si>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</si>
  <si>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</si>
  <si>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</si>
  <si>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</si>
  <si>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</si>
  <si>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</si>
  <si>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</si>
  <si>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</si>
  <si>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</si>
  <si>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</si>
  <si>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</si>
  <si>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</si>
  <si>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</si>
  <si>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</si>
  <si>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</si>
  <si>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</si>
  <si>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</si>
  <si>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</si>
  <si>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</si>
  <si>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</si>
  <si>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</si>
  <si>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</si>
  <si>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</si>
  <si>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</si>
  <si>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</si>
  <si>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</si>
  <si>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</si>
  <si>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</si>
  <si>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</si>
  <si>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</si>
  <si>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</si>
  <si>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</si>
  <si>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</si>
  <si>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</si>
  <si>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</si>
  <si>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</si>
  <si>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</si>
  <si>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</si>
  <si>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</si>
  <si>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</si>
  <si>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</si>
  <si>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</si>
  <si>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</si>
  <si>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</si>
  <si>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</si>
  <si>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</si>
  <si>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</si>
  <si>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</si>
  <si>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</si>
  <si>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</si>
  <si>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</si>
  <si>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</si>
  <si>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</si>
  <si>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</si>
  <si>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</si>
  <si>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</si>
  <si>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</si>
  <si>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</si>
  <si>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</si>
  <si>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</si>
  <si>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</si>
  <si>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</si>
  <si>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</si>
  <si>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</si>
  <si>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</si>
  <si>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</si>
  <si>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</si>
  <si>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</si>
  <si>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</si>
  <si>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</si>
  <si>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</si>
  <si>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</si>
  <si>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</si>
  <si>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</si>
  <si>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</si>
  <si>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</si>
  <si>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</si>
  <si>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</si>
  <si>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</si>
  <si>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</si>
  <si>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</si>
  <si>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</si>
  <si>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</si>
  <si>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</si>
  <si>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</si>
  <si>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</si>
  <si>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</si>
  <si>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</si>
  <si>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</si>
  <si>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</si>
  <si>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</si>
  <si>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</si>
  <si>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</si>
  <si>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</si>
  <si>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</si>
  <si>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</si>
  <si>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</si>
  <si>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</si>
  <si>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</si>
  <si>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</si>
  <si>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</si>
  <si>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</si>
  <si>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</si>
  <si>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</si>
  <si>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</si>
  <si>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</si>
  <si>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</si>
  <si>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</si>
  <si>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</si>
  <si>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</si>
  <si>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</si>
  <si>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</si>
  <si>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</si>
  <si>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</si>
  <si>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</si>
  <si>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</si>
  <si>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</si>
  <si>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</si>
  <si>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</si>
  <si>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</si>
  <si>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</si>
  <si>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</si>
  <si>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</si>
  <si>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</si>
  <si>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</si>
  <si>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</si>
  <si>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</si>
  <si>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</si>
  <si>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</si>
  <si>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</si>
  <si>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</si>
  <si>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</si>
  <si>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</si>
  <si>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</si>
  <si>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</si>
  <si>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</si>
  <si>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</si>
  <si>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</si>
  <si>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</si>
  <si>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</si>
  <si>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</si>
  <si>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</si>
  <si>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</si>
  <si>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</si>
  <si>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</si>
  <si>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</si>
  <si>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</si>
  <si>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</si>
  <si>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</si>
  <si>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</si>
  <si>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</si>
  <si>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</si>
  <si>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</si>
  <si>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</si>
  <si>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</si>
  <si>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</si>
  <si>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</si>
  <si>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</si>
  <si>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</si>
  <si>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</si>
  <si>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</si>
  <si>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</si>
  <si>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</si>
  <si>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</si>
  <si>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</si>
  <si>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</si>
  <si>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</si>
  <si>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</si>
  <si>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</si>
  <si>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</si>
  <si>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</si>
  <si>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</si>
  <si>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</si>
  <si>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</si>
  <si>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</si>
  <si>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</si>
  <si>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</si>
  <si>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</si>
  <si>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</si>
  <si>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</si>
  <si>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</si>
  <si>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</si>
  <si>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</si>
  <si>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</si>
  <si>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</si>
  <si>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</si>
  <si>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</si>
  <si>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</si>
  <si>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</si>
  <si>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</si>
  <si>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</si>
  <si>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</si>
  <si>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</si>
  <si>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</si>
  <si>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</si>
  <si>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</si>
  <si>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</si>
  <si>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</si>
  <si>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</si>
  <si>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</si>
  <si>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</si>
  <si>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</si>
  <si>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</si>
  <si>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</si>
  <si>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</si>
  <si>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</si>
  <si>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</si>
  <si>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</si>
  <si>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</si>
  <si>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</si>
  <si>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</si>
  <si>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</si>
  <si>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</si>
  <si>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</si>
  <si>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</si>
  <si>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</si>
  <si>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</si>
  <si>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</si>
  <si>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</si>
  <si>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</si>
  <si>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</si>
  <si>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</si>
  <si>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</si>
  <si>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</si>
  <si>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</si>
  <si>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</si>
  <si>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</si>
  <si>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</si>
  <si>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</si>
  <si>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</si>
  <si>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</si>
  <si>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</si>
  <si>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</si>
  <si>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</si>
  <si>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</si>
  <si>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</si>
  <si>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</si>
  <si>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</si>
  <si>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</si>
  <si>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</si>
  <si>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</si>
  <si>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</si>
  <si>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</si>
  <si>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</si>
  <si>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</si>
  <si>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</si>
  <si>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</si>
  <si>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</si>
  <si>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</si>
  <si>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</si>
  <si>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</si>
  <si>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</si>
  <si>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</si>
  <si>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</si>
  <si>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</si>
  <si>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</si>
  <si>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</si>
  <si>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</si>
  <si>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</si>
  <si>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</si>
  <si>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</si>
  <si>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</si>
  <si>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</si>
  <si>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</si>
  <si>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</si>
  <si>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</si>
  <si>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</si>
  <si>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</si>
  <si>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</si>
  <si>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</si>
  <si>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</si>
  <si>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</si>
  <si>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</si>
  <si>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</si>
  <si>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</si>
  <si>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</si>
  <si>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</si>
  <si>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</si>
  <si>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</si>
  <si>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</si>
  <si>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</si>
  <si>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</si>
  <si>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</si>
  <si>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</si>
  <si>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</si>
  <si>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</si>
  <si>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</si>
  <si>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</si>
  <si>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</si>
  <si>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</si>
  <si>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</si>
  <si>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</si>
  <si>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</si>
  <si>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</si>
  <si>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</si>
  <si>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</si>
  <si>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</si>
  <si>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</si>
  <si>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</si>
  <si>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</si>
  <si>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</si>
  <si>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</si>
  <si>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</si>
  <si>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</si>
  <si>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</si>
  <si>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</si>
  <si>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</si>
  <si>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</si>
  <si>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</si>
  <si>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</si>
  <si>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</si>
  <si>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</si>
  <si>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</si>
  <si>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</si>
  <si>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</si>
  <si>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</si>
  <si>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</si>
  <si>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</si>
  <si>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</si>
  <si>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</si>
  <si>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</si>
  <si>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</si>
  <si>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</si>
  <si>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</si>
  <si>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</si>
  <si>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</si>
  <si>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</si>
  <si>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</si>
  <si>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</si>
  <si>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</si>
  <si>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</si>
  <si>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</si>
  <si>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</si>
  <si>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</si>
  <si>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</si>
  <si>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</si>
  <si>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</si>
  <si>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</si>
  <si>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</si>
  <si>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</si>
  <si>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</si>
  <si>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</si>
  <si>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</si>
  <si>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</si>
  <si>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</si>
  <si>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</si>
  <si>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</si>
  <si>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</si>
  <si>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</si>
  <si>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</si>
  <si>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</si>
  <si>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</si>
  <si>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</si>
  <si>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</si>
  <si>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</si>
  <si>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</si>
  <si>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</si>
  <si>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</si>
  <si>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</si>
  <si>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</si>
  <si>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</si>
  <si>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</si>
  <si>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</si>
  <si>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</si>
  <si>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</si>
  <si>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</si>
  <si>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</si>
  <si>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</si>
  <si>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</si>
  <si>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</si>
  <si>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</si>
  <si>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</si>
  <si>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</si>
  <si>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</si>
  <si>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</si>
  <si>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</si>
  <si>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</si>
  <si>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</si>
  <si>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</si>
  <si>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</si>
  <si>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</si>
  <si>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</si>
  <si>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</si>
  <si>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</si>
  <si>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</si>
  <si>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</si>
  <si>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</si>
  <si>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</si>
  <si>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</si>
  <si>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</si>
  <si>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</si>
  <si>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</si>
  <si>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</si>
  <si>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</si>
  <si>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</si>
  <si>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</si>
  <si>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</si>
  <si>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</si>
  <si>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</si>
  <si>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</si>
  <si>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</si>
  <si>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</si>
  <si>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</si>
  <si>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</si>
  <si>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</si>
  <si>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</si>
  <si>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</si>
  <si>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</si>
  <si>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</si>
  <si>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</si>
  <si>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</si>
  <si>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</si>
  <si>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</si>
  <si>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</si>
  <si>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</si>
  <si>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</si>
  <si>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</si>
  <si>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</si>
  <si>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</si>
  <si>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</si>
  <si>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</si>
  <si>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</si>
  <si>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</si>
  <si>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</si>
  <si>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</si>
  <si>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</si>
  <si>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</si>
  <si>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</si>
  <si>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</si>
  <si>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</si>
  <si>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</si>
  <si>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</si>
  <si>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</si>
  <si>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</si>
  <si>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</si>
  <si>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</si>
  <si>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</si>
  <si>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</si>
  <si>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</si>
  <si>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</si>
  <si>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</si>
  <si>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</si>
  <si>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</si>
  <si>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</si>
  <si>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</si>
  <si>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</si>
  <si>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</si>
  <si>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</si>
  <si>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</si>
  <si>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</si>
  <si>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</si>
  <si>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</si>
  <si>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</si>
  <si>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</si>
  <si>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</si>
  <si>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</si>
  <si>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</si>
  <si>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</si>
  <si>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</si>
  <si>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</si>
  <si>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</si>
  <si>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</si>
  <si>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</si>
  <si>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</si>
  <si>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</si>
  <si>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</si>
  <si>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</si>
  <si>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</si>
  <si>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</si>
  <si>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</si>
  <si>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</si>
  <si>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</si>
  <si>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</si>
  <si>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</si>
  <si>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</si>
  <si>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</si>
  <si>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</si>
  <si>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</si>
  <si>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</si>
  <si>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</si>
  <si>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</si>
  <si>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</si>
  <si>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</si>
  <si>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</si>
  <si>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</si>
  <si>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</si>
  <si>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</si>
  <si>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</si>
  <si>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</si>
  <si>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</si>
  <si>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</si>
  <si>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</si>
  <si>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</si>
  <si>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</si>
  <si>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</si>
  <si>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</si>
  <si>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</si>
  <si>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</si>
  <si>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</si>
  <si>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</si>
  <si>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</si>
  <si>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</si>
  <si>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</si>
  <si>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</si>
  <si>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</si>
  <si>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</si>
  <si>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</si>
  <si>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</si>
  <si>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</si>
  <si>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</si>
  <si>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</si>
  <si>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</si>
  <si>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</si>
  <si>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</si>
  <si>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</si>
  <si>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</si>
  <si>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</si>
  <si>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</si>
  <si>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</si>
  <si>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</si>
  <si>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</si>
  <si>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</si>
  <si>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</si>
  <si>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</si>
  <si>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</si>
  <si>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</si>
  <si>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</si>
  <si>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</si>
  <si>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</si>
  <si>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</si>
  <si>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</si>
  <si>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</si>
  <si>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</si>
  <si>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</si>
  <si>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</si>
  <si>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</si>
  <si>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</si>
  <si>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</si>
  <si>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</si>
  <si>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</si>
  <si>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</si>
  <si>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</si>
  <si>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</si>
  <si>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</si>
  <si>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</si>
  <si>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</si>
  <si>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</si>
  <si>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</si>
  <si>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</si>
  <si>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</si>
  <si>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</si>
  <si>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</si>
  <si>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</si>
  <si>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</si>
  <si>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</si>
  <si>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</si>
  <si>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</si>
  <si>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</si>
  <si>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</si>
  <si>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</si>
  <si>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</si>
  <si>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</si>
  <si>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</si>
  <si>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</si>
  <si>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</si>
  <si>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</si>
  <si>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</si>
  <si>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</si>
  <si>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</si>
  <si>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</si>
  <si>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</si>
  <si>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</si>
  <si>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</si>
  <si>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</si>
  <si>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</si>
  <si>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</si>
  <si>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</si>
  <si>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</si>
  <si>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</si>
  <si>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</si>
  <si>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</si>
  <si>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</si>
  <si>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</si>
  <si>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</si>
  <si>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</si>
  <si>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</si>
  <si>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</si>
  <si>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</si>
  <si>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</si>
  <si>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</si>
  <si>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</si>
  <si>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</si>
  <si>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</si>
  <si>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</si>
  <si>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</si>
  <si>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</si>
  <si>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</si>
  <si>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</si>
  <si>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</si>
  <si>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</si>
  <si>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</si>
  <si>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</si>
  <si>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</si>
  <si>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</si>
  <si>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</si>
  <si>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</si>
  <si>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</si>
  <si>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</si>
  <si>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</si>
  <si>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</si>
  <si>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</si>
  <si>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</si>
  <si>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</si>
  <si>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</si>
  <si>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</si>
  <si>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</si>
  <si>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</si>
  <si>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</si>
  <si>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</si>
  <si>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</si>
  <si>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</si>
  <si>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</si>
  <si>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</si>
  <si>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</si>
  <si>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</si>
  <si>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</si>
  <si>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</si>
  <si>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</si>
  <si>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</si>
  <si>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</si>
  <si>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</si>
  <si>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</si>
  <si>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</si>
  <si>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</si>
  <si>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</si>
  <si>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</si>
  <si>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</si>
  <si>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</si>
  <si>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</si>
  <si>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</si>
  <si>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</si>
  <si>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</si>
  <si>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</si>
  <si>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</si>
  <si>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</si>
  <si>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</si>
  <si>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</si>
  <si>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</si>
  <si>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</si>
  <si>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</si>
  <si>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</si>
  <si>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</si>
  <si>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</si>
  <si>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</si>
  <si>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</si>
  <si>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</si>
  <si>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</si>
  <si>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</si>
  <si>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</si>
  <si>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</si>
  <si>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</si>
  <si>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</si>
  <si>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</si>
  <si>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</si>
  <si>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</si>
  <si>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</si>
  <si>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</si>
  <si>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</si>
  <si>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</si>
  <si>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</si>
  <si>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</si>
  <si>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</si>
  <si>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</si>
  <si>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</si>
  <si>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</si>
  <si>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</si>
  <si>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</si>
  <si>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</si>
  <si>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</si>
  <si>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</si>
  <si>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</si>
  <si>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</si>
  <si>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</si>
  <si>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</si>
  <si>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</si>
  <si>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</si>
  <si>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</si>
  <si>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</si>
  <si>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</si>
  <si>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</si>
  <si>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</si>
  <si>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</si>
  <si>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</si>
  <si>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</si>
  <si>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</si>
  <si>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</si>
  <si>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</si>
  <si>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</si>
  <si>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</si>
  <si>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</si>
  <si>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</si>
  <si>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</si>
  <si>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</si>
  <si>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</si>
  <si>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</si>
  <si>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</si>
  <si>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</si>
  <si>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</si>
  <si>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</si>
  <si>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</si>
  <si>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</si>
  <si>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</si>
  <si>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</si>
  <si>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</si>
  <si>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</si>
  <si>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</si>
  <si>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</si>
  <si>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</si>
  <si>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</si>
  <si>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</si>
  <si>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</si>
  <si>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</si>
  <si>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</si>
  <si>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</si>
  <si>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</si>
  <si>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</si>
  <si>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</si>
  <si>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</si>
  <si>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</si>
  <si>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</si>
  <si>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</si>
  <si>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</si>
  <si>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</si>
  <si>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</si>
  <si>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</si>
  <si>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</si>
  <si>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</si>
  <si>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</si>
  <si>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</si>
  <si>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</si>
  <si>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</si>
  <si>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</si>
  <si>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</si>
  <si>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</si>
  <si>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</si>
  <si>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</si>
  <si>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</si>
  <si>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</si>
  <si>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</si>
  <si>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</si>
  <si>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</si>
  <si>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</si>
  <si>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</si>
  <si>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</si>
  <si>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</si>
  <si>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</si>
  <si>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</si>
  <si>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</si>
  <si>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</si>
  <si>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</si>
  <si>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</si>
  <si>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</si>
  <si>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</si>
  <si>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</si>
  <si>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</si>
  <si>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</si>
  <si>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</si>
  <si>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</si>
  <si>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</si>
  <si>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</si>
  <si>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</si>
  <si>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</si>
  <si>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</si>
  <si>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</si>
  <si>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</si>
  <si>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</si>
  <si>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</si>
  <si>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</si>
  <si>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</si>
  <si>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</si>
  <si>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</si>
  <si>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</si>
  <si>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</si>
  <si>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</si>
  <si>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</si>
  <si>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</si>
  <si>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</si>
  <si>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</si>
  <si>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</si>
  <si>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</si>
  <si>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</si>
  <si>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</si>
  <si>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</si>
  <si>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</si>
  <si>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</si>
  <si>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</si>
  <si>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</si>
  <si>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</si>
  <si>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</si>
  <si>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</si>
  <si>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</si>
  <si>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</si>
  <si>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</si>
  <si>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</si>
  <si>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</si>
  <si>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</si>
  <si>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</si>
  <si>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</si>
  <si>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</si>
  <si>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</si>
  <si>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</si>
  <si>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</si>
  <si>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</si>
  <si>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</si>
  <si>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</si>
  <si>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</si>
  <si>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</si>
  <si>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</si>
  <si>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</si>
  <si>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</si>
  <si>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</si>
  <si>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</si>
  <si>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</si>
  <si>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</si>
  <si>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</si>
  <si>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</si>
  <si>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</si>
  <si>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</si>
  <si>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</si>
  <si>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</si>
  <si>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</si>
  <si>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</si>
  <si>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</si>
  <si>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</si>
  <si>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</si>
  <si>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</si>
  <si>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</si>
  <si>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</si>
  <si>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</si>
  <si>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</si>
  <si>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</si>
  <si>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</si>
  <si>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</si>
  <si>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</si>
  <si>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</si>
  <si>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</si>
  <si>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</si>
  <si>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</si>
  <si>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</si>
  <si>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</si>
  <si>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</si>
  <si>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</si>
  <si>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</si>
  <si>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</si>
  <si>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</si>
  <si>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</si>
  <si>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</si>
  <si>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</si>
  <si>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</si>
  <si>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</si>
  <si>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</si>
  <si>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</si>
  <si>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</si>
  <si>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</si>
  <si>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</si>
  <si>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</si>
  <si>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</si>
  <si>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</si>
  <si>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</si>
  <si>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</si>
  <si>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</si>
  <si>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</si>
  <si>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</si>
  <si>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</si>
  <si>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</si>
  <si>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</si>
  <si>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</si>
  <si>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</si>
  <si>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</si>
  <si>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</si>
  <si>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</si>
  <si>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</si>
  <si>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</si>
  <si>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</si>
  <si>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</si>
  <si>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</si>
  <si>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</si>
  <si>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</si>
  <si>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</si>
  <si>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</si>
  <si>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</si>
  <si>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</si>
  <si>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</si>
  <si>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</si>
  <si>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</si>
  <si>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</si>
  <si>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</si>
  <si>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</si>
  <si>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</si>
  <si>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</si>
  <si>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</si>
  <si>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</si>
  <si>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</si>
  <si>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</si>
  <si>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</si>
  <si>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</si>
  <si>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</si>
  <si>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</si>
  <si>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</si>
  <si>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</si>
  <si>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</si>
  <si>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</si>
  <si>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</si>
  <si>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</si>
  <si>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</si>
  <si>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</si>
  <si>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</si>
  <si>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</si>
  <si>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</si>
  <si>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</si>
  <si>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</si>
  <si>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</si>
  <si>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</si>
  <si>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</si>
  <si>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</si>
  <si>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</si>
  <si>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</si>
  <si>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</si>
  <si>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</si>
  <si>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</si>
  <si>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</si>
  <si>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</si>
  <si>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</si>
  <si>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</si>
  <si>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</si>
  <si>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</si>
  <si>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</si>
  <si>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</si>
  <si>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</si>
  <si>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</si>
  <si>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</si>
  <si>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</si>
  <si>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</si>
  <si>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</si>
  <si>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</si>
  <si>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</si>
  <si>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</si>
  <si>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</si>
  <si>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</si>
  <si>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</si>
  <si>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</si>
  <si>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</si>
  <si>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</si>
  <si>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</si>
  <si>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</si>
  <si>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</si>
  <si>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</si>
  <si>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</si>
  <si>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</si>
  <si>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</si>
  <si>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</si>
  <si>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</si>
  <si>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</si>
  <si>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</si>
  <si>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</si>
  <si>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</si>
  <si>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</si>
  <si>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</si>
  <si>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</si>
  <si>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</si>
  <si>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</si>
  <si>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</si>
  <si>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</si>
  <si>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</si>
  <si>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</si>
  <si>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</si>
  <si>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</si>
  <si>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</si>
  <si>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</si>
  <si>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</si>
  <si>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</si>
  <si>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</si>
  <si>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</si>
  <si>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</si>
  <si>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</si>
  <si>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</si>
  <si>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</si>
  <si>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</si>
  <si>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</si>
  <si>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</si>
  <si>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</si>
  <si>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</si>
  <si>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</si>
  <si>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</si>
  <si>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</si>
  <si>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</si>
  <si>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</si>
  <si>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</si>
  <si>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</si>
  <si>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</si>
  <si>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</si>
  <si>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</si>
  <si>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</si>
  <si>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</si>
  <si>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</si>
  <si>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</si>
  <si>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</si>
  <si>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</si>
  <si>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</si>
  <si>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</si>
  <si>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</si>
  <si>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</si>
  <si>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</si>
  <si>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</si>
  <si>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</si>
  <si>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</si>
  <si>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</si>
  <si>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</si>
  <si>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</si>
  <si>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</si>
  <si>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</si>
  <si>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</si>
  <si>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</si>
  <si>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</si>
  <si>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</si>
  <si>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</si>
  <si>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</si>
  <si>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</si>
  <si>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</si>
  <si>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</si>
  <si>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</si>
  <si>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</si>
  <si>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</si>
  <si>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</si>
  <si>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</si>
  <si>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</si>
  <si>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</si>
  <si>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</si>
  <si>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</si>
  <si>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</si>
  <si>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</si>
  <si>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</si>
  <si>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</si>
  <si>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</si>
  <si>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</si>
  <si>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</si>
  <si>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</si>
  <si>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</si>
  <si>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</si>
  <si>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</si>
  <si>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</si>
  <si>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</si>
  <si>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</si>
  <si>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</si>
  <si>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</si>
  <si>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</si>
  <si>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</si>
  <si>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</si>
  <si>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</si>
  <si>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</si>
  <si>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</si>
  <si>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</si>
  <si>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</si>
  <si>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</si>
  <si>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</si>
  <si>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</si>
  <si>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</si>
  <si>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</si>
  <si>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</si>
  <si>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</si>
  <si>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</si>
  <si>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</si>
  <si>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</si>
  <si>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</si>
  <si>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</si>
  <si>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</si>
  <si>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</si>
  <si>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</si>
  <si>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</si>
  <si>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</si>
  <si>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</si>
  <si>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</si>
  <si>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</si>
  <si>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</si>
  <si>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</si>
  <si>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</si>
  <si>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</si>
  <si>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</si>
  <si>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</si>
  <si>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</si>
  <si>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</si>
  <si>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</si>
  <si>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</si>
  <si>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</si>
  <si>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</si>
  <si>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</si>
  <si>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</si>
  <si>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</si>
  <si>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</si>
  <si>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</si>
  <si>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</si>
  <si>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</si>
  <si>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</si>
  <si>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</si>
  <si>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</si>
  <si>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</si>
  <si>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</si>
  <si>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</si>
  <si>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</si>
  <si>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</si>
  <si>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</si>
  <si>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</si>
  <si>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</si>
  <si>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</si>
  <si>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</si>
  <si>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</si>
  <si>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</si>
  <si>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</si>
  <si>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</si>
  <si>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</si>
  <si>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</si>
  <si>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</si>
  <si>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</si>
  <si>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</si>
  <si>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</si>
  <si>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</si>
  <si>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</si>
  <si>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</si>
  <si>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</si>
  <si>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</si>
  <si>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</si>
  <si>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</si>
  <si>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</si>
  <si>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</si>
  <si>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</si>
  <si>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</si>
  <si>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</si>
  <si>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</si>
  <si>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</si>
  <si>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</si>
  <si>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</si>
  <si>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</si>
  <si>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</si>
  <si>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</si>
  <si>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</si>
  <si>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</si>
  <si>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</si>
  <si>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</si>
  <si>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</si>
  <si>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</si>
  <si>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</si>
  <si>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</si>
  <si>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</si>
  <si>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</si>
  <si>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</si>
  <si>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</si>
  <si>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</si>
  <si>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</si>
  <si>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</si>
  <si>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</si>
  <si>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</si>
  <si>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</si>
  <si>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</si>
  <si>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</si>
  <si>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</si>
  <si>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</si>
  <si>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</si>
  <si>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</si>
  <si>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</si>
  <si>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</si>
  <si>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</si>
  <si>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</si>
  <si>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</si>
  <si>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</si>
  <si>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</si>
  <si>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</si>
  <si>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</si>
  <si>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</si>
  <si>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</si>
  <si>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</si>
  <si>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</si>
  <si>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</si>
  <si>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</si>
  <si>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</si>
  <si>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</si>
  <si>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</si>
  <si>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</si>
  <si>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</si>
  <si>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</si>
  <si>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</si>
  <si>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</si>
  <si>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</si>
  <si>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</si>
  <si>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</si>
  <si>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</si>
  <si>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</si>
  <si>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</si>
  <si>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</si>
  <si>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</si>
  <si>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</si>
  <si>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</si>
  <si>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</si>
  <si>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</si>
  <si>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</si>
  <si>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</si>
  <si>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</si>
  <si>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</si>
  <si>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</si>
  <si>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</si>
  <si>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</si>
  <si>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</si>
  <si>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</si>
  <si>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</si>
  <si>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</si>
  <si>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</si>
  <si>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</si>
  <si>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</si>
  <si>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</si>
  <si>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</si>
  <si>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</si>
  <si>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</si>
  <si>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</si>
  <si>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</si>
  <si>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</si>
  <si>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</si>
  <si>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</si>
  <si>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</si>
  <si>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</si>
  <si>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</si>
  <si>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</si>
  <si>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</si>
  <si>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</si>
  <si>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</si>
  <si>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</si>
  <si>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</si>
  <si>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</si>
  <si>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</si>
  <si>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</si>
  <si>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</si>
  <si>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</si>
  <si>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</si>
  <si>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</si>
  <si>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</si>
  <si>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</si>
  <si>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</si>
  <si>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</si>
  <si>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</si>
  <si>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</si>
  <si>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</si>
  <si>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</si>
  <si>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</si>
  <si>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</si>
  <si>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</si>
  <si>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</si>
  <si>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</si>
  <si>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</si>
  <si>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</si>
  <si>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</si>
  <si>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</si>
  <si>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</si>
  <si>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</si>
  <si>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</si>
  <si>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</si>
  <si>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</si>
  <si>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</si>
  <si>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</si>
  <si>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</si>
  <si>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</si>
  <si>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</si>
  <si>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</si>
  <si>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</si>
  <si>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</si>
  <si>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</si>
  <si>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</si>
  <si>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</si>
  <si>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</si>
  <si>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</si>
  <si>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</si>
  <si>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</si>
  <si>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</si>
  <si>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</si>
  <si>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</si>
  <si>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</si>
  <si>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</si>
  <si>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</si>
  <si>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</si>
  <si>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</si>
  <si>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</si>
  <si>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</si>
  <si>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</si>
  <si>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</si>
  <si>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</si>
  <si>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</si>
  <si>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</si>
  <si>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</si>
  <si>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</si>
  <si>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</si>
  <si>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</si>
  <si>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</si>
  <si>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</si>
  <si>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</si>
  <si>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</si>
  <si>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</si>
  <si>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</si>
  <si>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</si>
  <si>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</si>
  <si>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</si>
  <si>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</si>
  <si>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</si>
  <si>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</si>
  <si>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</si>
  <si>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</si>
  <si>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</si>
  <si>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</si>
  <si>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</si>
  <si>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</si>
  <si>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</si>
  <si>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</si>
  <si>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</si>
  <si>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</si>
  <si>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</si>
  <si>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</si>
  <si>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</si>
  <si>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</si>
  <si>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</si>
  <si>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</si>
  <si>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</si>
  <si>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</si>
  <si>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</si>
  <si>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</si>
  <si>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</si>
  <si>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</si>
  <si>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</si>
  <si>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</si>
  <si>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</si>
  <si>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</si>
  <si>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</si>
  <si>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</si>
  <si>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</si>
  <si>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</si>
  <si>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</si>
  <si>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</si>
  <si>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</si>
  <si>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</si>
  <si>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</si>
  <si>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</si>
  <si>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</si>
  <si>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</si>
  <si>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</si>
  <si>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</si>
  <si>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</si>
  <si>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</si>
  <si>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</si>
  <si>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</si>
  <si>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</si>
  <si>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</si>
  <si>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</si>
  <si>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</si>
  <si>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</si>
  <si>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</si>
  <si>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</si>
  <si>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</si>
  <si>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</si>
  <si>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</si>
  <si>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</si>
  <si>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</si>
  <si>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</si>
  <si>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</si>
  <si>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</si>
  <si>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</si>
  <si>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</si>
  <si>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</si>
  <si>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</si>
  <si>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</si>
  <si>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</si>
  <si>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</si>
  <si>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</si>
  <si>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</si>
  <si>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</si>
  <si>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</si>
  <si>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</si>
  <si>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</si>
  <si>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</si>
  <si>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</si>
  <si>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</si>
  <si>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</si>
  <si>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</si>
  <si>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</si>
  <si>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</si>
  <si>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</si>
  <si>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</si>
  <si>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</si>
  <si>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</si>
  <si>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</si>
  <si>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</si>
  <si>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</si>
  <si>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</si>
  <si>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</si>
  <si>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</si>
  <si>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</si>
  <si>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</si>
  <si>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</si>
  <si>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</si>
  <si>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</si>
  <si>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</si>
  <si>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</si>
  <si>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</si>
  <si>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</si>
  <si>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</si>
  <si>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</si>
  <si>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</si>
  <si>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</si>
  <si>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</si>
  <si>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</si>
  <si>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</si>
  <si>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</si>
  <si>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</si>
  <si>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</si>
  <si>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</si>
  <si>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</si>
  <si>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</si>
  <si>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</si>
  <si>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</si>
  <si>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</si>
  <si>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</si>
  <si>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</si>
  <si>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</si>
  <si>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</si>
  <si>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</si>
  <si>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</si>
  <si>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</si>
  <si>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</si>
  <si>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</si>
  <si>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</si>
  <si>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</si>
  <si>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</si>
  <si>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</si>
  <si>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</si>
  <si>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</si>
  <si>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</si>
  <si>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</si>
  <si>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</si>
  <si>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</si>
  <si>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</si>
  <si>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</si>
  <si>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</si>
  <si>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</si>
  <si>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</si>
  <si>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</si>
  <si>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</si>
  <si>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</si>
  <si>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</si>
  <si>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</si>
  <si>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</si>
  <si>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</si>
  <si>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</si>
  <si>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</si>
  <si>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</si>
  <si>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</si>
  <si>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</si>
  <si>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</si>
  <si>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</si>
  <si>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</si>
  <si>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</si>
  <si>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</si>
  <si>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</si>
  <si>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</si>
  <si>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</si>
  <si>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</si>
  <si>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</si>
  <si>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</si>
  <si>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</si>
  <si>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</si>
  <si>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</si>
  <si>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</si>
  <si>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</si>
  <si>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</si>
  <si>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</si>
  <si>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</si>
  <si>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</si>
  <si>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</si>
  <si>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</si>
  <si>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</si>
  <si>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</si>
  <si>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</si>
  <si>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</si>
  <si>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</si>
  <si>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</si>
  <si>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</si>
  <si>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</si>
  <si>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</si>
  <si>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</si>
  <si>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</si>
  <si>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</si>
  <si>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</si>
  <si>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</si>
  <si>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</si>
  <si>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</si>
  <si>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</si>
  <si>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</si>
  <si>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</si>
  <si>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</si>
  <si>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</si>
  <si>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</si>
  <si>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</si>
  <si>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</si>
  <si>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</si>
  <si>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</si>
  <si>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</si>
  <si>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</si>
  <si>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</si>
  <si>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</si>
  <si>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</si>
  <si>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</si>
  <si>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</si>
  <si>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</si>
  <si>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</si>
  <si>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</si>
  <si>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</si>
  <si>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</si>
  <si>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</si>
  <si>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</si>
  <si>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</si>
  <si>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</si>
  <si>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</si>
  <si>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</si>
  <si>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</si>
  <si>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</si>
  <si>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</si>
  <si>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</si>
  <si>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</si>
  <si>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</si>
  <si>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</si>
  <si>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</si>
  <si>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</si>
  <si>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</si>
  <si>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</si>
  <si>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</si>
  <si>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</si>
  <si>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</si>
  <si>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</si>
  <si>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</si>
  <si>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</si>
  <si>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</si>
  <si>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</si>
  <si>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</si>
  <si>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</si>
  <si>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</si>
  <si>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</si>
  <si>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</si>
  <si>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</si>
  <si>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</si>
  <si>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</si>
  <si>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</si>
  <si>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</si>
  <si>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</si>
  <si>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</si>
  <si>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</si>
  <si>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</si>
  <si>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</si>
  <si>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</si>
  <si>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</si>
  <si>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</si>
  <si>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</si>
  <si>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</si>
  <si>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</si>
  <si>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</si>
  <si>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</si>
  <si>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</si>
  <si>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</si>
  <si>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</si>
  <si>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</si>
  <si>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</si>
  <si>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</si>
  <si>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</si>
  <si>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</si>
  <si>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</si>
  <si>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</si>
  <si>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</si>
  <si>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</si>
  <si>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</si>
  <si>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</si>
  <si>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</si>
  <si>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</si>
  <si>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</si>
  <si>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</si>
  <si>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</si>
  <si>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</si>
  <si>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</si>
  <si>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</si>
  <si>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</si>
  <si>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</si>
  <si>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</si>
  <si>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</si>
  <si>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</si>
  <si>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</si>
  <si>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</si>
  <si>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</si>
  <si>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</si>
  <si>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</si>
  <si>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</si>
  <si>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</si>
  <si>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</si>
  <si>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</si>
  <si>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</si>
  <si>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</si>
  <si>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</si>
  <si>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</si>
  <si>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</si>
  <si>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</si>
  <si>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</si>
  <si>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</si>
  <si>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</si>
  <si>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</si>
  <si>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</si>
  <si>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</si>
  <si>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</si>
  <si>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</si>
  <si>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</si>
  <si>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</si>
  <si>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</si>
  <si>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</si>
  <si>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</si>
  <si>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</si>
  <si>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</si>
  <si>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</si>
  <si>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</si>
  <si>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</si>
  <si>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</si>
  <si>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</si>
  <si>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</si>
  <si>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</si>
  <si>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</si>
  <si>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</si>
  <si>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</si>
  <si>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</si>
  <si>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</si>
  <si>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</si>
  <si>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</si>
  <si>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</si>
  <si>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</si>
  <si>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</si>
  <si>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</si>
  <si>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</si>
  <si>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</si>
  <si>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</si>
  <si>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</si>
  <si>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</si>
  <si>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</si>
  <si>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</si>
  <si>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</si>
  <si>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</si>
  <si>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</si>
  <si>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</si>
  <si>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</si>
  <si>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</si>
  <si>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</si>
  <si>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</si>
  <si>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</si>
  <si>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</si>
  <si>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</si>
  <si>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</si>
  <si>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</si>
  <si>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</si>
  <si>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</si>
  <si>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</si>
  <si>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</si>
  <si>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</si>
  <si>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</si>
  <si>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</si>
  <si>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</si>
  <si>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</si>
  <si>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</si>
  <si>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</si>
  <si>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</si>
  <si>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</si>
  <si>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</si>
  <si>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</si>
  <si>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</si>
  <si>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</si>
  <si>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</si>
  <si>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</si>
  <si>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</si>
  <si>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</si>
  <si>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</si>
  <si>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</si>
  <si>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</si>
  <si>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</si>
  <si>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</si>
  <si>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</si>
  <si>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</si>
  <si>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</si>
  <si>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</si>
  <si>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</si>
  <si>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</si>
  <si>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</si>
  <si>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</si>
  <si>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</si>
  <si>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</si>
  <si>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</si>
  <si>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</si>
  <si>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</si>
  <si>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</si>
  <si>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</si>
  <si>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</si>
  <si>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</si>
  <si>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</si>
  <si>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</si>
  <si>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</si>
  <si>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</si>
  <si>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</si>
  <si>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</si>
  <si>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</si>
  <si>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</si>
  <si>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</si>
  <si>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</si>
  <si>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</si>
  <si>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</si>
  <si>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</si>
  <si>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</si>
  <si>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</si>
  <si>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</si>
  <si>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</si>
  <si>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</si>
  <si>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</si>
  <si>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</si>
  <si>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</si>
  <si>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</si>
  <si>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</si>
  <si>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</si>
  <si>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</si>
  <si>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</si>
  <si>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</si>
  <si>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</si>
  <si>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</si>
  <si>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</si>
  <si>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</si>
  <si>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</si>
  <si>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</si>
  <si>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</si>
  <si>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</si>
  <si>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</si>
  <si>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</si>
  <si>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</si>
  <si>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</si>
  <si>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</si>
  <si>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</si>
  <si>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</si>
  <si>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</si>
  <si>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</si>
  <si>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</si>
  <si>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</si>
  <si>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</si>
  <si>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</si>
  <si>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</si>
  <si>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</si>
  <si>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</si>
  <si>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</si>
  <si>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</si>
  <si>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</si>
  <si>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</si>
  <si>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</si>
  <si>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</si>
  <si>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</si>
  <si>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</si>
  <si>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</si>
  <si>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</si>
  <si>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</si>
  <si>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</si>
  <si>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</si>
  <si>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</si>
  <si>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</si>
  <si>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</si>
  <si>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</si>
  <si>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</si>
  <si>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</si>
  <si>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</si>
  <si>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</si>
  <si>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</si>
  <si>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</si>
  <si>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</si>
  <si>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</si>
  <si>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</si>
  <si>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</si>
  <si>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</si>
  <si>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</si>
  <si>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</si>
  <si>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</si>
  <si>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</si>
  <si>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</si>
  <si>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</si>
  <si>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</si>
  <si>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A realizar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</si>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</sst>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708" activePane="bottomLeft" state="frozen"/>
      <selection pane="bottomLeft" activeCell="G728" sqref="A728:XFD728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2687</v>
      </c>
      <c r="D657" s="183" t="s">
        <v>2688</v>
      </c>
      <c r="E657" s="184" t="s">
        <v>2689</v>
      </c>
      <c r="F657" s="185" t="s">
        <v>69</v>
      </c>
      <c r="G657" s="186" t="s">
        <v>79</v>
      </c>
      <c r="H657" s="191" t="s">
        <v>2690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2691</v>
      </c>
    </row>
    <row r="658" spans="1:20" ht="15">
      <c r="A658" s="191" t="s">
        <v>2692</v>
      </c>
      <c r="B658" s="127">
        <v>2026</v>
      </c>
      <c r="C658" s="127" t="s">
        <v>22</v>
      </c>
      <c r="D658" s="173" t="s">
        <v>2693</v>
      </c>
      <c r="E658" s="162" t="s">
        <v>2694</v>
      </c>
      <c r="F658" s="129" t="s">
        <v>69</v>
      </c>
      <c r="G658" s="174" t="s">
        <v>2695</v>
      </c>
      <c r="H658" s="175" t="s">
        <v>2696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2697</v>
      </c>
      <c r="B659" s="127">
        <v>2026</v>
      </c>
      <c r="C659" s="183" t="s">
        <v>2687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2687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2687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2687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2695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2695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2687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2695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2695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2687</v>
      </c>
      <c r="D677" s="193" t="s">
        <v>2779</v>
      </c>
      <c r="E677" s="184" t="s">
        <v>2780</v>
      </c>
      <c r="F677" s="185" t="s">
        <v>69</v>
      </c>
      <c r="G677" s="194" t="s">
        <v>2695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2687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2687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2695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>
      <c r="A693" s="191" t="s">
        <v>2844</v>
      </c>
      <c r="B693" s="152">
        <v>2026</v>
      </c>
      <c r="C693" s="183" t="s">
        <v>2687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2687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2687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2687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2687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2687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2687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2687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2687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2687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>
      <c r="A709" s="191" t="s">
        <v>2910</v>
      </c>
      <c r="B709" s="152">
        <v>2026</v>
      </c>
      <c r="C709" s="183" t="s">
        <v>2687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2919</v>
      </c>
      <c r="B711" s="152">
        <v>2026</v>
      </c>
      <c r="C711" s="183" t="s">
        <v>2687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2930</v>
      </c>
      <c r="B714" s="152">
        <v>2026</v>
      </c>
      <c r="C714" s="183" t="s">
        <v>2687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2934</v>
      </c>
      <c r="B715" s="152">
        <v>2026</v>
      </c>
      <c r="C715" s="183" t="s">
        <v>2687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2687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2687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2940</v>
      </c>
      <c r="B718" s="152">
        <v>2026</v>
      </c>
      <c r="C718" s="183" t="s">
        <v>2687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2942</v>
      </c>
      <c r="B719" s="152">
        <v>2026</v>
      </c>
      <c r="C719" s="183" t="s">
        <v>2687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2967</v>
      </c>
      <c r="B726" s="183">
        <v>2026</v>
      </c>
      <c r="C726" s="183" t="s">
        <v>2687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2969</v>
      </c>
      <c r="B727" s="183">
        <v>2026</v>
      </c>
      <c r="C727" s="183" t="s">
        <v>2687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2971</v>
      </c>
      <c r="B728" s="183">
        <v>2026</v>
      </c>
      <c r="C728" s="183" t="s">
        <v>2687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2974</v>
      </c>
      <c r="B729" s="183">
        <v>2026</v>
      </c>
      <c r="C729" s="183" t="s">
        <v>2687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2976</v>
      </c>
      <c r="B730" s="183">
        <v>2026</v>
      </c>
      <c r="C730" s="183" t="s">
        <v>2687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2978</v>
      </c>
      <c r="B731" s="183">
        <v>2026</v>
      </c>
      <c r="C731" s="183" t="s">
        <v>2687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2980</v>
      </c>
      <c r="B732" s="183">
        <v>2026</v>
      </c>
      <c r="C732" s="183" t="s">
        <v>2687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2982</v>
      </c>
      <c r="B733" s="183">
        <v>2026</v>
      </c>
      <c r="C733" s="183" t="s">
        <v>2687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2984</v>
      </c>
      <c r="B734" s="183">
        <v>2026</v>
      </c>
      <c r="C734" s="183" t="s">
        <v>2687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2687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2991</v>
      </c>
      <c r="H1" s="213" t="s">
        <v>2992</v>
      </c>
    </row>
    <row r="2" spans="1:8">
      <c r="H2" s="212" t="s">
        <v>2993</v>
      </c>
    </row>
    <row r="3" spans="1:8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3078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3079</v>
      </c>
      <c r="B4" s="229"/>
      <c r="D4" s="230" t="s">
        <v>3080</v>
      </c>
      <c r="E4" s="231"/>
      <c r="G4" s="45" t="s">
        <v>3081</v>
      </c>
    </row>
    <row r="5" spans="1:7" ht="54.95" customHeight="1" thickBot="1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40</v>
      </c>
      <c r="E5" s="44" t="s">
        <v>3082</v>
      </c>
      <c r="G5" s="46">
        <f>COUNTIFS('Ações InCompany'!B:B,2026,'Ações InCompany'!C:C,"A realizar")</f>
        <v>37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3083</v>
      </c>
      <c r="B8" s="226"/>
      <c r="D8" s="226" t="s">
        <v>3084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3091</v>
      </c>
      <c r="B14" s="34">
        <f>SUM(B11:B13)</f>
        <v>38</v>
      </c>
      <c r="D14" s="33" t="s">
        <v>3092</v>
      </c>
      <c r="E14" s="34">
        <f>SUM(E11:E13)</f>
        <v>1848</v>
      </c>
    </row>
    <row r="30" spans="1:5" ht="17.25">
      <c r="A30" s="226" t="s">
        <v>3093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>
      <c r="A41" s="74" t="s">
        <v>2695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3091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>
      <c r="A2" s="103" t="s">
        <v>24</v>
      </c>
      <c r="B2" s="103" t="s">
        <v>38</v>
      </c>
      <c r="C2" s="12" t="s">
        <v>3128</v>
      </c>
      <c r="D2" s="12" t="s">
        <v>2687</v>
      </c>
    </row>
    <row r="3" spans="1:4" ht="21" customHeight="1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>
      <c r="A5" s="12" t="s">
        <v>3131</v>
      </c>
      <c r="B5" s="12" t="s">
        <v>3106</v>
      </c>
      <c r="C5" s="12" t="s">
        <v>2695</v>
      </c>
      <c r="D5" s="17" t="s">
        <v>3135</v>
      </c>
      <c r="E5" s="12" t="s">
        <v>3136</v>
      </c>
    </row>
    <row r="6" spans="1:5" ht="18" customHeight="1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3144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3145</v>
      </c>
    </row>
    <row r="4" spans="1:8" ht="21.95" customHeight="1">
      <c r="A4" s="233" t="s">
        <v>3146</v>
      </c>
      <c r="B4" s="234"/>
      <c r="D4" s="233" t="s">
        <v>3147</v>
      </c>
      <c r="E4" s="234"/>
      <c r="G4" s="233" t="s">
        <v>3148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3154</v>
      </c>
      <c r="B1" s="239"/>
      <c r="C1" s="239"/>
      <c r="D1" s="239"/>
      <c r="E1" s="239"/>
      <c r="F1" s="239"/>
    </row>
    <row r="2" spans="1:7">
      <c r="A2" s="240" t="s">
        <v>3155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Paula Espinosa Bittar</cp:lastModifiedBy>
  <cp:revision/>
  <dcterms:created xsi:type="dcterms:W3CDTF">2024-04-02T18:43:15Z</dcterms:created>
  <dcterms:modified xsi:type="dcterms:W3CDTF">2026-08-05T20:48:05Z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