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60" documentId="13_ncr:1_{6A2CC3E2-FAFB-4D8F-B284-5E8FB5045DFE}" xr6:coauthVersionLast="47" xr6:coauthVersionMax="47" xr10:uidLastSave="{C47A1F6A-59BE-4AB8-B679-EBD4F9CCE31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<sst xmlns="http://schemas.openxmlformats.org/spreadsheetml/2006/main" count="7457" uniqueCount="3278">
  <si>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</si>
  <si>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</si>
  <si>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</si>
  <si>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</si>
  <si>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</si>
  <si>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</si>
  <si>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</si>
  <si>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</si>
  <si>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</si>
  <si>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</si>
  <si>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</si>
  <si>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</si>
  <si>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</si>
  <si>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</si>
  <si>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</si>
  <si>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</si>
  <si>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</si>
  <si>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</si>
  <si>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</si>
  <si>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</si>
  <si>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</si>
  <si>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</si>
  <si>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</si>
  <si>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</si>
  <si>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</si>
  <si>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</si>
  <si>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</si>
  <si>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</si>
  <si>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</si>
  <si>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</si>
  <si>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</si>
  <si>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</si>
  <si>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</si>
  <si>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</si>
  <si>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</si>
  <si>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</si>
  <si>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</si>
  <si>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</si>
  <si>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</si>
  <si>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</si>
  <si>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</si>
  <si>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</si>
  <si>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</si>
  <si>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</si>
  <si>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</si>
  <si>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</si>
  <si>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</si>
  <si>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</si>
  <si>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</si>
  <si>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</si>
  <si>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</si>
  <si>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</si>
  <si>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</si>
  <si>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</si>
  <si>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</si>
  <si>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</si>
  <si>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</si>
  <si>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</si>
  <si>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</si>
  <si>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</si>
  <si>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</si>
  <si>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</si>
  <si>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</si>
  <si>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</si>
  <si>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</si>
  <si>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</si>
  <si>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</si>
  <si>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</si>
  <si>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</si>
  <si>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</si>
  <si>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</si>
  <si>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</si>
  <si>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</si>
  <si>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</si>
  <si>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</si>
  <si>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</si>
  <si>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</si>
  <si>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</si>
  <si>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</si>
  <si>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</si>
  <si>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</si>
  <si>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</si>
  <si>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</si>
  <si>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</si>
  <si>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</si>
  <si>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</si>
  <si>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</si>
  <si>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</si>
  <si>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</si>
  <si>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</si>
  <si>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</si>
  <si>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</si>
  <si>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</si>
  <si>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</si>
  <si>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</si>
  <si>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</si>
  <si>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</si>
  <si>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</si>
  <si>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</si>
  <si>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</si>
  <si>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</si>
  <si>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</si>
  <si>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</si>
  <si>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</si>
  <si>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</si>
  <si>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</si>
  <si>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</si>
  <si>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</si>
  <si>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</si>
  <si>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</si>
  <si>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</si>
  <si>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</si>
  <si>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</si>
  <si>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</si>
  <si>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</si>
  <si>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</si>
  <si>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</si>
  <si>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</si>
  <si>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</si>
  <si>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</si>
  <si>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</si>
  <si>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</si>
  <si>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</si>
  <si>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</si>
  <si>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</si>
  <si>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</si>
  <si>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</si>
  <si>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</si>
  <si>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</si>
  <si>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</si>
  <si>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</si>
  <si>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</si>
  <si>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</si>
  <si>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</si>
  <si>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</si>
  <si>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</si>
  <si>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</si>
  <si>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</si>
  <si>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</si>
  <si>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</si>
  <si>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</si>
  <si>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</si>
  <si>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</si>
  <si>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</si>
  <si>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</si>
  <si>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</si>
  <si>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</si>
  <si>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</si>
  <si>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</si>
  <si>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</si>
  <si>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</si>
  <si>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</si>
  <si>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</si>
  <si>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</si>
  <si>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</si>
  <si>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</si>
  <si>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</si>
  <si>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</si>
  <si>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</si>
  <si>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</si>
  <si>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</si>
  <si>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</si>
  <si>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</si>
  <si>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</si>
  <si>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</si>
  <si>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</si>
  <si>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</si>
  <si>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</si>
  <si>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</si>
  <si>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</si>
  <si>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</si>
  <si>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</si>
  <si>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</si>
  <si>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</si>
  <si>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</si>
  <si>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</si>
  <si>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</si>
  <si>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</si>
  <si>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</si>
  <si>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</si>
  <si>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</si>
  <si>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</si>
  <si>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</si>
  <si>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</si>
  <si>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</si>
  <si>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</si>
  <si>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</si>
  <si>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</si>
  <si>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</si>
  <si>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</si>
  <si>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</si>
  <si>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</si>
  <si>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</si>
  <si>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</si>
  <si>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</si>
  <si>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</si>
  <si>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</si>
  <si>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</si>
  <si>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</si>
  <si>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</si>
  <si>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</si>
  <si>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</si>
  <si>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</si>
  <si>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</si>
  <si>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</si>
  <si>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</si>
  <si>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</si>
  <si>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</si>
  <si>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</si>
  <si>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</si>
  <si>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</si>
  <si>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</si>
  <si>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</si>
  <si>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</si>
  <si>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</si>
  <si>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</si>
  <si>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</si>
  <si>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</si>
  <si>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</si>
  <si>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</si>
  <si>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</si>
  <si>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</si>
  <si>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</si>
  <si>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</si>
  <si>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</si>
  <si>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</si>
  <si>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</si>
  <si>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</si>
  <si>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</si>
  <si>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</si>
  <si>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</si>
  <si>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</si>
  <si>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</si>
  <si>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</si>
  <si>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</si>
  <si>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</si>
  <si>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</si>
  <si>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</si>
  <si>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</si>
  <si>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</si>
  <si>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</si>
  <si>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</si>
  <si>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</si>
  <si>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</si>
  <si>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</si>
  <si>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</si>
  <si>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</si>
  <si>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</si>
  <si>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</si>
  <si>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</si>
  <si>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</si>
  <si>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</si>
  <si>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</si>
  <si>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</si>
  <si>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</si>
  <si>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</si>
  <si>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</si>
  <si>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</si>
  <si>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</si>
  <si>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</si>
  <si>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</si>
  <si>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</si>
  <si>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</si>
  <si>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</si>
  <si>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</si>
  <si>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</si>
  <si>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</si>
  <si>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</si>
  <si>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</si>
  <si>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</si>
  <si>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</si>
  <si>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</si>
  <si>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</si>
  <si>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</si>
  <si>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</si>
  <si>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</si>
  <si>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</si>
  <si>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</si>
  <si>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</si>
  <si>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</si>
  <si>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</si>
  <si>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</si>
  <si>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</si>
  <si>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</si>
  <si>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</si>
  <si>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</si>
  <si>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</si>
  <si>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</si>
  <si>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</si>
  <si>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</si>
  <si>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</si>
  <si>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</si>
  <si>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</si>
  <si>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</si>
  <si>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</si>
  <si>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</si>
  <si>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</si>
  <si>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</si>
  <si>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</si>
  <si>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</si>
  <si>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</si>
  <si>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</si>
  <si>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</si>
  <si>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</si>
  <si>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</si>
  <si>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</si>
  <si>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</si>
  <si>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</si>
  <si>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</si>
  <si>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</si>
  <si>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</si>
  <si>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</si>
  <si>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</si>
  <si>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</si>
  <si>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</si>
  <si>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</si>
  <si>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</si>
  <si>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</si>
  <si>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</si>
  <si>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</si>
  <si>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</si>
  <si>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</si>
  <si>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</si>
  <si>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</si>
  <si>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</si>
  <si>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</si>
  <si>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</si>
  <si>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</si>
  <si>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</si>
  <si>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</si>
  <si>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</si>
  <si>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</si>
  <si>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</si>
  <si>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</si>
  <si>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</si>
  <si>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</si>
  <si>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</si>
  <si>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</si>
  <si>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</si>
  <si>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</si>
  <si>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</si>
  <si>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</si>
  <si>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</si>
  <si>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</si>
  <si>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</si>
  <si>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</si>
  <si>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</si>
  <si>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</si>
  <si>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</si>
  <si>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</si>
  <si>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</si>
  <si>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</si>
  <si>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</si>
  <si>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</si>
  <si>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</si>
  <si>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</si>
  <si>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</si>
  <si>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</si>
  <si>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</si>
  <si>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</si>
  <si>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</si>
  <si>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</si>
  <si>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</si>
  <si>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</si>
  <si>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</si>
  <si>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</si>
  <si>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</si>
  <si>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</si>
  <si>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</si>
  <si>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</si>
  <si>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</si>
  <si>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</si>
  <si>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</si>
  <si>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</si>
  <si>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</si>
  <si>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</si>
  <si>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</si>
  <si>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</si>
  <si>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</si>
  <si>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</si>
  <si>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</si>
  <si>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</si>
  <si>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</si>
  <si>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</si>
  <si>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</si>
  <si>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</si>
  <si>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</si>
  <si>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</si>
  <si>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</si>
  <si>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</si>
  <si>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</si>
  <si>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</si>
  <si>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</si>
  <si>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</si>
  <si>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</si>
  <si>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</si>
  <si>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</si>
  <si>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</si>
  <si>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</si>
  <si>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</si>
  <si>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</si>
  <si>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</si>
  <si>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</si>
  <si>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</si>
  <si>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</si>
  <si>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</si>
  <si>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</si>
  <si>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</si>
  <si>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</si>
  <si>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</si>
  <si>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</si>
  <si>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</si>
  <si>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</si>
  <si>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</si>
  <si>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</si>
  <si>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</si>
  <si>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</si>
  <si>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</si>
  <si>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</si>
  <si>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</si>
  <si>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</si>
  <si>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</si>
  <si>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</si>
  <si>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</si>
  <si>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</si>
  <si>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</si>
  <si>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</si>
  <si>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</si>
  <si>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</si>
  <si>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</si>
  <si>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</si>
  <si>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</si>
  <si>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</si>
  <si>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</si>
  <si>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</si>
  <si>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</si>
  <si>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</si>
  <si>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</si>
  <si>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</si>
  <si>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</si>
  <si>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</si>
  <si>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</si>
  <si>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</si>
  <si>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</si>
  <si>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</si>
  <si>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</si>
  <si>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</si>
  <si>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</si>
  <si>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</si>
  <si>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</si>
  <si>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</si>
  <si>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</si>
  <si>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</si>
  <si>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</si>
  <si>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</si>
  <si>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</si>
  <si>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</si>
  <si>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</si>
  <si>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</si>
  <si>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</si>
  <si>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</si>
  <si>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</si>
  <si>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</si>
  <si>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</si>
  <si>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</si>
  <si>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</si>
  <si>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</si>
  <si>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</si>
  <si>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</si>
  <si>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</si>
  <si>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</si>
  <si>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</si>
  <si>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</si>
  <si>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</si>
  <si>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</si>
  <si>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</si>
  <si>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</si>
  <si>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</si>
  <si>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</si>
  <si>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</si>
  <si>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</si>
  <si>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</si>
  <si>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</si>
  <si>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</si>
  <si>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</si>
  <si>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</si>
  <si>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</si>
  <si>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</si>
  <si>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</si>
  <si>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</si>
  <si>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</si>
  <si>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</si>
  <si>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</si>
  <si>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</si>
  <si>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</si>
  <si>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</si>
  <si>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</si>
  <si>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</si>
  <si>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</si>
  <si>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</si>
  <si>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</si>
  <si>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</si>
  <si>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</si>
  <si>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</si>
  <si>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</si>
  <si>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</si>
  <si>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</si>
  <si>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</si>
  <si>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</si>
  <si>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</si>
  <si>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</si>
  <si>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</si>
  <si>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</si>
  <si>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</si>
  <si>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</si>
  <si>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</si>
  <si>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</si>
  <si>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</si>
  <si>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</si>
  <si>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</si>
  <si>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</si>
  <si>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</si>
  <si>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</si>
  <si>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</si>
  <si>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</si>
  <si>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</si>
  <si>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</si>
  <si>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</si>
  <si>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</si>
  <si>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</si>
  <si>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</si>
  <si>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</si>
  <si>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</si>
  <si>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</si>
  <si>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</si>
  <si>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</si>
  <si>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</si>
  <si>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</si>
  <si>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</si>
  <si>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</si>
  <si>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</si>
  <si>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</si>
  <si>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</si>
  <si>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</si>
  <si>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</si>
  <si>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</si>
  <si>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</si>
  <si>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</si>
  <si>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</si>
  <si>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</si>
  <si>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</si>
  <si>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</si>
  <si>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</si>
  <si>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</si>
  <si>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</si>
  <si>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</si>
  <si>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</si>
  <si>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</si>
  <si>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</si>
  <si>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</si>
  <si>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</si>
  <si>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</si>
  <si>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</si>
  <si>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</si>
  <si>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</si>
  <si>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</si>
  <si>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</si>
  <si>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</si>
  <si>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</si>
  <si>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</si>
  <si>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</si>
  <si>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</si>
  <si>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</si>
  <si>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</si>
  <si>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</si>
  <si>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</si>
  <si>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</si>
  <si>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</si>
  <si>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</si>
  <si>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</si>
  <si>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</si>
  <si>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</si>
  <si>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</si>
  <si>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</si>
  <si>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</si>
  <si>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</si>
  <si>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</si>
  <si>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</si>
  <si>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</si>
  <si>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</si>
  <si>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</si>
  <si>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</si>
  <si>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</si>
  <si>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</si>
  <si>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</si>
  <si>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</si>
  <si>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</si>
  <si>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</si>
  <si>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</si>
  <si>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</si>
  <si>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</si>
  <si>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</si>
  <si>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</si>
  <si>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</si>
  <si>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</si>
  <si>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</si>
  <si>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</si>
  <si>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</si>
  <si>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</si>
  <si>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</si>
  <si>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</si>
  <si>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</si>
  <si>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</si>
  <si>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</si>
  <si>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</si>
  <si>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</si>
  <si>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</si>
  <si>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</si>
  <si>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</si>
  <si>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</si>
  <si>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</si>
  <si>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</si>
  <si>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</si>
  <si>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</si>
  <si>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</si>
  <si>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</si>
  <si>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</si>
  <si>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</si>
  <si>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</si>
  <si>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</si>
  <si>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</si>
  <si>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</si>
  <si>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</si>
  <si>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</si>
  <si>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</si>
  <si>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</si>
  <si>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</si>
  <si>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</si>
  <si>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</si>
  <si>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</si>
  <si>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</si>
  <si>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</si>
  <si>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</si>
  <si>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</si>
  <si>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</si>
  <si>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</si>
  <si>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</si>
  <si>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</si>
  <si>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</si>
  <si>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</si>
  <si>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</si>
  <si>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</si>
  <si>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</si>
  <si>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</si>
  <si>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</si>
  <si>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</si>
  <si>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</si>
  <si>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</si>
  <si>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</si>
  <si>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</si>
  <si>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</si>
  <si>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</si>
  <si>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</si>
  <si>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</si>
  <si>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</si>
  <si>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</si>
  <si>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</si>
  <si>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</si>
  <si>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</si>
  <si>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</si>
  <si>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</si>
  <si>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</si>
  <si>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</si>
  <si>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</si>
  <si>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</si>
  <si>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</si>
  <si>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</si>
  <si>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</si>
  <si>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</si>
  <si>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</si>
  <si>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</si>
  <si>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</si>
  <si>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</si>
  <si>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</si>
  <si>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</si>
  <si>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</si>
  <si>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</si>
  <si>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</si>
  <si>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</si>
  <si>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</si>
  <si>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</si>
  <si>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</si>
  <si>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</si>
  <si>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</si>
  <si>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</si>
  <si>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</si>
  <si>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</si>
  <si>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</si>
  <si>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</si>
  <si>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</si>
  <si>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</si>
  <si>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</si>
  <si>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</si>
  <si>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</si>
  <si>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</si>
  <si>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</si>
  <si>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</si>
  <si>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</si>
  <si>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</si>
  <si>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</si>
  <si>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</si>
  <si>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</si>
  <si>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</si>
  <si>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</si>
  <si>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</si>
  <si>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</si>
  <si>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</si>
  <si>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</si>
  <si>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</si>
  <si>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</si>
  <si>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</si>
  <si>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</si>
  <si>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</si>
  <si>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</si>
  <si>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</si>
  <si>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</si>
  <si>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</si>
  <si>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</si>
  <si>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</si>
  <si>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</si>
  <si>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</si>
  <si>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</si>
  <si>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</si>
  <si>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</si>
  <si>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</si>
  <si>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</si>
  <si>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</si>
  <si>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</si>
  <si>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</si>
  <si>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</si>
  <si>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</si>
  <si>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</si>
  <si>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</si>
  <si>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</si>
  <si>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</si>
  <si>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</si>
  <si>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</si>
  <si>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</si>
  <si>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</si>
  <si>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</si>
  <si>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</si>
  <si>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</si>
  <si>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</si>
  <si>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</si>
  <si>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</si>
  <si>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</si>
  <si>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</si>
  <si>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</si>
  <si>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</si>
  <si>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</si>
  <si>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</si>
  <si>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</si>
  <si>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</si>
  <si>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</si>
  <si>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</si>
  <si>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</si>
  <si>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</si>
  <si>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</si>
  <si>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</si>
  <si>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</si>
  <si>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</si>
  <si>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</si>
  <si>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</si>
  <si>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</si>
  <si>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</si>
  <si>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</si>
  <si>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</si>
  <si>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</si>
  <si>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</si>
  <si>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</si>
  <si>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</si>
  <si>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</si>
  <si>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</si>
  <si>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</si>
  <si>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</si>
  <si>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</si>
  <si>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</si>
  <si>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</si>
  <si>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</si>
  <si>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</si>
  <si>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</si>
  <si>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</si>
  <si>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</si>
  <si>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</si>
  <si>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</si>
  <si>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</si>
  <si>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</si>
  <si>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</si>
  <si>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</si>
  <si>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</si>
  <si>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</si>
  <si>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</si>
  <si>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</si>
  <si>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</si>
  <si>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</si>
  <si>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</si>
  <si>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</si>
  <si>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</si>
  <si>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</si>
  <si>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</si>
  <si>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</si>
  <si>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</si>
  <si>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</si>
  <si>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</si>
  <si>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</si>
  <si>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</si>
  <si>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</si>
  <si>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</si>
  <si>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</si>
  <si>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</si>
  <si>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</si>
  <si>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</si>
  <si>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</si>
  <si>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</si>
  <si>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</si>
  <si>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</si>
  <si>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</si>
  <si>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</si>
  <si>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</si>
  <si>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</si>
  <si>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</si>
  <si>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</si>
  <si>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</si>
  <si>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</si>
  <si>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</si>
  <si>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</si>
  <si>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</si>
  <si>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</si>
  <si>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</si>
  <si>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</si>
  <si>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</si>
  <si>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</si>
  <si>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</si>
  <si>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</si>
  <si>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</si>
  <si>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</si>
  <si>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</si>
  <si>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</si>
  <si>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</si>
  <si>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</si>
  <si>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</si>
  <si>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</si>
  <si>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</si>
  <si>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</si>
  <si>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</si>
  <si>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</si>
  <si>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</si>
  <si>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</si>
  <si>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</si>
  <si>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</si>
  <si>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</si>
  <si>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</si>
  <si>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</si>
  <si>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</si>
  <si>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</si>
  <si>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</si>
  <si>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</si>
  <si>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</si>
  <si>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</si>
  <si>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</si>
  <si>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</si>
  <si>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</si>
  <si>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</si>
  <si>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</si>
  <si>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</si>
  <si>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</si>
  <si>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</si>
  <si>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</si>
  <si>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</si>
  <si>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</si>
  <si>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</si>
  <si>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</si>
  <si>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</si>
  <si>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</si>
  <si>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</si>
  <si>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</si>
  <si>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</si>
  <si>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</si>
  <si>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</si>
  <si>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</si>
  <si>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</si>
  <si>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</si>
  <si>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</si>
  <si>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</si>
  <si>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</si>
  <si>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</si>
  <si>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</si>
  <si>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</si>
  <si>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</si>
  <si>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</si>
  <si>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</si>
  <si>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</si>
  <si>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</si>
  <si>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</si>
  <si>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</si>
  <si>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</si>
  <si>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</si>
  <si>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</si>
  <si>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</si>
  <si>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</si>
  <si>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</si>
  <si>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</si>
  <si>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</si>
  <si>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</si>
  <si>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</si>
  <si>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</si>
  <si>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</si>
  <si>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</si>
  <si>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</si>
  <si>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</si>
  <si>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</si>
  <si>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</si>
  <si>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</si>
  <si>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</si>
  <si>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</si>
  <si>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</si>
  <si>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</si>
  <si>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</si>
  <si>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</si>
  <si>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</si>
  <si>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</si>
  <si>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</si>
  <si>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</si>
  <si>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</si>
  <si>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</si>
  <si>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</si>
  <si>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</si>
  <si>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</si>
  <si>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</si>
  <si>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</si>
  <si>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</si>
  <si>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</si>
  <si>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</si>
  <si>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</si>
  <si>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</si>
  <si>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</si>
  <si>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</si>
  <si>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</si>
  <si>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</si>
  <si>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</si>
  <si>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</si>
  <si>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</si>
  <si>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</si>
  <si>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</si>
  <si>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</si>
  <si>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</si>
  <si>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</si>
  <si>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</si>
  <si>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</si>
  <si>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</si>
  <si>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</si>
  <si>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</si>
  <si>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</si>
  <si>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</si>
  <si>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</si>
  <si>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</si>
  <si>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</si>
  <si>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</si>
  <si>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</si>
  <si>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</si>
  <si>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</si>
  <si>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</si>
  <si>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</si>
  <si>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</si>
  <si>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</si>
  <si>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</si>
  <si>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</si>
  <si>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</si>
  <si>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</si>
  <si>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</si>
  <si>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</si>
  <si>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</si>
  <si>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</si>
  <si>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</si>
  <si>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</si>
  <si>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</si>
  <si>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</si>
  <si>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</si>
  <si>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</si>
  <si>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</si>
  <si>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</si>
  <si>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</si>
  <si>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</si>
  <si>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</si>
  <si>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</si>
  <si>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</si>
  <si>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</si>
  <si>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</si>
  <si>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</si>
  <si>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</si>
  <si>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</si>
  <si>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</si>
  <si>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</si>
  <si>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</si>
  <si>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</si>
  <si>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</si>
  <si>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</si>
  <si>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</si>
  <si>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</si>
  <si>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</si>
  <si>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</si>
  <si>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</si>
  <si>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</si>
  <si>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</si>
  <si>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</si>
  <si>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</si>
  <si>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</si>
  <si>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</si>
  <si>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</si>
  <si>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</si>
  <si>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</si>
  <si>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</si>
  <si>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</si>
  <si>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</si>
  <si>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</si>
  <si>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</si>
  <si>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</si>
  <si>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</si>
  <si>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</si>
  <si>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</si>
  <si>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</si>
  <si>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</si>
  <si>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</si>
  <si>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</si>
  <si>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</si>
  <si>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</si>
  <si>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</si>
  <si>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</si>
  <si>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</si>
  <si>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</si>
  <si>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</si>
  <si>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</si>
  <si>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</si>
  <si>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</si>
  <si>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</si>
  <si>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</si>
  <si>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</si>
  <si>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</si>
  <si>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</si>
  <si>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</si>
  <si>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</si>
  <si>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</si>
  <si>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</si>
  <si>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</si>
  <si>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</si>
  <si>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</si>
  <si>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</si>
  <si>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</si>
  <si>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</si>
  <si>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</si>
  <si>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</si>
  <si>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</si>
  <si>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</si>
  <si>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</si>
  <si>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</si>
  <si>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</si>
  <si>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</si>
  <si>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</si>
  <si>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</si>
  <si>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</si>
  <si>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</si>
  <si>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</si>
  <si>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</si>
  <si>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</si>
  <si>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</si>
  <si>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</si>
  <si>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</si>
  <si>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</si>
  <si>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</si>
  <si>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</si>
  <si>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</si>
  <si>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</si>
  <si>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</si>
  <si>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</si>
  <si>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</si>
  <si>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</si>
  <si>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</si>
  <si>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</si>
  <si>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</si>
  <si>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</si>
  <si>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</si>
  <si>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</si>
  <si>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</si>
  <si>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</si>
  <si>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</si>
  <si>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</si>
  <si>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</si>
  <si>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</si>
  <si>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</si>
  <si>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</si>
  <si>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</si>
  <si>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</si>
  <si>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</si>
  <si>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</si>
  <si>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</si>
  <si>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</si>
  <si>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</si>
  <si>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</si>
  <si>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</si>
  <si>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</si>
  <si>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</si>
  <si>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</si>
  <si>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</si>
  <si>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</si>
  <si>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</si>
  <si>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</si>
  <si>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</si>
  <si>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</si>
  <si>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</si>
  <si>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</si>
  <si>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</si>
  <si>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</si>
  <si>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</si>
  <si>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</si>
  <si>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</si>
  <si>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</si>
  <si>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</si>
  <si>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</si>
  <si>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</si>
  <si>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</si>
  <si>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</si>
  <si>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</si>
  <si>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</si>
  <si>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</si>
  <si>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</si>
  <si>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</si>
  <si>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</si>
  <si>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</si>
  <si>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</si>
  <si>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</si>
  <si>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</si>
  <si>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</si>
  <si>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</si>
  <si>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</si>
  <si>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</si>
  <si>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</si>
  <si>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</si>
  <si>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</si>
  <si>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</si>
  <si>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</si>
  <si>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</si>
  <si>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</si>
  <si>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</si>
  <si>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</si>
  <si>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</si>
  <si>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</si>
  <si>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</si>
  <si>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</si>
  <si>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</si>
  <si>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</si>
  <si>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</si>
  <si>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</si>
  <si>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</si>
  <si>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</si>
  <si>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</si>
  <si>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</si>
  <si>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</si>
  <si>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</si>
  <si>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</si>
  <si>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</si>
  <si>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</si>
  <si>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</si>
  <si>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</si>
  <si>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</si>
  <si>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</si>
  <si>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</si>
  <si>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</si>
  <si>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</si>
  <si>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</si>
  <si>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</si>
  <si>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</si>
  <si>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</si>
  <si>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</si>
  <si>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</si>
  <si>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</si>
  <si>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</si>
  <si>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</si>
  <si>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</si>
  <si>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</si>
  <si>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</si>
  <si>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</si>
  <si>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</si>
  <si>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</si>
  <si>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</si>
  <si>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</si>
  <si>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</si>
  <si>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</si>
  <si>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</si>
  <si>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</si>
  <si>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</si>
  <si>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</si>
  <si>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</si>
  <si>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</si>
  <si>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</si>
  <si>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</si>
  <si>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</si>
  <si>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</si>
  <si>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</si>
  <si>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</si>
  <si>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</si>
  <si>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</si>
  <si>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</si>
  <si>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</si>
  <si>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</si>
  <si>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</si>
  <si>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</si>
  <si>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</si>
  <si>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</si>
  <si>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</si>
  <si>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</si>
  <si>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</si>
  <si>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</si>
  <si>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</si>
  <si>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</si>
  <si>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</si>
  <si>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</si>
  <si>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</si>
  <si>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</si>
  <si>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</si>
  <si>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</si>
  <si>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</si>
  <si>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</si>
  <si>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</si>
  <si>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</si>
  <si>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</si>
  <si>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</si>
  <si>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</si>
  <si>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</si>
  <si>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</si>
  <si>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</si>
  <si>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</si>
  <si>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</si>
  <si>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</si>
  <si>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</si>
  <si>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</si>
  <si>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</si>
  <si>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</si>
  <si>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</si>
  <si>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</si>
  <si>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</si>
  <si>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</si>
  <si>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</si>
  <si>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</si>
  <si>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</si>
  <si>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</si>
  <si>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</si>
  <si>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</si>
  <si>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</si>
  <si>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</si>
  <si>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</si>
  <si>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</si>
  <si>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</si>
  <si>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</si>
  <si>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</si>
  <si>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</si>
  <si>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</si>
  <si>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</si>
  <si>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</si>
  <si>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</si>
  <si>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</si>
  <si>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</si>
  <si>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</si>
  <si>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</si>
  <si>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</si>
  <si>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</si>
  <si>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</si>
  <si>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</si>
  <si>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</si>
  <si>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</si>
  <si>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</si>
  <si>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</si>
  <si>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</si>
  <si>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</si>
  <si>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</si>
  <si>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</si>
  <si>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</si>
  <si>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</si>
  <si>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</si>
  <si>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</si>
  <si>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</si>
  <si>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</si>
  <si>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</si>
  <si>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</si>
  <si>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</si>
  <si>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</si>
  <si>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</si>
  <si>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</si>
  <si>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</si>
  <si>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</si>
  <si>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</si>
  <si>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</si>
  <si>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</si>
  <si>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</si>
  <si>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</si>
  <si>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</si>
  <si>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</si>
  <si>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</si>
  <si>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</si>
  <si>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</si>
  <si>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</si>
  <si>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</si>
  <si>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</si>
  <si>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</si>
  <si>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</si>
  <si>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</si>
  <si>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</si>
  <si>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</si>
  <si>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</si>
  <si>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</si>
  <si>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</si>
  <si>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</si>
  <si>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</si>
  <si>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</si>
  <si>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</si>
  <si>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</si>
  <si>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</si>
  <si>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</si>
  <si>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</si>
  <si>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</si>
  <si>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</si>
  <si>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</si>
  <si>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</si>
  <si>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</si>
  <si>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</si>
  <si>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</si>
  <si>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</si>
  <si>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</si>
  <si>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</si>
  <si>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</si>
  <si>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</si>
  <si>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</si>
  <si>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</si>
  <si>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</si>
  <si>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</si>
  <si>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</si>
  <si>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</si>
  <si>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</si>
  <si>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</si>
  <si>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</si>
  <si>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</si>
  <si>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</si>
  <si>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</si>
  <si>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</si>
  <si>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</si>
  <si>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</si>
  <si>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</si>
  <si>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</si>
  <si>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</si>
  <si>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</si>
  <si>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</si>
  <si>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</si>
  <si>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</si>
  <si>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</si>
  <si>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</si>
  <si>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</si>
  <si>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</si>
  <si>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</si>
  <si>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</si>
  <si>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</si>
  <si>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</si>
  <si>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</si>
  <si>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</si>
  <si>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</si>
  <si>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</si>
  <si>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</si>
  <si>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</si>
  <si>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</si>
  <si>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</si>
  <si>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</si>
  <si>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</si>
  <si>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</si>
  <si>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</si>
  <si>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</si>
  <si>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</si>
  <si>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</si>
  <si>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</si>
  <si>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</si>
  <si>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</si>
  <si>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</si>
  <si>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</si>
  <si>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</si>
  <si>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</si>
  <si>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</si>
  <si>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</si>
  <si>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</si>
  <si>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</si>
  <si>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</si>
  <si>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</si>
  <si>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</si>
  <si>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</si>
  <si>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</si>
  <si>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</si>
  <si>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</si>
  <si>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</si>
  <si>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</si>
  <si>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</si>
  <si>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</si>
  <si>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</si>
  <si>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</si>
  <si>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</si>
  <si>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</si>
  <si>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</si>
  <si>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</si>
  <si>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</si>
  <si>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</si>
  <si>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</si>
  <si>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</si>
  <si>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</si>
  <si>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</si>
  <si>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</si>
  <si>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</si>
  <si>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</si>
  <si>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</si>
  <si>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</si>
  <si>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</si>
  <si>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</si>
  <si>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</si>
  <si>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</si>
  <si>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</si>
  <si>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</si>
  <si>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</si>
  <si>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</si>
  <si>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</si>
  <si>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</si>
  <si>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</si>
  <si>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</si>
  <si>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</si>
  <si>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</si>
  <si>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</si>
  <si>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</si>
  <si>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</si>
  <si>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</si>
  <si>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</si>
  <si>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</si>
  <si>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</si>
  <si>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</si>
  <si>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</si>
  <si>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</si>
  <si>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</si>
  <si>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</si>
  <si>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</si>
  <si>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</si>
  <si>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</si>
  <si>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</si>
  <si>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</si>
  <si>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</si>
  <si>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</si>
  <si>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</si>
  <si>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</si>
  <si>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</si>
  <si>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</si>
  <si>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</si>
  <si>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</si>
  <si>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</si>
  <si>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</si>
  <si>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</si>
  <si>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</si>
  <si>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</si>
  <si>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</si>
  <si>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</si>
  <si>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</si>
  <si>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</si>
  <si>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</si>
  <si>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</si>
  <si>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</si>
  <si>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</si>
  <si>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</si>
  <si>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</si>
  <si>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</si>
  <si>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</si>
  <si>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</si>
  <si>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</si>
  <si>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</si>
  <si>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</si>
  <si>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</si>
  <si>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</si>
  <si>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</si>
  <si>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</si>
  <si>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</si>
  <si>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</si>
  <si>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</si>
  <si>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</si>
  <si>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</si>
  <si>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</si>
  <si>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</si>
  <si>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</si>
  <si>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</si>
  <si>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</si>
  <si>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</si>
  <si>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</si>
  <si>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</si>
  <si>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</si>
  <si>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</si>
  <si>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</si>
  <si>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</si>
  <si>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</si>
  <si>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</si>
  <si>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</si>
  <si>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</si>
  <si>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</si>
  <si>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</si>
  <si>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</si>
  <si>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</si>
  <si>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</si>
  <si>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</si>
  <si>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</si>
  <si>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</si>
  <si>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</si>
  <si>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</si>
  <si>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</si>
  <si>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</si>
  <si>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</si>
  <si>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</si>
  <si>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</si>
  <si>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</si>
  <si>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</si>
  <si>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</si>
  <si>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</si>
  <si>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</si>
  <si>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</si>
  <si>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</si>
  <si>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</si>
  <si>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</si>
  <si>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</si>
  <si>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</si>
  <si>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</si>
  <si>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</si>
  <si>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</si>
  <si>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</si>
  <si>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</si>
  <si>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</si>
  <si>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</si>
  <si>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</si>
  <si>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</si>
  <si>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</si>
  <si>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</si>
  <si>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</si>
  <si>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</si>
  <si>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</si>
  <si>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</si>
  <si>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</si>
  <si>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</si>
  <si>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</si>
  <si>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</si>
  <si>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</si>
  <si>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</si>
  <si>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</si>
  <si>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</si>
  <si>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</si>
  <si>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</si>
  <si>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</si>
  <si>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</si>
  <si>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</si>
  <si>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</si>
  <si>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</si>
  <si>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</si>
  <si>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</si>
  <si>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</si>
  <si>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</si>
  <si>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</si>
  <si>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</si>
  <si>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</si>
  <si>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</si>
  <si>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</si>
  <si>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</si>
  <si>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</si>
  <si>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</si>
  <si>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</si>
  <si>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</si>
  <si>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</si>
  <si>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</si>
  <si>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</si>
  <si>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</si>
  <si>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</si>
  <si>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</si>
  <si>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</si>
  <si>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</si>
  <si>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</si>
  <si>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</si>
  <si>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</si>
  <si>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</si>
  <si>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</si>
  <si>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</si>
  <si>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</si>
  <si>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</si>
  <si>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</si>
  <si>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</si>
  <si>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</si>
  <si>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</si>
  <si>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</si>
  <si>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</si>
  <si>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</si>
  <si>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</si>
  <si>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</si>
  <si>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</si>
  <si>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</si>
  <si>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</si>
  <si>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</si>
  <si>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</si>
  <si>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</si>
  <si>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</si>
  <si>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</si>
  <si>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</si>
  <si>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</si>
  <si>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</si>
  <si>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</si>
  <si>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</si>
  <si>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</si>
  <si>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</si>
  <si>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</si>
  <si>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</si>
  <si>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</si>
  <si>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</si>
  <si>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</si>
  <si>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</si>
  <si>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</si>
  <si>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</si>
  <si>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</si>
  <si>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</si>
  <si>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</si>
  <si>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</si>
  <si>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</si>
  <si>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</si>
  <si>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</si>
  <si>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</si>
  <si>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</si>
  <si>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</si>
  <si>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</si>
  <si>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</si>
  <si>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</si>
  <si>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</si>
  <si>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</si>
  <si>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</si>
  <si>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</si>
  <si>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</si>
  <si>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</si>
  <si>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</si>
  <si>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</si>
  <si>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</si>
  <si>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</si>
  <si>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</si>
  <si>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</si>
  <si>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</si>
  <si>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</si>
  <si>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</si>
  <si>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</si>
  <si>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</si>
  <si>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</si>
  <si>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</si>
  <si>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</si>
  <si>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</si>
  <si>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</si>
  <si>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</si>
  <si>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</si>
  <si>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</si>
  <si>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</si>
  <si>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</si>
  <si>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</si>
  <si>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</si>
  <si>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</si>
  <si>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</si>
  <si>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</si>
  <si>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</si>
  <si>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</si>
  <si>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</si>
  <si>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</si>
  <si>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</si>
  <si>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</si>
  <si>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</si>
  <si>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</si>
  <si>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</si>
  <si>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</si>
  <si>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</si>
  <si>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</si>
  <si>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</si>
  <si>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</si>
  <si>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</si>
  <si>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</si>
  <si>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</si>
  <si>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</si>
  <si>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</si>
  <si>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</si>
  <si>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</si>
  <si>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</si>
  <si>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</si>
  <si>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</si>
  <si>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</si>
  <si>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</si>
  <si>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</si>
  <si>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</si>
  <si>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</si>
  <si>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</si>
  <si>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</si>
  <si>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</si>
  <si>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</si>
  <si>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</si>
  <si>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</si>
  <si>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</si>
  <si>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</si>
  <si>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</si>
  <si>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</si>
  <si>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</si>
  <si>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</si>
  <si>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</si>
  <si>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</si>
  <si>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</si>
  <si>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</si>
  <si>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</si>
  <si>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</si>
  <si>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</si>
  <si>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</si>
  <si>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</si>
  <si>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</si>
  <si>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</si>
  <si>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</si>
  <si>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</si>
  <si>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</si>
  <si>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</si>
  <si>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</si>
  <si>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</si>
  <si>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</si>
  <si>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</si>
  <si>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</si>
  <si>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</si>
  <si>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</si>
  <si>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</si>
  <si>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</si>
  <si>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</si>
  <si>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</si>
  <si>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</si>
  <si>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</si>
  <si>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</si>
  <si>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</si>
  <si>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</si>
  <si>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</si>
  <si>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</si>
  <si>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</si>
  <si>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</si>
  <si>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</si>
  <si>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</si>
  <si>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</si>
  <si>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</si>
  <si>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</si>
  <si>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</si>
  <si>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</si>
  <si>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</si>
  <si>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</si>
  <si>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</si>
  <si>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</si>
  <si>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</si>
  <si>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</si>
  <si>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</si>
  <si>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</si>
  <si>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</si>
  <si>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</si>
  <si>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</si>
  <si>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</si>
  <si>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</si>
  <si>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</si>
  <si>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</si>
  <si>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</si>
  <si>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</si>
  <si>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</si>
  <si>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</si>
  <si>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</si>
  <si>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</si>
  <si>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</si>
  <si>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</si>
  <si>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</si>
  <si>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</si>
  <si>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</si>
  <si>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</si>
  <si>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</si>
  <si>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</si>
  <si>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</si>
  <si>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</si>
  <si>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</si>
  <si>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</si>
  <si>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</si>
  <si>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</si>
  <si>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</si>
  <si>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</si>
  <si>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</si>
  <si>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</si>
  <si>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</si>
  <si>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</si>
  <si>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</si>
  <si>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</si>
  <si>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</si>
  <si>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</si>
  <si>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</si>
  <si>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</si>
  <si>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</si>
  <si>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</si>
  <si>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</si>
  <si>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</si>
  <si>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</si>
  <si>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</si>
  <si>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</si>
  <si>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</si>
  <si>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</si>
  <si>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</si>
  <si>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</si>
  <si>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</si>
  <si>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</si>
  <si>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</si>
  <si>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</si>
  <si>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</si>
  <si>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</si>
  <si>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</si>
  <si>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</si>
  <si>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</si>
  <si>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</si>
  <si>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</si>
  <si>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</si>
  <si>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</si>
  <si>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</si>
  <si>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</si>
  <si>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</si>
  <si>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</si>
  <si>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</si>
  <si>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</si>
  <si>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</si>
  <si>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</si>
  <si>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</si>
  <si>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</si>
  <si>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</si>
  <si>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</si>
  <si>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</si>
  <si>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</si>
  <si>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</si>
  <si>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</si>
  <si>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</si>
  <si>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</si>
  <si>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</si>
  <si>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</si>
  <si>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</si>
  <si>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</si>
  <si>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</si>
  <si>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</si>
  <si>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</si>
  <si>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</si>
  <si>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</si>
  <si>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</si>
  <si>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</si>
  <si>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</si>
  <si>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</si>
  <si>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</si>
  <si>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</si>
  <si>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</si>
  <si>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</si>
  <si>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</si>
  <si>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</si>
  <si>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</si>
  <si>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</si>
  <si>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</si>
  <si>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</si>
  <si>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</si>
  <si>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</si>
  <si>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</si>
  <si>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</si>
  <si>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</si>
  <si>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</si>
  <si>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</si>
  <si>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</si>
  <si>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</si>
  <si>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</si>
  <si>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</si>
  <si>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</si>
  <si>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</si>
  <si>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</si>
  <si>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</si>
  <si>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</si>
  <si>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</si>
  <si>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</si>
  <si>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</si>
  <si>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</si>
  <si>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</si>
  <si>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</si>
  <si>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</si>
  <si>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</si>
  <si>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</si>
  <si>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</si>
  <si>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</si>
  <si>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</si>
  <si>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</si>
  <si>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</si>
  <si>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</si>
  <si>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</si>
  <si>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</si>
  <si>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</si>
  <si>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</si>
  <si>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</si>
  <si>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</si>
  <si>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</si>
  <si>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</si>
  <si>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</si>
  <si>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</si>
  <si>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</si>
  <si>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</si>
  <si>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</si>
  <si>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</si>
  <si>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</si>
  <si>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</si>
  <si>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</si>
  <si>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</si>
  <si>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</si>
  <si>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</si>
  <si>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</si>
  <si>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</si>
  <si>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</si>
  <si>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</si>
  <si>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</si>
  <si>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</si>
  <si>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</si>
  <si>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</si>
  <si>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</si>
  <si>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</si>
  <si>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</si>
  <si>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</si>
  <si>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</si>
  <si>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</si>
  <si>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</si>
  <si>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</si>
  <si>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</si>
  <si>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</si>
  <si>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</si>
  <si>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</si>
  <si>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</si>
  <si>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</si>
  <si>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</si>
  <si>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</si>
  <si>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</si>
  <si>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</si>
  <si>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</si>
  <si>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</si>
  <si>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</si>
  <si>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</si>
  <si>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</si>
  <si>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</si>
  <si>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</si>
  <si>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</si>
  <si>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</si>
  <si>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</si>
  <si>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</si>
  <si>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</si>
  <si>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</si>
  <si>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</si>
  <si>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</si>
  <si>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</si>
  <si>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</si>
  <si>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</si>
  <si>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</si>
  <si>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</si>
  <si>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</si>
  <si>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</si>
  <si>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</si>
  <si>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</si>
  <si>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</si>
  <si>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</si>
  <si>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</si>
  <si>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</si>
  <si>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</si>
  <si>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</si>
  <si>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</si>
  <si>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</si>
  <si>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</si>
  <si>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</si>
  <si>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</si>
  <si>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</si>
  <si>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</si>
  <si>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</si>
  <si>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</si>
  <si>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</si>
  <si>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</si>
  <si>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</si>
  <si>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</si>
  <si>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</si>
  <si>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</si>
  <si>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</si>
  <si>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</si>
  <si>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</si>
  <si>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</si>
  <si>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</si>
  <si>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</si>
  <si>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</si>
  <si>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</si>
  <si>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</si>
  <si>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</si>
  <si>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</si>
  <si>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</si>
  <si>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</si>
  <si>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</si>
  <si>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</si>
  <si>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</si>
  <si>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</si>
  <si>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</si>
  <si>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</si>
  <si>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</si>
  <si>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</si>
  <si>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</si>
  <si>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</si>
  <si>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</si>
  <si>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</si>
  <si>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</si>
  <si>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</si>
  <si>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</si>
  <si>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</si>
  <si>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</si>
  <si>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</si>
  <si>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</si>
  <si>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</si>
  <si>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</si>
  <si>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</si>
  <si>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</si>
  <si>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</si>
  <si>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</si>
  <si>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</si>
  <si>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</si>
  <si>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</si>
  <si>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</si>
  <si>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</si>
  <si>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</si>
  <si>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</si>
  <si>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</si>
  <si>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</si>
  <si>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</si>
  <si>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</si>
  <si>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</si>
  <si>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</si>
  <si>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</si>
  <si>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</si>
  <si>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</si>
  <si>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</si>
  <si>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</si>
  <si>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</si>
  <si>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</si>
  <si>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</si>
  <si>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</si>
  <si>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</si>
  <si>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</si>
  <si>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</si>
  <si>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</si>
  <si>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</si>
  <si>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</si>
  <si>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</si>
  <si>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</si>
  <si>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</si>
  <si>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</si>
  <si>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</si>
  <si>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</si>
  <si>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</si>
  <si>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</si>
  <si>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</si>
  <si>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</si>
  <si>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</si>
  <si>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</si>
  <si>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</si>
  <si>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</si>
  <si>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</si>
  <si>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</si>
  <si>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</si>
  <si>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</si>
  <si>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</si>
  <si>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</si>
  <si>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</si>
  <si>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</si>
  <si>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</si>
  <si>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</si>
  <si>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</si>
  <si>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</si>
  <si>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</si>
  <si>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</si>
  <si>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</si>
  <si>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</si>
  <si>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</si>
  <si>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</si>
  <si>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</si>
  <si>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</si>
  <si>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</si>
  <si>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</si>
  <si>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</si>
  <si>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</si>
  <si>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</si>
  <si>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</si>
  <si>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</si>
  <si>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</si>
  <si>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</si>
  <si>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</si>
  <si>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</si>
  <si>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</si>
  <si>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</si>
  <si>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</si>
  <si>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</si>
  <si>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</si>
  <si>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</si>
  <si>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</si>
  <si>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</si>
  <si>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</si>
  <si>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</si>
  <si>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</si>
  <si>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</si>
  <si>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</si>
  <si>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</si>
  <si>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</si>
  <si>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</si>
  <si>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</si>
  <si>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</si>
  <si>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</si>
  <si>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</si>
  <si>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</si>
  <si>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</si>
  <si>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</si>
  <si>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</si>
  <si>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</si>
  <si>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</si>
  <si>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</si>
  <si>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</si>
  <si>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</si>
  <si>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</si>
  <si>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</si>
  <si>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</si>
  <si>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</si>
  <si>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</si>
  <si>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</si>
  <si>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</si>
  <si>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</si>
  <si>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</si>
  <si>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</si>
  <si>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</si>
  <si>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</si>
  <si>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</si>
  <si>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</si>
  <si>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</si>
  <si>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</si>
  <si>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</si>
  <si>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</si>
  <si>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</si>
  <si>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</si>
  <si>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</si>
  <si>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</si>
  <si>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</si>
  <si>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</si>
  <si>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</si>
  <si>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</si>
  <si>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</si>
  <si>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</si>
  <si>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</si>
  <si>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</si>
  <si>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</si>
  <si>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</si>
  <si>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</si>
  <si>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</si>
  <si>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</si>
  <si>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</si>
  <si>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</si>
  <si>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</si>
  <si>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</si>
  <si>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</si>
  <si>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</si>
  <si>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</si>
  <si>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</si>
  <si>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</si>
  <si>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</si>
  <si>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</si>
  <si>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</si>
  <si>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</si>
  <si>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</si>
  <si>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</si>
  <si>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</si>
  <si>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</si>
  <si>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</si>
  <si>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</si>
  <si>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</si>
  <si>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</si>
  <si>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</si>
  <si>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</si>
  <si>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</si>
  <si>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</si>
  <si>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</si>
  <si>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</si>
  <si>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</si>
  <si>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</si>
  <si>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</si>
  <si>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</si>
  <si>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</si>
  <si>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</si>
  <si>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</si>
  <si>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</si>
  <si>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</si>
  <si>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</si>
  <si>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</si>
  <si>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</si>
  <si>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</si>
  <si>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</si>
  <si>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</si>
  <si>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</si>
  <si>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</si>
  <si>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</si>
  <si>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</si>
  <si>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</si>
  <si>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</si>
  <si>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</si>
  <si>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</si>
  <si>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</si>
  <si>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</si>
  <si>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</si>
  <si>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</si>
  <si>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</si>
  <si>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</si>
  <si>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</si>
  <si>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</si>
  <si>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</si>
  <si>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</si>
  <si>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</si>
  <si>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</si>
  <si>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</si>
  <si>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</si>
  <si>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</si>
  <si>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</si>
  <si>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</si>
  <si>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</si>
  <si>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</si>
  <si>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</si>
  <si>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</si>
  <si>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</si>
  <si>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</si>
  <si>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</si>
  <si>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</si>
  <si>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</si>
  <si>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</si>
  <si>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</si>
  <si>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</si>
  <si>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</si>
  <si>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</si>
  <si>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</si>
  <si>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</si>
  <si>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</si>
  <si>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</si>
  <si>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</si>
  <si>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</si>
  <si>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</si>
  <si>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</si>
  <si>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</si>
  <si>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</si>
  <si>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</si>
  <si>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</si>
  <si>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</si>
  <si>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</si>
  <si>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</si>
  <si>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</si>
  <si>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</si>
  <si>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</si>
  <si>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</si>
  <si>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</si>
  <si>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</si>
  <si>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</si>
  <si>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</si>
  <si>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</si>
  <si>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</si>
  <si>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</si>
  <si>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</si>
  <si>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</si>
  <si>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</si>
  <si>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</si>
  <si>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</si>
  <si>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</si>
  <si>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</si>
  <si>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</si>
  <si>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</si>
  <si>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</si>
  <si>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</si>
  <si>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</si>
  <si>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</si>
  <si>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</si>
  <si>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</si>
  <si>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</si>
  <si>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</si>
  <si>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</si>
  <si>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</si>
  <si>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</si>
  <si>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</si>
  <si>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</si>
  <si>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</si>
  <si>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</si>
  <si>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</si>
  <si>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</si>
  <si>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</si>
  <si>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</si>
  <si>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</si>
  <si>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</si>
  <si>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</si>
  <si>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</si>
  <si>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</si>
  <si>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</si>
  <si>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</si>
  <si>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</si>
  <si>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</si>
  <si>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</si>
  <si>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</si>
  <si>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</si>
  <si>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</si>
  <si>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</si>
  <si>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</si>
  <si>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</si>
  <si>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</si>
  <si>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</si>
  <si>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</si>
  <si>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</si>
  <si>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</si>
  <si>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</si>
  <si>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</si>
  <si>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</si>
  <si>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</si>
  <si>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</si>
  <si>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</si>
  <si>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</si>
  <si>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</si>
  <si>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</si>
  <si>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</si>
  <si>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</si>
  <si>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</si>
  <si>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</si>
  <si>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</si>
  <si>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</si>
  <si>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</si>
  <si>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</si>
  <si>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</si>
  <si>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</si>
  <si>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</si>
  <si>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</si>
  <si>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</si>
  <si>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</si>
  <si>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</si>
  <si>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</si>
  <si>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</si>
  <si>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</si>
  <si>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</si>
  <si>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</si>
  <si>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</si>
  <si>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</si>
  <si>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</si>
  <si>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</si>
  <si>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</si>
  <si>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</si>
  <si>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</si>
  <si>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</si>
  <si>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</si>
  <si>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</si>
  <si>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</si>
  <si>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</si>
  <si>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</si>
  <si>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</si>
  <si>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</si>
  <si>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</si>
  <si>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</si>
  <si>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</si>
  <si>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</si>
  <si>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</si>
  <si>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</si>
  <si>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</si>
  <si>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</si>
  <si>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</si>
  <si>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</si>
  <si>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</si>
  <si>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</si>
  <si>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</si>
  <si>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</si>
  <si>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</si>
  <si>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</si>
  <si>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</si>
  <si>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</si>
  <si>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</si>
  <si>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</si>
  <si>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</si>
  <si>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</si>
  <si>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</si>
  <si>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</si>
  <si>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</si>
  <si>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</si>
  <si>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</si>
  <si>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</si>
  <si>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</si>
  <si>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</si>
  <si>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</si>
  <si>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</si>
  <si>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</si>
  <si>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</si>
  <si>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</si>
  <si>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</si>
  <si>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</si>
  <si>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</si>
  <si>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</si>
  <si>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</si>
  <si>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</si>
  <si>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</si>
  <si>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</si>
  <si>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</si>
  <si>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</si>
  <si>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</si>
  <si>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</si>
  <si>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</si>
  <si>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</si>
  <si>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</si>
  <si>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</si>
  <si>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</si>
  <si>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</si>
  <si>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</si>
  <si>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</si>
  <si>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</si>
  <si>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</si>
  <si>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</si>
  <si>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</si>
  <si>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</si>
  <si>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</si>
  <si>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</si>
  <si>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</si>
  <si>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</si>
  <si>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</si>
  <si>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</si>
  <si>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</si>
  <si>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</si>
  <si>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</si>
  <si>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</si>
  <si>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</si>
  <si>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</si>
  <si>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</si>
  <si>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</si>
  <si>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</si>
  <si>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</si>
  <si>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</si>
  <si>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</si>
  <si>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</si>
  <si>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</si>
  <si>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</si>
  <si>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</si>
  <si>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</si>
  <si>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</si>
  <si>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</si>
  <si>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</si>
  <si>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</si>
  <si>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</si>
  <si>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</si>
  <si>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</si>
  <si>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</si>
  <si>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</si>
  <si>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</si>
  <si>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</si>
  <si>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</si>
  <si>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</si>
  <si>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</si>
  <si>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</si>
  <si>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</si>
  <si>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</si>
  <si>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</si>
  <si>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</si>
  <si>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</si>
  <si>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</si>
  <si>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</si>
  <si>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</si>
  <si>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</si>
  <si>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</si>
  <si>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</si>
  <si>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</si>
  <si>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</si>
  <si>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</si>
  <si>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</si>
  <si>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</si>
  <si>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</si>
  <si>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</si>
  <si>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</si>
  <si>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</si>
  <si>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</si>
  <si>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</si>
  <si>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</si>
  <si>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</si>
  <si>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</si>
  <si>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</si>
  <si>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</si>
  <si>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</si>
  <si>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</si>
  <si>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</si>
  <si>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</si>
  <si>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</si>
  <si>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</si>
  <si>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</si>
  <si>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</si>
  <si>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</si>
  <si>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</si>
  <si>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</si>
  <si>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</si>
  <si>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</si>
  <si>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</si>
  <si>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</si>
  <si>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</si>
  <si>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</si>
  <si>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</si>
  <si>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</si>
  <si>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</si>
  <si>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</si>
  <si>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</si>
  <si>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</si>
  <si>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</si>
  <si>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</si>
  <si>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</si>
  <si>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</si>
  <si>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</si>
  <si>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</si>
  <si>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</si>
  <si>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</si>
  <si>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</si>
  <si>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</si>
  <si>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</si>
  <si>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</si>
  <si>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</si>
  <si>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</si>
  <si>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</si>
  <si>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</si>
  <si>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</si>
  <si>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</si>
  <si>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</si>
  <si>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</si>
  <si>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</si>
  <si>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</si>
  <si>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</si>
  <si>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</si>
  <si>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</si>
  <si>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</si>
  <si>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</si>
  <si>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</si>
  <si>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</si>
  <si>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</si>
  <si>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</si>
  <si>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</si>
  <si>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</si>
  <si>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</si>
  <si>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</si>
  <si>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</si>
  <si>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</si>
  <si>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</si>
  <si>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</si>
  <si>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</si>
  <si>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</si>
  <si>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</si>
  <si>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</si>
  <si>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</si>
  <si>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</si>
  <si>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</si>
  <si>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</si>
  <si>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</si>
  <si>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</si>
  <si>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</si>
  <si>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</si>
  <si>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</si>
  <si>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</si>
  <si>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</si>
  <si>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</si>
  <si>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</si>
  <si>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</si>
  <si>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</si>
  <si>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</si>
  <si>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</si>
  <si>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</si>
  <si>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</si>
  <si>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</si>
  <si>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</si>
  <si>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</si>
  <si>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</si>
  <si>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</si>
  <si>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</si>
  <si>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</si>
  <si>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</si>
  <si>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</si>
  <si>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</si>
  <si>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</si>
  <si>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</si>
  <si>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</si>
  <si>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</si>
  <si>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</si>
  <si>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</si>
  <si>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</si>
  <si>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</si>
  <si>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</si>
  <si>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</si>
  <si>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</si>
  <si>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</si>
  <si>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</si>
  <si>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</si>
  <si>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</si>
  <si>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</si>
  <si>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</si>
  <si>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</si>
  <si>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</si>
  <si>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</si>
  <si>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</si>
  <si>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</si>
  <si>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</si>
  <si>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</si>
  <si>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</si>
  <si>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</si>
  <si>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</si>
  <si>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</si>
  <si>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</si>
  <si>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</si>
  <si>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</si>
  <si>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</si>
  <si>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</si>
  <si>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</si>
  <si>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</si>
  <si>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</si>
  <si>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</si>
  <si>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</si>
  <si>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</si>
  <si>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</si>
  <si>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</si>
  <si>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</si>
  <si>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</si>
  <si>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</si>
  <si>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</si>
  <si>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</si>
  <si>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</si>
  <si>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</si>
  <si>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</si>
  <si>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</si>
  <si>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</si>
  <si>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</si>
  <si>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</si>
  <si>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</si>
  <si>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</si>
  <si>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</si>
  <si>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</si>
  <si>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</si>
  <si>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</si>
  <si>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</si>
  <si>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</si>
  <si>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</si>
  <si>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</si>
  <si>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</si>
  <si>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</si>
  <si>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</si>
  <si>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</si>
  <si>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</si>
  <si>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</si>
  <si>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</si>
  <si>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</si>
  <si>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</si>
  <si>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</si>
  <si>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</si>
  <si>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</si>
  <si>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</si>
  <si>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</si>
  <si>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</si>
  <si>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</si>
  <si>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</si>
  <si>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</si>
  <si>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</si>
  <si>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</si>
  <si>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</si>
  <si>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</si>
  <si>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</si>
  <si>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</si>
  <si>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</si>
  <si>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</si>
  <si>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</si>
  <si>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</si>
  <si>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</si>
  <si>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</si>
  <si>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</si>
  <si>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</si>
  <si>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</si>
  <si>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</si>
  <si>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</si>
  <si>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</si>
  <si>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</si>
  <si>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</si>
  <si>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</si>
  <si>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</si>
  <si>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</si>
  <si>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</si>
  <si>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</si>
  <si>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</si>
  <si>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</si>
  <si>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</si>
  <si>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</si>
  <si>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</si>
  <si>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</si>
  <si>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</si>
  <si>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</si>
  <si>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</si>
  <si>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</si>
  <si>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</si>
  <si>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</si>
  <si>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</si>
  <si>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</si>
  <si>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</si>
  <si>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</si>
  <si>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</si>
  <si>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</si>
  <si>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</si>
  <si>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</si>
  <si>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</si>
  <si>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</si>
  <si>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</si>
  <si>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</si>
  <si>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</si>
  <si>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</si>
  <si>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</si>
  <si>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</si>
  <si>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</si>
  <si>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</si>
  <si>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</si>
  <si>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</si>
  <si>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</si>
  <si>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</si>
  <si>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</si>
  <si>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</si>
  <si>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</si>
  <si>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</si>
  <si>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</si>
  <si>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</si>
  <si>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</si>
  <si>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</si>
  <si>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</si>
  <si>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</si>
  <si>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</si>
  <si>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</si>
  <si>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</si>
  <si>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</si>
  <si>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</si>
  <si>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</si>
  <si>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</si>
  <si>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</si>
  <si>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</si>
  <si>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</si>
  <si>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</si>
  <si>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</si>
  <si>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</si>
  <si>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</si>
  <si>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</si>
  <si>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</si>
  <si>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</si>
  <si>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</si>
  <si>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</si>
  <si>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</si>
  <si>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</si>
  <si>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</si>
  <si>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</si>
  <si>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</si>
  <si>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</si>
  <si>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</si>
  <si>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</si>
  <si>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</si>
  <si>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</si>
  <si>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</si>
  <si>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</si>
  <si>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</si>
  <si>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</si>
  <si>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</si>
  <si>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</si>
  <si>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</si>
  <si>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</si>
  <si>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</si>
  <si>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</si>
  <si>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</si>
  <si>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</si>
  <si>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</si>
  <si>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</si>
  <si>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</si>
  <si>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</si>
  <si>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</si>
  <si>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</si>
  <si>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</si>
  <si>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</si>
  <si>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</si>
  <si>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</si>
  <si>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</si>
  <si>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</si>
  <si>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</si>
  <si>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</si>
  <si>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</si>
  <si>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</si>
  <si>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</si>
  <si>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</si>
  <si>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</si>
  <si>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</si>
  <si>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</si>
  <si>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</si>
  <si>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</si>
  <si>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</si>
  <si>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</si>
  <si>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</si>
  <si>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</si>
  <si>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</si>
  <si>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</si>
  <si>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</si>
  <si>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</si>
  <si>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</si>
  <si>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</si>
  <si>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</si>
  <si>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</si>
  <si>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</si>
  <si>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</si>
  <si>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</si>
  <si>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</si>
  <si>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</si>
  <si>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</si>
  <si>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</si>
  <si>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</si>
  <si>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</si>
  <si>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</si>
  <si>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</si>
  <si>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</si>
  <si>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</si>
  <si>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</si>
  <si>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</si>
  <si>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</si>
  <si>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</si>
  <si>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</si>
  <si>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</si>
  <si>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</si>
  <si>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</si>
  <si>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</si>
  <si>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</si>
  <si>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</si>
  <si>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</si>
  <si>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</si>
  <si>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</si>
  <si>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</si>
  <si>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</si>
  <si>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</si>
  <si>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</si>
  <si>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</si>
  <si>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</si>
  <si>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</si>
  <si>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</si>
  <si>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</si>
  <si>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</si>
  <si>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</si>
  <si>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</si>
  <si>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</si>
  <si>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</si>
  <si>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</si>
  <si>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</si>
  <si>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</si>
  <si>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</si>
  <si>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</si>
  <si>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</si>
  <si>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</si>
  <si>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</si>
  <si>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</si>
  <si>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</si>
  <si>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</si>
  <si>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</si>
  <si>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</si>
  <si>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</si>
  <si>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</si>
  <si>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</si>
  <si>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</si>
  <si>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</si>
  <si>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</si>
  <si>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</si>
  <si>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</si>
  <si>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</si>
  <si>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</si>
  <si>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</si>
  <si>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</si>
  <si>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</si>
  <si>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</si>
  <si>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</si>
  <si>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</si>
  <si>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</si>
  <si>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</si>
  <si>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</si>
  <si>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</si>
  <si>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</si>
  <si>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</si>
  <si>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</si>
  <si>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</si>
  <si>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</si>
  <si>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</si>
  <si>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</si>
  <si>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</si>
  <si>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</si>
  <si>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</si>
  <si>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</si>
  <si>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</si>
  <si>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</si>
  <si>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</si>
  <si>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</si>
  <si>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</si>
  <si>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</si>
  <si>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</si>
  <si>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</si>
  <si>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</si>
  <si>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</si>
  <si>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</si>
  <si>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</si>
  <si>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</si>
  <si>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</si>
  <si>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</si>
  <si>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</si>
  <si>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</si>
  <si>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</si>
  <si>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</si>
  <si>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</si>
  <si>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</si>
  <si>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</si>
  <si>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</si>
  <si>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</si>
  <si>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</si>
  <si>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</si>
  <si>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</si>
  <si>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</si>
  <si>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</si>
  <si>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</si>
  <si>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</si>
  <si>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</si>
  <si>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</si>
  <si>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</si>
  <si>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</si>
  <si>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</si>
  <si>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</si>
  <si>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</si>
  <si>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</si>
  <si>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</si>
  <si>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</si>
  <si>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</si>
  <si>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</si>
  <si>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</si>
  <si>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</si>
  <si>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</si>
  <si>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</si>
  <si>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</si>
  <si>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</si>
  <si>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</si>
  <si>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</si>
  <si>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</si>
  <si>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</si>
  <si>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</si>
  <si>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</si>
  <si>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</si>
  <si>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</si>
  <si>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</si>
  <si>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</si>
  <si>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</si>
  <si>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</si>
  <si>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</si>
  <si>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</si>
  <si>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</si>
  <si>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</si>
  <si>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</si>
  <si>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</si>
  <si>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</si>
  <si>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</si>
  <si>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</si>
  <si>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</si>
  <si>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</si>
  <si>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</si>
  <si>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</si>
  <si>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</si>
  <si>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</si>
  <si>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</si>
  <si>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</si>
  <si>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</si>
  <si>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</si>
  <si>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</si>
  <si>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</si>
  <si>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</si>
  <si>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</si>
  <si>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</si>
  <si>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</si>
  <si>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</si>
  <si>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</si>
  <si>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</si>
  <si>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</si>
  <si>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</si>
  <si>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</si>
  <si>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</si>
  <si>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</si>
  <si>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</si>
  <si>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</si>
  <si>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</si>
  <si>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</si>
  <si>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</si>
  <si>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</si>
  <si>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</si>
  <si>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</si>
  <si>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</si>
  <si>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</si>
  <si>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</si>
  <si>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</si>
  <si>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</si>
  <si>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</si>
  <si>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</si>
  <si>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</si>
  <si>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</si>
  <si>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</si>
  <si>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</si>
  <si>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</si>
  <si>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</si>
  <si>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</si>
  <si>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</si>
  <si>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</si>
  <si>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</si>
  <si>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</si>
  <si>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</si>
  <si>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</si>
  <si>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</si>
  <si>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</si>
  <si>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</si>
  <si>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</si>
  <si>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</si>
  <si>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</si>
  <si>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</si>
  <si>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</si>
  <si>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</si>
  <si>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</si>
  <si>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</si>
  <si>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</si>
  <si>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</si>
  <si>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</si>
  <si>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</si>
  <si>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</si>
  <si>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</si>
  <si>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</si>
  <si>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</si>
  <si>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</si>
  <si>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</si>
  <si>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</si>
  <si>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</si>
  <si>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</si>
  <si>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</si>
  <si>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</si>
  <si>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</si>
  <si>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</si>
  <si>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</si>
  <si>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</si>
  <si>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</si>
  <si>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</si>
  <si>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</si>
  <si>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</si>
  <si>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</si>
  <si>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</si>
  <si>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</si>
  <si>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</si>
  <si>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</si>
  <si>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</si>
  <si>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</si>
  <si>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</si>
  <si>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</si>
  <si>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</si>
  <si>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</si>
  <si>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</si>
  <si>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</si>
  <si>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</si>
  <si>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</si>
  <si>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</si>
  <si>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</si>
  <si>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</si>
  <si>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</si>
  <si>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</si>
  <si>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</si>
  <si>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</si>
  <si>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</si>
  <si>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</si>
  <si>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</si>
  <si>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</si>
  <si>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</si>
  <si>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</si>
  <si>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</si>
  <si>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</si>
  <si>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</si>
  <si>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</si>
  <si>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</si>
  <si>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</si>
  <si>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</si>
  <si>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</si>
  <si>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</si>
  <si>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</si>
  <si>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</si>
  <si>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</si>
  <si>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</si>
  <si>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</si>
  <si>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</si>
  <si>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</si>
  <si>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</si>
  <si>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</si>
  <si>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</si>
  <si>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</si>
  <si>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</si>
  <si>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</si>
  <si>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</si>
  <si>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</si>
  <si>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</si>
  <si>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</si>
  <si>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</si>
  <si>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</si>
  <si>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</si>
  <si>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</si>
  <si>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</si>
  <si>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</si>
  <si>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</si>
  <si>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</si>
  <si>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</si>
  <si>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</si>
  <si>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</si>
  <si>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</si>
  <si>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</si>
  <si>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</si>
  <si>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</si>
  <si>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</si>
  <si>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</si>
  <si>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</si>
  <si>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</si>
  <si>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</si>
  <si>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</si>
  <si>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</si>
  <si>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</si>
  <si>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</si>
  <si>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</si>
  <si>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</si>
  <si>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</si>
  <si>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</si>
  <si>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</si>
  <si>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</si>
  <si>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</si>
  <si>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</si>
  <si>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</si>
  <si>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</si>
  <si>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</si>
  <si>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</si>
  <si>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</si>
  <si>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</si>
  <si>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</si>
  <si>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</si>
  <si>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</si>
  <si>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</si>
  <si>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</si>
  <si>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</si>
  <si>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</si>
  <si>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</si>
  <si>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</si>
  <si>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</si>
  <si>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</si>
  <si>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</si>
  <si>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</si>
  <si>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</si>
  <si>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</si>
  <si>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</si>
  <si>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</si>
  <si>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</si>
  <si>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</si>
  <si>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</si>
  <si>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</si>
  <si>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</si>
  <si>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</si>
  <si>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</si>
  <si>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</si>
  <si>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</si>
  <si>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</si>
  <si>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</si>
  <si>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</si>
  <si>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</si>
  <si>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</si>
  <si>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</si>
  <si>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</si>
  <si>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</si>
  <si>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</si>
  <si>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</si>
  <si>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</si>
  <si>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</si>
  <si>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</si>
  <si>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</si>
  <si>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</si>
  <si>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</si>
  <si>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</si>
  <si>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</si>
  <si>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</si>
  <si>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</si>
  <si>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</si>
  <si>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</si>
  <si>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</si>
  <si>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</si>
  <si>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</si>
  <si>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</si>
  <si>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</si>
  <si>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</si>
  <si>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</si>
  <si>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</si>
  <si>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</si>
  <si>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</si>
  <si>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</si>
  <si>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</si>
  <si>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</si>
  <si>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</si>
  <si>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</si>
  <si>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</si>
  <si>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</si>
  <si>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</si>
  <si>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</si>
  <si>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</si>
  <si>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</si>
  <si>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</si>
  <si>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</si>
  <si>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</si>
  <si>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</si>
  <si>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</si>
  <si>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</si>
  <si>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</si>
  <si>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</si>
  <si>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</si>
  <si>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</si>
  <si>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</si>
  <si>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</si>
  <si>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</si>
  <si>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</si>
  <si>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</si>
  <si>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</si>
  <si>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</si>
  <si>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</si>
  <si>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</si>
  <si>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</si>
  <si>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</si>
  <si>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</si>
  <si>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</si>
  <si>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</si>
  <si>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</si>
  <si>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</si>
  <si>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</si>
  <si>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</si>
  <si>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</si>
  <si>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</si>
  <si>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</si>
  <si>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</si>
  <si>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</si>
  <si>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</si>
  <si>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</si>
  <si>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</si>
  <si>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</si>
  <si>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</si>
  <si>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</si>
  <si>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</si>
  <si>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</si>
  <si>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</si>
  <si>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</si>
  <si>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</si>
  <si>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</si>
  <si>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</si>
  <si>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</si>
  <si>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</si>
  <si>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</si>
  <si>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</si>
  <si>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</si>
  <si>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</si>
  <si>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</si>
  <si>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</si>
  <si>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</si>
  <si>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</si>
  <si>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</si>
  <si>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</si>
  <si>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</si>
  <si>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</si>
  <si>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</si>
  <si>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</si>
  <si>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</si>
  <si>
    <t>2026-097</t>
  </si>
  <si>
    <t>14556/2026</t>
  </si>
  <si>
    <t>Oficina de Avaliação em T&amp;D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</si>
</sst>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44" fontId="8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0" applyFont="1"/>
    <xf numFmtId="0" fontId="12" fillId="4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6" fillId="7" borderId="4" xfId="0" applyFont="1" applyFill="1" applyBorder="1" applyAlignment="1">
      <alignment horizontal="center"/>
    </xf>
    <xf numFmtId="0" fontId="18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0" fontId="18" fillId="9" borderId="4" xfId="0" applyFont="1" applyFill="1" applyBorder="1"/>
    <xf numFmtId="3" fontId="21" fillId="9" borderId="4" xfId="0" applyNumberFormat="1" applyFont="1" applyFill="1" applyBorder="1" applyAlignment="1">
      <alignment horizontal="center"/>
    </xf>
    <xf numFmtId="0" fontId="16" fillId="7" borderId="4" xfId="0" applyFont="1" applyFill="1" applyBorder="1"/>
    <xf numFmtId="3" fontId="22" fillId="7" borderId="4" xfId="0" applyNumberFormat="1" applyFont="1" applyFill="1" applyBorder="1" applyAlignment="1">
      <alignment horizontal="center"/>
    </xf>
    <xf numFmtId="3" fontId="19" fillId="8" borderId="6" xfId="0" applyNumberFormat="1" applyFont="1" applyFill="1" applyBorder="1" applyAlignment="1">
      <alignment horizontal="center"/>
    </xf>
    <xf numFmtId="0" fontId="18" fillId="8" borderId="8" xfId="0" applyFont="1" applyFill="1" applyBorder="1" applyAlignment="1">
      <alignment horizontal="left"/>
    </xf>
    <xf numFmtId="3" fontId="23" fillId="8" borderId="4" xfId="0" applyNumberFormat="1" applyFont="1" applyFill="1" applyBorder="1" applyAlignment="1">
      <alignment horizontal="center"/>
    </xf>
    <xf numFmtId="167" fontId="18" fillId="8" borderId="4" xfId="0" applyNumberFormat="1" applyFont="1" applyFill="1" applyBorder="1" applyAlignment="1">
      <alignment horizontal="center"/>
    </xf>
    <xf numFmtId="3" fontId="23" fillId="9" borderId="4" xfId="0" applyNumberFormat="1" applyFont="1" applyFill="1" applyBorder="1" applyAlignment="1">
      <alignment horizontal="center"/>
    </xf>
    <xf numFmtId="167" fontId="18" fillId="9" borderId="4" xfId="0" applyNumberFormat="1" applyFont="1" applyFill="1" applyBorder="1" applyAlignment="1">
      <alignment horizontal="center"/>
    </xf>
    <xf numFmtId="3" fontId="24" fillId="7" borderId="4" xfId="0" applyNumberFormat="1" applyFont="1" applyFill="1" applyBorder="1" applyAlignment="1">
      <alignment horizontal="center"/>
    </xf>
    <xf numFmtId="167" fontId="16" fillId="7" borderId="4" xfId="0" applyNumberFormat="1" applyFont="1" applyFill="1" applyBorder="1" applyAlignment="1">
      <alignment horizontal="center"/>
    </xf>
    <xf numFmtId="3" fontId="27" fillId="11" borderId="6" xfId="0" applyNumberFormat="1" applyFont="1" applyFill="1" applyBorder="1" applyAlignment="1">
      <alignment horizontal="center"/>
    </xf>
    <xf numFmtId="0" fontId="26" fillId="11" borderId="8" xfId="0" applyFont="1" applyFill="1" applyBorder="1" applyAlignment="1">
      <alignment horizontal="left"/>
    </xf>
    <xf numFmtId="0" fontId="16" fillId="12" borderId="9" xfId="0" applyFont="1" applyFill="1" applyBorder="1" applyAlignment="1">
      <alignment horizontal="center"/>
    </xf>
    <xf numFmtId="3" fontId="28" fillId="13" borderId="10" xfId="0" applyNumberFormat="1" applyFont="1" applyFill="1" applyBorder="1" applyAlignment="1">
      <alignment horizontal="center"/>
    </xf>
    <xf numFmtId="3" fontId="29" fillId="8" borderId="4" xfId="0" applyNumberFormat="1" applyFont="1" applyFill="1" applyBorder="1" applyAlignment="1">
      <alignment horizontal="center"/>
    </xf>
    <xf numFmtId="3" fontId="29" fillId="9" borderId="4" xfId="0" applyNumberFormat="1" applyFont="1" applyFill="1" applyBorder="1" applyAlignment="1">
      <alignment horizontal="center"/>
    </xf>
    <xf numFmtId="0" fontId="34" fillId="0" borderId="0" xfId="0" applyFont="1"/>
    <xf numFmtId="0" fontId="38" fillId="14" borderId="11" xfId="0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horizontal="center" vertical="center"/>
    </xf>
    <xf numFmtId="3" fontId="39" fillId="14" borderId="11" xfId="0" applyNumberFormat="1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3" fontId="39" fillId="3" borderId="13" xfId="0" applyNumberFormat="1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3" fontId="39" fillId="14" borderId="13" xfId="0" applyNumberFormat="1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vertical="center" wrapText="1"/>
    </xf>
    <xf numFmtId="0" fontId="39" fillId="3" borderId="13" xfId="0" applyFont="1" applyFill="1" applyBorder="1" applyAlignment="1">
      <alignment vertical="center" wrapText="1"/>
    </xf>
    <xf numFmtId="0" fontId="39" fillId="14" borderId="13" xfId="0" applyFont="1" applyFill="1" applyBorder="1" applyAlignment="1">
      <alignment vertical="center" wrapText="1"/>
    </xf>
    <xf numFmtId="0" fontId="37" fillId="7" borderId="0" xfId="0" applyFont="1" applyFill="1" applyAlignment="1">
      <alignment horizontal="center" vertical="center"/>
    </xf>
    <xf numFmtId="0" fontId="18" fillId="8" borderId="18" xfId="0" applyFont="1" applyFill="1" applyBorder="1"/>
    <xf numFmtId="3" fontId="23" fillId="8" borderId="18" xfId="0" applyNumberFormat="1" applyFont="1" applyFill="1" applyBorder="1" applyAlignment="1">
      <alignment horizontal="center"/>
    </xf>
    <xf numFmtId="3" fontId="29" fillId="8" borderId="18" xfId="0" applyNumberFormat="1" applyFont="1" applyFill="1" applyBorder="1" applyAlignment="1">
      <alignment horizontal="center"/>
    </xf>
    <xf numFmtId="167" fontId="18" fillId="8" borderId="18" xfId="0" applyNumberFormat="1" applyFont="1" applyFill="1" applyBorder="1" applyAlignment="1">
      <alignment horizontal="center"/>
    </xf>
    <xf numFmtId="0" fontId="31" fillId="9" borderId="19" xfId="0" applyFont="1" applyFill="1" applyBorder="1"/>
    <xf numFmtId="3" fontId="25" fillId="9" borderId="19" xfId="0" applyNumberFormat="1" applyFont="1" applyFill="1" applyBorder="1" applyAlignment="1">
      <alignment horizontal="center"/>
    </xf>
    <xf numFmtId="167" fontId="30" fillId="9" borderId="19" xfId="0" applyNumberFormat="1" applyFont="1" applyFill="1" applyBorder="1" applyAlignment="1">
      <alignment horizontal="center"/>
    </xf>
    <xf numFmtId="3" fontId="23" fillId="8" borderId="20" xfId="0" applyNumberFormat="1" applyFont="1" applyFill="1" applyBorder="1" applyAlignment="1">
      <alignment horizontal="center"/>
    </xf>
    <xf numFmtId="3" fontId="29" fillId="8" borderId="20" xfId="0" applyNumberFormat="1" applyFont="1" applyFill="1" applyBorder="1" applyAlignment="1">
      <alignment horizontal="center"/>
    </xf>
    <xf numFmtId="3" fontId="23" fillId="9" borderId="20" xfId="0" applyNumberFormat="1" applyFont="1" applyFill="1" applyBorder="1" applyAlignment="1">
      <alignment horizontal="center"/>
    </xf>
    <xf numFmtId="3" fontId="29" fillId="9" borderId="20" xfId="0" applyNumberFormat="1" applyFont="1" applyFill="1" applyBorder="1" applyAlignment="1">
      <alignment horizontal="center"/>
    </xf>
    <xf numFmtId="0" fontId="18" fillId="8" borderId="20" xfId="0" applyFont="1" applyFill="1" applyBorder="1"/>
    <xf numFmtId="0" fontId="18" fillId="9" borderId="20" xfId="0" applyFont="1" applyFill="1" applyBorder="1"/>
    <xf numFmtId="167" fontId="18" fillId="8" borderId="20" xfId="0" applyNumberFormat="1" applyFont="1" applyFill="1" applyBorder="1" applyAlignment="1">
      <alignment horizontal="center"/>
    </xf>
    <xf numFmtId="167" fontId="18" fillId="9" borderId="20" xfId="0" applyNumberFormat="1" applyFont="1" applyFill="1" applyBorder="1" applyAlignment="1">
      <alignment horizontal="center"/>
    </xf>
    <xf numFmtId="0" fontId="24" fillId="7" borderId="0" xfId="0" applyFont="1" applyFill="1"/>
    <xf numFmtId="0" fontId="40" fillId="4" borderId="0" xfId="0" applyFont="1" applyFill="1" applyAlignment="1">
      <alignment horizontal="center"/>
    </xf>
    <xf numFmtId="0" fontId="4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9" fillId="14" borderId="11" xfId="0" applyNumberFormat="1" applyFont="1" applyFill="1" applyBorder="1" applyAlignment="1">
      <alignment horizontal="center" vertical="center"/>
    </xf>
    <xf numFmtId="165" fontId="39" fillId="3" borderId="13" xfId="0" applyNumberFormat="1" applyFont="1" applyFill="1" applyBorder="1" applyAlignment="1">
      <alignment horizontal="center" vertical="center"/>
    </xf>
    <xf numFmtId="165" fontId="39" fillId="14" borderId="13" xfId="0" applyNumberFormat="1" applyFont="1" applyFill="1" applyBorder="1" applyAlignment="1">
      <alignment horizontal="center" vertical="center"/>
    </xf>
    <xf numFmtId="0" fontId="42" fillId="13" borderId="13" xfId="0" applyFont="1" applyFill="1" applyBorder="1" applyAlignment="1">
      <alignment horizontal="center"/>
    </xf>
    <xf numFmtId="165" fontId="42" fillId="13" borderId="13" xfId="0" applyNumberFormat="1" applyFont="1" applyFill="1" applyBorder="1" applyAlignment="1">
      <alignment horizontal="center"/>
    </xf>
    <xf numFmtId="0" fontId="42" fillId="13" borderId="13" xfId="0" applyFont="1" applyFill="1" applyBorder="1"/>
    <xf numFmtId="3" fontId="42" fillId="13" borderId="13" xfId="0" applyNumberFormat="1" applyFont="1" applyFill="1" applyBorder="1" applyAlignment="1">
      <alignment horizontal="center"/>
    </xf>
    <xf numFmtId="0" fontId="42" fillId="13" borderId="12" xfId="0" applyFont="1" applyFill="1" applyBorder="1" applyAlignment="1">
      <alignment horizontal="center"/>
    </xf>
    <xf numFmtId="165" fontId="42" fillId="13" borderId="12" xfId="0" applyNumberFormat="1" applyFont="1" applyFill="1" applyBorder="1" applyAlignment="1">
      <alignment horizontal="center"/>
    </xf>
    <xf numFmtId="0" fontId="42" fillId="13" borderId="12" xfId="0" applyFont="1" applyFill="1" applyBorder="1"/>
    <xf numFmtId="3" fontId="42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3" fillId="0" borderId="22" xfId="0" applyFont="1" applyBorder="1" applyAlignment="1">
      <alignment horizontal="center"/>
    </xf>
    <xf numFmtId="166" fontId="43" fillId="0" borderId="22" xfId="0" applyNumberFormat="1" applyFont="1" applyBorder="1" applyAlignment="1">
      <alignment horizontal="center"/>
    </xf>
    <xf numFmtId="0" fontId="0" fillId="0" borderId="22" xfId="0" applyBorder="1"/>
    <xf numFmtId="0" fontId="24" fillId="7" borderId="0" xfId="0" applyFont="1" applyFill="1" applyAlignment="1">
      <alignment horizontal="center"/>
    </xf>
    <xf numFmtId="2" fontId="0" fillId="3" borderId="0" xfId="0" applyNumberFormat="1" applyFill="1"/>
    <xf numFmtId="0" fontId="2" fillId="0" borderId="0" xfId="0" applyFont="1"/>
    <xf numFmtId="0" fontId="2" fillId="0" borderId="0" xfId="0" applyFont="1" applyAlignment="1">
      <alignment vertical="center"/>
    </xf>
    <xf numFmtId="0" fontId="46" fillId="0" borderId="0" xfId="0" applyFont="1"/>
    <xf numFmtId="0" fontId="47" fillId="0" borderId="0" xfId="0" applyFont="1"/>
    <xf numFmtId="49" fontId="13" fillId="0" borderId="0" xfId="0" applyNumberFormat="1" applyFont="1"/>
    <xf numFmtId="168" fontId="5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4" fillId="4" borderId="0" xfId="0" applyFont="1" applyFill="1" applyAlignment="1">
      <alignment horizontal="center"/>
    </xf>
    <xf numFmtId="0" fontId="4" fillId="0" borderId="0" xfId="0" applyFont="1"/>
    <xf numFmtId="0" fontId="4" fillId="8" borderId="0" xfId="0" applyFont="1" applyFill="1"/>
    <xf numFmtId="0" fontId="4" fillId="8" borderId="22" xfId="0" applyFont="1" applyFill="1" applyBorder="1" applyAlignment="1">
      <alignment horizontal="center"/>
    </xf>
    <xf numFmtId="0" fontId="4" fillId="16" borderId="22" xfId="0" applyFont="1" applyFill="1" applyBorder="1" applyAlignment="1">
      <alignment horizontal="right"/>
    </xf>
    <xf numFmtId="166" fontId="4" fillId="16" borderId="22" xfId="0" applyNumberFormat="1" applyFont="1" applyFill="1" applyBorder="1" applyAlignment="1">
      <alignment horizontal="center"/>
    </xf>
    <xf numFmtId="49" fontId="5" fillId="2" borderId="23" xfId="0" applyNumberFormat="1" applyFont="1" applyFill="1" applyBorder="1" applyAlignment="1">
      <alignment horizontal="center" vertical="center"/>
    </xf>
    <xf numFmtId="0" fontId="16" fillId="7" borderId="0" xfId="0" applyFont="1" applyFill="1"/>
    <xf numFmtId="0" fontId="9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49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1" fontId="9" fillId="0" borderId="1" xfId="0" applyNumberFormat="1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right" vertical="center"/>
    </xf>
    <xf numFmtId="22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49" fontId="10" fillId="0" borderId="1" xfId="0" applyNumberFormat="1" applyFont="1" applyBorder="1" applyAlignment="1">
      <alignment horizontal="left" vertical="center"/>
    </xf>
    <xf numFmtId="14" fontId="9" fillId="0" borderId="1" xfId="0" applyNumberFormat="1" applyFont="1" applyBorder="1"/>
    <xf numFmtId="0" fontId="9" fillId="0" borderId="1" xfId="0" applyFont="1" applyBorder="1"/>
    <xf numFmtId="49" fontId="10" fillId="0" borderId="1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49" fontId="9" fillId="0" borderId="2" xfId="0" applyNumberFormat="1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4" fontId="9" fillId="0" borderId="2" xfId="2" applyNumberFormat="1" applyFont="1" applyFill="1" applyBorder="1" applyAlignment="1">
      <alignment vertical="center"/>
    </xf>
    <xf numFmtId="1" fontId="9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wrapText="1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8" fontId="9" fillId="0" borderId="1" xfId="2" applyNumberFormat="1" applyFont="1" applyFill="1" applyBorder="1" applyAlignment="1">
      <alignment vertical="center"/>
    </xf>
    <xf numFmtId="49" fontId="9" fillId="0" borderId="1" xfId="0" quotePrefix="1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49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" fontId="32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/>
    </xf>
    <xf numFmtId="168" fontId="32" fillId="0" borderId="1" xfId="2" applyNumberFormat="1" applyFont="1" applyFill="1" applyBorder="1" applyAlignment="1">
      <alignment vertical="center"/>
    </xf>
    <xf numFmtId="168" fontId="9" fillId="0" borderId="1" xfId="0" applyNumberFormat="1" applyFont="1" applyBorder="1" applyAlignment="1">
      <alignment vertical="center"/>
    </xf>
    <xf numFmtId="168" fontId="9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wrapText="1"/>
    </xf>
    <xf numFmtId="168" fontId="9" fillId="0" borderId="2" xfId="2" applyNumberFormat="1" applyFont="1" applyFill="1" applyBorder="1" applyAlignment="1">
      <alignment vertical="center"/>
    </xf>
    <xf numFmtId="49" fontId="32" fillId="0" borderId="2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49" fontId="32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165" fontId="32" fillId="0" borderId="0" xfId="0" applyNumberFormat="1" applyFont="1" applyAlignment="1">
      <alignment horizontal="center" vertical="center"/>
    </xf>
    <xf numFmtId="166" fontId="5" fillId="2" borderId="1" xfId="0" applyNumberFormat="1" applyFont="1" applyFill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166" fontId="9" fillId="0" borderId="2" xfId="0" applyNumberFormat="1" applyFont="1" applyBorder="1" applyAlignment="1">
      <alignment horizontal="center" vertical="center"/>
    </xf>
    <xf numFmtId="166" fontId="32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9" fillId="0" borderId="2" xfId="0" applyNumberFormat="1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/>
    </xf>
    <xf numFmtId="49" fontId="9" fillId="0" borderId="21" xfId="0" applyNumberFormat="1" applyFont="1" applyBorder="1" applyAlignment="1">
      <alignment horizontal="center" vertical="center"/>
    </xf>
    <xf numFmtId="1" fontId="43" fillId="0" borderId="1" xfId="0" applyNumberFormat="1" applyFont="1" applyBorder="1" applyAlignment="1">
      <alignment horizontal="center" vertical="center"/>
    </xf>
    <xf numFmtId="49" fontId="4" fillId="17" borderId="1" xfId="0" applyNumberFormat="1" applyFont="1" applyFill="1" applyBorder="1" applyAlignment="1">
      <alignment horizontal="center" vertical="center"/>
    </xf>
    <xf numFmtId="14" fontId="32" fillId="0" borderId="1" xfId="0" applyNumberFormat="1" applyFont="1" applyBorder="1" applyAlignment="1">
      <alignment horizontal="center" vertical="center"/>
    </xf>
    <xf numFmtId="44" fontId="32" fillId="0" borderId="1" xfId="2" applyFont="1" applyFill="1" applyBorder="1" applyAlignment="1">
      <alignment vertical="center"/>
    </xf>
    <xf numFmtId="0" fontId="32" fillId="0" borderId="0" xfId="0" applyFont="1" applyAlignment="1">
      <alignment horizontal="center" vertical="center"/>
    </xf>
    <xf numFmtId="49" fontId="32" fillId="0" borderId="1" xfId="0" applyNumberFormat="1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vertical="center"/>
    </xf>
    <xf numFmtId="14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vertical="center"/>
    </xf>
    <xf numFmtId="166" fontId="32" fillId="0" borderId="2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vertical="center"/>
    </xf>
    <xf numFmtId="1" fontId="32" fillId="0" borderId="1" xfId="0" quotePrefix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9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horizontal="center" vertical="center"/>
    </xf>
    <xf numFmtId="164" fontId="32" fillId="0" borderId="2" xfId="2" applyNumberFormat="1" applyFont="1" applyFill="1" applyBorder="1" applyAlignment="1">
      <alignment vertical="center"/>
    </xf>
    <xf numFmtId="169" fontId="32" fillId="0" borderId="1" xfId="0" applyNumberFormat="1" applyFont="1" applyBorder="1" applyAlignment="1">
      <alignment horizontal="center" vertical="center"/>
    </xf>
    <xf numFmtId="168" fontId="32" fillId="0" borderId="1" xfId="2" applyNumberFormat="1" applyFont="1" applyFill="1" applyBorder="1" applyAlignment="1">
      <alignment horizontal="center" vertical="center"/>
    </xf>
    <xf numFmtId="164" fontId="32" fillId="0" borderId="1" xfId="2" applyNumberFormat="1" applyFont="1" applyFill="1" applyBorder="1" applyAlignment="1">
      <alignment vertical="center"/>
    </xf>
    <xf numFmtId="0" fontId="16" fillId="18" borderId="0" xfId="0" applyFont="1" applyFill="1"/>
    <xf numFmtId="49" fontId="9" fillId="17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1" fillId="0" borderId="21" xfId="0" applyNumberFormat="1" applyFont="1" applyBorder="1" applyAlignment="1">
      <alignment horizontal="center" vertical="center"/>
    </xf>
    <xf numFmtId="1" fontId="51" fillId="0" borderId="2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" fontId="54" fillId="17" borderId="1" xfId="0" applyNumberFormat="1" applyFont="1" applyFill="1" applyBorder="1" applyAlignment="1">
      <alignment horizontal="center" vertical="center"/>
    </xf>
    <xf numFmtId="1" fontId="55" fillId="17" borderId="2" xfId="0" applyNumberFormat="1" applyFont="1" applyFill="1" applyBorder="1" applyAlignment="1">
      <alignment horizontal="center" vertical="center"/>
    </xf>
    <xf numFmtId="1" fontId="56" fillId="17" borderId="1" xfId="0" applyNumberFormat="1" applyFont="1" applyFill="1" applyBorder="1" applyAlignment="1">
      <alignment horizontal="center" vertical="center"/>
    </xf>
    <xf numFmtId="0" fontId="20" fillId="5" borderId="0" xfId="0" applyFont="1" applyFill="1" applyAlignment="1">
      <alignment horizontal="center"/>
    </xf>
    <xf numFmtId="0" fontId="0" fillId="0" borderId="0" xfId="0"/>
    <xf numFmtId="0" fontId="17" fillId="7" borderId="0" xfId="0" applyFont="1" applyFill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10" borderId="5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33" fillId="7" borderId="0" xfId="0" applyFont="1" applyFill="1" applyAlignment="1">
      <alignment horizontal="left"/>
    </xf>
    <xf numFmtId="0" fontId="35" fillId="8" borderId="14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3" fontId="36" fillId="3" borderId="15" xfId="0" applyNumberFormat="1" applyFont="1" applyFill="1" applyBorder="1" applyAlignment="1">
      <alignment horizontal="center" vertical="center"/>
    </xf>
    <xf numFmtId="0" fontId="36" fillId="3" borderId="17" xfId="0" applyFont="1" applyFill="1" applyBorder="1" applyAlignment="1">
      <alignment horizontal="center" vertical="center"/>
    </xf>
    <xf numFmtId="0" fontId="36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27</c:v>
                </c:pt>
                <c:pt idx="1">
                  <c:v>27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1121</c:v>
                </c:pt>
                <c:pt idx="1">
                  <c:v>1719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18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60" dataDxfId="59" totalsRowDxfId="58" totalsRowBorderDxfId="57">
  <autoFilter ref="A1:U2005" xr:uid="{D1BD5F14-CD6F-4B62-85D2-128A9D3B5FF1}">
    <filterColumn colId="8">
      <filters>
        <dateGroupItem year="2026" month="10" day="21" dateTimeGrouping="day"/>
      </filters>
    </filterColumn>
  </autoFilter>
  <tableColumns count="21">
    <tableColumn id="1" xr3:uid="{022FA08A-515E-453B-85A4-E200B40364EE}" name="ID" dataDxfId="56" totalsRowDxfId="55"/>
    <tableColumn id="2" xr3:uid="{19532738-24D5-4BD5-BE04-C19DCC5894A1}" name="Ano" dataDxfId="54" totalsRowDxfId="53"/>
    <tableColumn id="3" xr3:uid="{8DE0B36A-F0DC-47A1-A74E-F4BE63A4FB1D}" name="Status Evento" dataDxfId="52" totalsRowDxfId="51"/>
    <tableColumn id="4" xr3:uid="{C1159FBD-CCD0-4CA2-BB8C-598E3AB5DDD8}" name="Processo" dataDxfId="50" totalsRowDxfId="49"/>
    <tableColumn id="5" xr3:uid="{A32670A4-BE4F-480D-8DE9-8FF18024C829}" name="Curso" dataDxfId="48" totalsRowDxfId="47"/>
    <tableColumn id="8" xr3:uid="{905DEA0A-D099-47EA-972D-1012D71C7792}" name="Público-Alvo" dataDxfId="46" totalsRowDxfId="45"/>
    <tableColumn id="9" xr3:uid="{7DC0A0BE-8030-47CA-AF56-2C13C9FF7AE5}" name="Programa" dataDxfId="44" totalsRowDxfId="43"/>
    <tableColumn id="11" xr3:uid="{2B799ACD-69E4-46A5-9A4F-F7E3D7A47CE9}" name="Data TXT" dataDxfId="42" totalsRowDxfId="41"/>
    <tableColumn id="12" xr3:uid="{62016C67-3729-4C41-B72D-09D6616B7474}" name="Início" dataDxfId="40" totalsRowDxfId="39"/>
    <tableColumn id="13" xr3:uid="{E4F20518-0042-40C0-B590-B7616F2843A5}" name="Término" dataDxfId="38" totalsRowDxfId="37"/>
    <tableColumn id="14" xr3:uid="{4D6C4412-CFEE-4506-830E-F79FD008371B}" name="Modalidade" dataDxfId="36" totalsRowDxfId="35"/>
    <tableColumn id="15" xr3:uid="{12EC931A-E71B-4AEB-B20B-0F9EA63D0C71}" name="Valor instrutoria" dataDxfId="34" totalsRowDxfId="33" dataCellStyle="Moeda"/>
    <tableColumn id="17" xr3:uid="{8FCDFADA-4FA3-41E0-86FF-E623116BAFEB}" name="Nota Av. Reação" dataDxfId="32" totalsRowDxfId="31"/>
    <tableColumn id="19" xr3:uid="{316EB379-BB97-4F60-9566-576B25A26B0E}" name="Qtd Vagas" dataDxfId="30" totalsRowDxfId="29"/>
    <tableColumn id="20" xr3:uid="{59A9FB16-6726-411C-88B5-8165DD520DA3}" name="P. Servidores" dataDxfId="28" totalsRowDxfId="27"/>
    <tableColumn id="21" xr3:uid="{0246E091-ADCD-4F62-8F95-84B21E8A7BE1}" name="P. Jurisdicionados" dataDxfId="26" totalsRowDxfId="25"/>
    <tableColumn id="22" xr3:uid="{1B6DBD6D-C072-4600-81C1-69D6F4422D7D}" name="P. Sociedade" dataDxfId="24" totalsRowDxfId="23"/>
    <tableColumn id="23" xr3:uid="{109F7E4E-776C-4249-88BE-FEC3A375D7D9}" name="Total Part." dataDxfId="22" totalsRowDxfId="21"/>
    <tableColumn id="24" xr3:uid="{C67AA4C6-834C-4EBB-839B-EF0CDD50F649}" name="C.H." dataDxfId="20" totalsRowDxfId="19"/>
    <tableColumn id="26" xr3:uid="{973608F6-3E97-493C-AC61-980F73C13CD6}" name="Instrutor" dataDxfId="18" totalsRowDxfId="17"/>
    <tableColumn id="6" xr3:uid="{F31C00D3-B2F3-431E-B544-9F6C588B52B0}" name="Coluna1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9" activePane="bottomLeft" state="frozen"/>
      <selection pane="bottomLeft" activeCell="D2006" sqref="D200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2026-098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hidden="1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hidden="1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hidden="1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hidden="1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hidden="1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hidden="1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hidden="1" x14ac:dyDescent="0.25">
      <c r="A718" s="155" t="s">
        <v>2945</v>
      </c>
      <c r="B718" s="193">
        <v>2026</v>
      </c>
      <c r="C718" s="153" t="s">
        <v>23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>
        <v>15</v>
      </c>
      <c r="O718" s="157">
        <v>14</v>
      </c>
      <c r="P718" s="157">
        <v>0</v>
      </c>
      <c r="Q718" s="157">
        <v>0</v>
      </c>
      <c r="R718" s="157">
        <f t="shared" si="14"/>
        <v>14</v>
      </c>
      <c r="S718" s="153">
        <v>16</v>
      </c>
      <c r="T718" s="154" t="s">
        <v>804</v>
      </c>
      <c r="U718" s="210"/>
    </row>
    <row r="719" spans="1:21" ht="15" hidden="1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hidden="1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hidden="1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hidden="1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hidden="1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hidden="1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hidden="1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hidden="1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hidden="1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hidden="1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hidden="1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5" t="s">
        <v>3263</v>
      </c>
      <c r="B748" s="153">
        <v>2026</v>
      </c>
      <c r="C748" s="153" t="s">
        <v>23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>
        <v>0</v>
      </c>
      <c r="P748" s="157">
        <v>34</v>
      </c>
      <c r="Q748" s="157">
        <v>0</v>
      </c>
      <c r="R748" s="157">
        <f>IF(B748="","",SUM(O748:Q748))</f>
        <v>34</v>
      </c>
      <c r="S748" s="153">
        <v>20</v>
      </c>
      <c r="T748" s="154" t="s">
        <v>3270</v>
      </c>
      <c r="U748" s="210"/>
    </row>
    <row r="749" spans="1:21" ht="15" hidden="1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>
        <f>IF(B749="","",SUM(O749:Q749))</f>
        <v>0</v>
      </c>
      <c r="S749" s="153">
        <v>20</v>
      </c>
      <c r="T749" s="154" t="s">
        <v>3270</v>
      </c>
      <c r="U749" s="210"/>
    </row>
    <row r="750" spans="1:21" ht="15" hidden="1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>
        <f>IF(B750="","",SUM(O750:Q750))</f>
        <v>0</v>
      </c>
      <c r="S750" s="153">
        <v>8</v>
      </c>
      <c r="T750" s="154" t="s">
        <v>3111</v>
      </c>
      <c r="U750" s="210"/>
    </row>
    <row r="751" spans="1:21" ht="15" x14ac:dyDescent="0.25">
      <c r="A751" s="155" t="s">
        <v>3275</v>
      </c>
      <c r="B751" s="153">
        <v>2026</v>
      </c>
      <c r="C751" s="153" t="s">
        <v>23</v>
      </c>
      <c r="D751" s="153" t="s">
        <v>3276</v>
      </c>
      <c r="E751" s="158" t="s">
        <v>3277</v>
      </c>
      <c r="F751" s="169" t="s">
        <v>25</v>
      </c>
      <c r="G751" s="154" t="s">
        <v>2795</v>
      </c>
      <c r="H751" s="155" t="s">
        <v>2990</v>
      </c>
      <c r="I751" s="189">
        <v>46316</v>
      </c>
      <c r="J751" s="189">
        <v>46316</v>
      </c>
      <c r="K751" s="153" t="s">
        <v>39</v>
      </c>
      <c r="L751" s="159">
        <v>0</v>
      </c>
      <c r="M751" s="181"/>
      <c r="N751" s="157">
        <v>20</v>
      </c>
      <c r="O751" s="157"/>
      <c r="P751" s="157"/>
      <c r="Q751" s="157"/>
      <c r="R751" s="157">
        <f>IF(B751="","",SUM(O751:Q751))</f>
        <v>0</v>
      </c>
      <c r="S751" s="153">
        <v>5</v>
      </c>
      <c r="T751" s="154" t="s">
        <v>2797</v>
      </c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7" type="noConversion"/>
  <conditionalFormatting sqref="C2:C2005">
    <cfRule type="expression" dxfId="7" priority="3">
      <formula>TRIM(C2)="Realizado"</formula>
    </cfRule>
  </conditionalFormatting>
  <conditionalFormatting sqref="C2:C2005">
    <cfRule type="expression" dxfId="6" priority="4">
      <formula>TRIM(C2)="Cancelado"</formula>
    </cfRule>
  </conditionalFormatting>
  <conditionalFormatting sqref="C2:C2005">
    <cfRule type="expression" dxfId="5" priority="5">
      <formula>TRIM(C2)="Em andamento"</formula>
    </cfRule>
  </conditionalFormatting>
  <conditionalFormatting sqref="C2:C2005">
    <cfRule type="expression" dxfId="4" priority="6">
      <formula>TRIM(C2)="Adiado"</formula>
    </cfRule>
  </conditionalFormatting>
  <conditionalFormatting sqref="A2:A2005">
    <cfRule type="expression" dxfId="3" priority="7">
      <formula>AND($B2&lt;&gt;"",$A2="")</formula>
    </cfRule>
  </conditionalFormatting>
  <conditionalFormatting sqref="L2:M2005">
    <cfRule type="expression" dxfId="2" priority="8">
      <formula>L2=""</formula>
    </cfRule>
  </conditionalFormatting>
  <conditionalFormatting sqref="A2000:A2004 E2005 A714:S715 A2:T713 A716:T1999">
    <cfRule type="expression" dxfId="1" priority="9">
      <formula>MOD(ROW(),2)=0</formula>
    </cfRule>
  </conditionalFormatting>
  <conditionalFormatting sqref="A2000:A2004 E2005 A714:S715 A2:T713 A716:T1999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3271</v>
      </c>
      <c r="Y95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34" t="s">
        <v>3275</v>
      </c>
      <c r="Y96" s="234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95</v>
      </c>
      <c r="B5" s="35" t="s">
        <v>3159</v>
      </c>
      <c r="D5" s="42">
        <f>COUNTIFS('Ações InCompany'!B:B,2026,'Ações InCompany'!C:C,"Realizado")</f>
        <v>72</v>
      </c>
      <c r="E5" s="43" t="s">
        <v>3159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27</v>
      </c>
      <c r="D11" s="28" t="s">
        <v>3165</v>
      </c>
      <c r="E11" s="29">
        <f>SUMIFS('Ações InCompany'!O:O,'Ações InCompany'!B:B,2026,'Ações InCompany'!C:C,"Realizado")</f>
        <v>1121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18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72</v>
      </c>
      <c r="D14" s="32" t="s">
        <v>3169</v>
      </c>
      <c r="E14" s="33">
        <f>SUM(E11:E13)</f>
        <v>3647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8</v>
      </c>
      <c r="C37" s="46">
        <f>COUNTIFS('Ações InCompany'!B:B,2026,'Ações InCompany'!C:C,"A realizar",'Ações InCompany'!G:G,A37)</f>
        <v>2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18</v>
      </c>
      <c r="C38" s="47">
        <f>COUNTIFS('Ações InCompany'!B:B,2026,'Ações InCompany'!C:C,"A realizar",'Ações InCompany'!G:G,A38)</f>
        <v>4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72</v>
      </c>
      <c r="C45" s="40">
        <f>SUM(C33:C44)</f>
        <v>14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2026-10-27T20:32:53Z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