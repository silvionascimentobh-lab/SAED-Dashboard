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82" documentId="8_{454372C2-A99E-4E47-A759-72B38925853E}" xr6:coauthVersionLast="47" xr6:coauthVersionMax="47" xr10:uidLastSave="{B7CFD6E7-19B6-411D-920E-A6DEB11FBD92}"/>
  <bookViews>
    <workbookView xWindow="30" yWindow="45" windowWidth="28770" windowHeight="1555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E105" i="23" l="1"/>
  <c r="A5" i="23" a="1"/>
  <c r="B54" i="23" l="1"/>
  <c r="E53" i="23"/>
  <c r="C54" i="23"/>
  <c r="D54" i="23"/>
  <c r="E54" i="23"/>
  <c r="B53" i="23"/>
  <c r="D53" i="23"/>
  <c r="F53" i="23"/>
  <c r="F54" i="23"/>
  <c r="C53" i="23"/>
  <c r="C52" i="23"/>
  <c r="B52" i="23"/>
  <c r="F52" i="23"/>
  <c r="D52" i="23"/>
  <c r="E52" i="23"/>
  <c r="D37" i="23"/>
  <c r="D45" i="23"/>
  <c r="E17" i="23"/>
  <c r="C32" i="23"/>
  <c r="C17" i="23"/>
  <c r="D14" i="23"/>
  <c r="F22" i="23"/>
  <c r="B36" i="23"/>
  <c r="F17" i="23"/>
  <c r="F40" i="23"/>
  <c r="C25" i="23"/>
  <c r="E16" i="23"/>
  <c r="B12" i="23"/>
  <c r="C15" i="23"/>
  <c r="F28" i="23"/>
  <c r="F13" i="23"/>
  <c r="F35" i="23"/>
  <c r="C6" i="23"/>
  <c r="F15" i="23"/>
  <c r="E50" i="23"/>
  <c r="B18" i="23"/>
  <c r="E28" i="23"/>
  <c r="F34" i="23"/>
  <c r="F26" i="23"/>
  <c r="B49" i="23"/>
  <c r="D36" i="23"/>
  <c r="D7" i="23"/>
  <c r="D10" i="23"/>
  <c r="F23" i="23"/>
  <c r="E38" i="23"/>
  <c r="F10" i="23"/>
  <c r="C41" i="23"/>
  <c r="B29" i="23"/>
  <c r="C36" i="23"/>
  <c r="C21" i="23"/>
  <c r="E34" i="23"/>
  <c r="E26" i="23"/>
  <c r="F11" i="23"/>
  <c r="F36" i="23"/>
  <c r="D35" i="23"/>
  <c r="C33" i="23"/>
  <c r="C22" i="23"/>
  <c r="F51" i="23"/>
  <c r="B47" i="23"/>
  <c r="E9" i="23"/>
  <c r="F32" i="23"/>
  <c r="B30" i="23"/>
  <c r="D39" i="23"/>
  <c r="D8" i="23"/>
  <c r="F44" i="23"/>
  <c r="E8" i="23"/>
  <c r="F33" i="23"/>
  <c r="E44" i="23"/>
  <c r="F39" i="23"/>
  <c r="B14" i="23"/>
  <c r="C29" i="23"/>
  <c r="D40" i="23"/>
  <c r="C48" i="23"/>
  <c r="D34" i="23"/>
  <c r="B31" i="23"/>
  <c r="B23" i="23"/>
  <c r="D31" i="23"/>
  <c r="E31" i="23"/>
  <c r="D38" i="23"/>
  <c r="E51" i="23"/>
  <c r="E45" i="23"/>
  <c r="D48" i="23"/>
  <c r="D13" i="23"/>
  <c r="F48" i="23"/>
  <c r="E21" i="23"/>
  <c r="E49" i="23"/>
  <c r="E41" i="23"/>
  <c r="B39" i="23"/>
  <c r="D6" i="23"/>
  <c r="D33" i="23"/>
  <c r="C18" i="23"/>
  <c r="F31" i="23"/>
  <c r="C13" i="23"/>
  <c r="C23" i="23"/>
  <c r="B40" i="23"/>
  <c r="C8" i="23"/>
  <c r="E7" i="23"/>
  <c r="F16" i="23"/>
  <c r="F38" i="23"/>
  <c r="C45" i="23"/>
  <c r="D47" i="23"/>
  <c r="D30" i="23"/>
  <c r="E33" i="23"/>
  <c r="C24" i="23"/>
  <c r="B41" i="23"/>
  <c r="C10" i="23"/>
  <c r="F27" i="23"/>
  <c r="F43" i="23"/>
  <c r="F6" i="23"/>
  <c r="B21" i="23"/>
  <c r="B25" i="23"/>
  <c r="F46" i="23"/>
  <c r="D18" i="23"/>
  <c r="D26" i="23"/>
  <c r="E37" i="23"/>
  <c r="C34" i="23"/>
  <c r="D32" i="23"/>
  <c r="B22" i="23"/>
  <c r="D23" i="23"/>
  <c r="E23" i="23"/>
  <c r="B13" i="23"/>
  <c r="B43" i="23"/>
  <c r="F14" i="23"/>
  <c r="E13" i="23"/>
  <c r="C26" i="23"/>
  <c r="C40" i="23"/>
  <c r="C12" i="23"/>
  <c r="C28" i="23"/>
  <c r="E29" i="23"/>
  <c r="F12" i="23"/>
  <c r="D25" i="23"/>
  <c r="D42" i="23"/>
  <c r="F18" i="23"/>
  <c r="B11" i="23"/>
  <c r="F19" i="23"/>
  <c r="E35" i="23"/>
  <c r="E14" i="23"/>
  <c r="B48" i="23"/>
  <c r="C9" i="23"/>
  <c r="F20" i="23"/>
  <c r="C46" i="23"/>
  <c r="E46" i="23"/>
  <c r="C50" i="23"/>
  <c r="E15" i="23"/>
  <c r="B26" i="23"/>
  <c r="F30" i="23"/>
  <c r="C19" i="23"/>
  <c r="B45" i="23"/>
  <c r="E39" i="23"/>
  <c r="B9" i="23"/>
  <c r="E12" i="23"/>
  <c r="B6" i="23"/>
  <c r="C7" i="23"/>
  <c r="D9" i="23"/>
  <c r="E47" i="23"/>
  <c r="F47" i="23"/>
  <c r="F41" i="23"/>
  <c r="C16" i="23"/>
  <c r="C47" i="23"/>
  <c r="E10" i="23"/>
  <c r="B17" i="23"/>
  <c r="F9" i="23"/>
  <c r="D43" i="23"/>
  <c r="D44" i="23"/>
  <c r="C11" i="23"/>
  <c r="C43" i="23"/>
  <c r="D15" i="23"/>
  <c r="F49" i="23"/>
  <c r="D19" i="23"/>
  <c r="E36" i="23"/>
  <c r="B44" i="23"/>
  <c r="E20" i="23"/>
  <c r="D21" i="23"/>
  <c r="D20" i="23"/>
  <c r="E24" i="23"/>
  <c r="C44" i="23"/>
  <c r="F42" i="23"/>
  <c r="C35" i="23"/>
  <c r="C30" i="23"/>
  <c r="B15" i="23"/>
  <c r="D12" i="23"/>
  <c r="C49" i="23"/>
  <c r="F8" i="23"/>
  <c r="E22" i="23"/>
  <c r="B42" i="23"/>
  <c r="E27" i="23"/>
  <c r="C38" i="23"/>
  <c r="B33" i="23"/>
  <c r="E40" i="23"/>
  <c r="C20" i="23"/>
  <c r="C31" i="23"/>
  <c r="B37" i="23"/>
  <c r="E30" i="23"/>
  <c r="C51" i="23"/>
  <c r="B32" i="23"/>
  <c r="B16" i="23"/>
  <c r="B51" i="23"/>
  <c r="F45" i="23"/>
  <c r="D16" i="23"/>
  <c r="D46" i="23"/>
  <c r="E42" i="23"/>
  <c r="D11" i="23"/>
  <c r="E32" i="23"/>
  <c r="E43" i="23"/>
  <c r="E19" i="23"/>
  <c r="D41" i="23"/>
  <c r="E18" i="23"/>
  <c r="B27" i="23"/>
  <c r="F25" i="23"/>
  <c r="C42" i="23"/>
  <c r="F7" i="23"/>
  <c r="F50" i="23"/>
  <c r="C27" i="23"/>
  <c r="F37" i="23"/>
  <c r="D28" i="23"/>
  <c r="F21" i="23"/>
  <c r="D24" i="23"/>
  <c r="B38" i="23"/>
  <c r="E48" i="23"/>
  <c r="F29" i="23"/>
  <c r="B24" i="23"/>
  <c r="B28" i="23"/>
  <c r="C14" i="23"/>
  <c r="D51" i="23"/>
  <c r="E11" i="23"/>
  <c r="B35" i="23"/>
  <c r="B10" i="23"/>
  <c r="B8" i="23"/>
  <c r="B50" i="23"/>
  <c r="B19" i="23"/>
  <c r="B20" i="23"/>
  <c r="B34" i="23"/>
  <c r="D27" i="23"/>
  <c r="C37" i="23"/>
  <c r="C39" i="23"/>
  <c r="B7" i="23"/>
  <c r="D22" i="23"/>
  <c r="D29" i="23"/>
  <c r="E6" i="23"/>
  <c r="D17" i="23"/>
  <c r="E25" i="23"/>
  <c r="D50" i="23"/>
  <c r="D49" i="23"/>
  <c r="F24" i="23"/>
  <c r="B46" i="23"/>
  <c r="E5" i="23" l="1"/>
  <c r="D5" i="23"/>
  <c r="G5" i="23"/>
  <c r="C5" i="23"/>
  <c r="C105" i="23" s="1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<sst xmlns="http://schemas.openxmlformats.org/spreadsheetml/2006/main" count="6269" uniqueCount="2418">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</sst>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897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3">
      <filters>
        <filter val="Capacitação para Conselheiros de Cultura"/>
        <filter val="Capacitação para Conselheiros de Saúde"/>
        <filter val="CAPACITAÇÃO PARA CONSELHEIROS DE SAÚDE - Turma I"/>
        <filter val="CAPACITAÇÃO PARA CONSELHEIROS DE SAÚDE - Turma II"/>
        <filter val="Conselheiros de Cultura"/>
        <filter val="Curso “Gestão Estratégica do Fundo dos Direitos da Criança e do Adolescente do DF: Formação para Conselheiros"/>
        <filter val="Curso de Capacitação para Conselheiros de Saúde"/>
        <filter val="Curso de Capacitação para Conselheiros de Saúde - Central T5"/>
        <filter val="Curso de Capacitação para Conselheiros de Saúde - Centro Sul T3"/>
        <filter val="Curso de Capacitação para Conselheiros de Saúde - Leste T4"/>
        <filter val="Curso de Capacitação para Conselheiros de Saúde - Norte T6"/>
        <filter val="Curso de Capacitação para Conselheiros de Saúde - Oeste T7"/>
        <filter val="Curso de Capacitação para Conselheiros de Saúde - Região Sudoeste T1"/>
        <filter val="Curso de Capacitação para Conselheiros de Saúde - Região Sul T2"/>
        <filter val="Curso de Capacitação para Conselheiros de Saúde - T1"/>
        <filter val="Curso de Capacitação para Conselheiros de Saúde (Turma 1)"/>
        <filter val="Curso de Capacitação para Conselheiros de Saúde (Turma 2)"/>
        <filter val="Curso de Formação para Conselheiros de Cultura"/>
        <filter val="Curso de Formação para Conselheiros de Saúde do DF"/>
        <filter val="Curso de Formação para Conselheiros de Saúde do DF - nível avançado"/>
        <filter val="Curso de Formação para Conselheiros de Saúde do DF - nível avançado- T2"/>
        <filter val="Curso de Formação para Conselheiros de Saúde do DF - nível avançado- T3"/>
        <filter val="Curso de Formação para Conselheiros de Saúde do DF - nível básico - T3"/>
        <filter val="Curso de Formação para Conselheiros de Saúde do DF - nível iniciante"/>
        <filter val="Curso de Formação para Conselheiros de Saúde do DF - nível iniciante - T2"/>
        <filter val="Curso para Conselheiros Tutelares do DF"/>
        <filter val="Evento de Encerramento do 1º Ciclo do Curso de capacitação “in loco” para Conselheiros de Saúde do Distrito Federal."/>
        <filter val="Lançamento do Guia Orietador para Conselheiros de Saúde do DF"/>
        <filter val="Segundo Ciclo - Conselheiros de Saude - T1"/>
      </filters>
    </filterColumn>
  </autoFilter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F1" zoomScaleNormal="100" workbookViewId="0">
      <pane ySplit="1" topLeftCell="A435" activePane="bottomLeft" state="frozen"/>
      <selection pane="bottomLeft" activeCell="Q698" sqref="Q698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hidden="1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hidden="1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hidden="1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hidden="1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hidden="1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hidden="1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hidden="1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hidden="1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hidden="1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hidden="1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hidden="1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hidden="1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hidden="1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hidden="1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hidden="1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hidden="1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hidden="1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hidden="1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hidden="1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hidden="1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hidden="1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hidden="1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hidden="1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hidden="1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hidden="1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hidden="1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hidden="1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hidden="1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hidden="1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hidden="1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hidden="1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hidden="1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hidden="1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hidden="1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hidden="1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hidden="1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hidden="1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hidden="1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hidden="1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hidden="1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hidden="1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hidden="1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hidden="1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hidden="1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hidden="1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hidden="1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54">
        <v>89</v>
      </c>
      <c r="Q698" s="254"/>
      <c r="R698" s="254">
        <f>IF(B698="","",SUM(O698:Q698))</f>
        <v>89</v>
      </c>
      <c r="S698" s="235">
        <v>20</v>
      </c>
      <c r="T698" s="243" t="s">
        <v>324</v>
      </c>
    </row>
    <row r="699" spans="1:20" ht="22.5" hidden="1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hidden="1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hidden="1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hidden="1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hidden="1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hidden="1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hidden="1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hidden="1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hidden="1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hidden="1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hidden="1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hidden="1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hidden="1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hidden="1" customHeight="1" x14ac:dyDescent="0.25">
      <c r="A712" s="189" t="str">
        <f>IF(B712="","",B712&amp;"-"&amp;TEXT(COUNTIF(B$2:B712,B712),"000"))</f>
        <v>2026-056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19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>IF(B712="","",SUM(O712:Q712))</f>
        <v>0</v>
      </c>
      <c r="S712" s="236">
        <v>20</v>
      </c>
      <c r="T712" s="244" t="s">
        <v>2414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hidden="1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hidden="1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hidden="1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hidden="1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hidden="1" customHeight="1" x14ac:dyDescent="0.25">
      <c r="A718" s="189" t="str">
        <f>IF(B718="","",B718&amp;"-"&amp;TEXT(COUNTIF(B$2:B718,B718),"000"))</f>
        <v>2026-062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hidden="1" customHeight="1" x14ac:dyDescent="0.25">
      <c r="A719" s="188" t="str">
        <f>IF(B719="","",B719&amp;"-"&amp;TEXT(COUNTIF(B$2:B719,B719),"000"))</f>
        <v>2026-063</v>
      </c>
      <c r="B719" s="63">
        <v>2026</v>
      </c>
      <c r="C719" s="21" t="s">
        <v>2102</v>
      </c>
      <c r="D719" s="163" t="s">
        <v>2110</v>
      </c>
      <c r="E719" s="336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hidden="1" customHeight="1" x14ac:dyDescent="0.25">
      <c r="A720" s="282" t="str">
        <f>IF(B720="","",B720&amp;"-"&amp;TEXT(COUNTIF(B$2:B720,B720),"000"))</f>
        <v>2026-064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37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10</v>
      </c>
      <c r="T720" s="287" t="s">
        <v>2161</v>
      </c>
    </row>
    <row r="721" spans="1:20" ht="22.5" hidden="1" customHeight="1" x14ac:dyDescent="0.25">
      <c r="A721" s="188" t="str">
        <f>IF(B721="","",B721&amp;"-"&amp;TEXT(COUNTIF(B$2:B721,B721),"000"))</f>
        <v>2026-065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hidden="1" customHeight="1" x14ac:dyDescent="0.25">
      <c r="A722" s="189" t="str">
        <f>IF(B722="","",B722&amp;"-"&amp;TEXT(COUNTIF(B$2:B722,B722),"000"))</f>
        <v>2026-066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6" t="s">
        <v>2394</v>
      </c>
      <c r="I722" s="317" t="s">
        <v>2394</v>
      </c>
      <c r="J722" s="317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8">
        <f>IF(B722="","",SUM(O722:Q722))</f>
        <v>0</v>
      </c>
      <c r="S722" s="236">
        <v>4</v>
      </c>
      <c r="T722" s="244" t="s">
        <v>2396</v>
      </c>
    </row>
    <row r="723" spans="1:20" ht="22.5" hidden="1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hidden="1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hidden="1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hidden="1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hidden="1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hidden="1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hidden="1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hidden="1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hidden="1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hidden="1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hidden="1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hidden="1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hidden="1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hidden="1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hidden="1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hidden="1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hidden="1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hidden="1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hidden="1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hidden="1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hidden="1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hidden="1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hidden="1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hidden="1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hidden="1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hidden="1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hidden="1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hidden="1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hidden="1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hidden="1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hidden="1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hidden="1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hidden="1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hidden="1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hidden="1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hidden="1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hidden="1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hidden="1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hidden="1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hidden="1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hidden="1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hidden="1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hidden="1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hidden="1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hidden="1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hidden="1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hidden="1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hidden="1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hidden="1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hidden="1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hidden="1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hidden="1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hidden="1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hidden="1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hidden="1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hidden="1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hidden="1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hidden="1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hidden="1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hidden="1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hidden="1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hidden="1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hidden="1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hidden="1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hidden="1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hidden="1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hidden="1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hidden="1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hidden="1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hidden="1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hidden="1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hidden="1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hidden="1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hidden="1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hidden="1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hidden="1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hidden="1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hidden="1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hidden="1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hidden="1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hidden="1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hidden="1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hidden="1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hidden="1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hidden="1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hidden="1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hidden="1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hidden="1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hidden="1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hidden="1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hidden="1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hidden="1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hidden="1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hidden="1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hidden="1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hidden="1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hidden="1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hidden="1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hidden="1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hidden="1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hidden="1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hidden="1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hidden="1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hidden="1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hidden="1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hidden="1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hidden="1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hidden="1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hidden="1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hidden="1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hidden="1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hidden="1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hidden="1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hidden="1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hidden="1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hidden="1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hidden="1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hidden="1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hidden="1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hidden="1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hidden="1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hidden="1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hidden="1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hidden="1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hidden="1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hidden="1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hidden="1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hidden="1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hidden="1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hidden="1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hidden="1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hidden="1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hidden="1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hidden="1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hidden="1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hidden="1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hidden="1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hidden="1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hidden="1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hidden="1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hidden="1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hidden="1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hidden="1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hidden="1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hidden="1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hidden="1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hidden="1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hidden="1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hidden="1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hidden="1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hidden="1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hidden="1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hidden="1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hidden="1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hidden="1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hidden="1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hidden="1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hidden="1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hidden="1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hidden="1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hidden="1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hidden="1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hidden="1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hidden="1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hidden="1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hidden="1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hidden="1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hidden="1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hidden="1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hidden="1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hidden="1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hidden="1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hidden="1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hidden="1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hidden="1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hidden="1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hidden="1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hidden="1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hidden="1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hidden="1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hidden="1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hidden="1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hidden="1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hidden="1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hidden="1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hidden="1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hidden="1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hidden="1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hidden="1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hidden="1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hidden="1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hidden="1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hidden="1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hidden="1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hidden="1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hidden="1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hidden="1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hidden="1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hidden="1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hidden="1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hidden="1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hidden="1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hidden="1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hidden="1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hidden="1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hidden="1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hidden="1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hidden="1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hidden="1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hidden="1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hidden="1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hidden="1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hidden="1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hidden="1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hidden="1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hidden="1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hidden="1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hidden="1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hidden="1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hidden="1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hidden="1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hidden="1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hidden="1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hidden="1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hidden="1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hidden="1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hidden="1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hidden="1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hidden="1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hidden="1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hidden="1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hidden="1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hidden="1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hidden="1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hidden="1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hidden="1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hidden="1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hidden="1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hidden="1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hidden="1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hidden="1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hidden="1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hidden="1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hidden="1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hidden="1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hidden="1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hidden="1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hidden="1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hidden="1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hidden="1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hidden="1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hidden="1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hidden="1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hidden="1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hidden="1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hidden="1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hidden="1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hidden="1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hidden="1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hidden="1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hidden="1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hidden="1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hidden="1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hidden="1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hidden="1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hidden="1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hidden="1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hidden="1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hidden="1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hidden="1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hidden="1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hidden="1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hidden="1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hidden="1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hidden="1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hidden="1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hidden="1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hidden="1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hidden="1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hidden="1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hidden="1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hidden="1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hidden="1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hidden="1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hidden="1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hidden="1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hidden="1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hidden="1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hidden="1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hidden="1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hidden="1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hidden="1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hidden="1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hidden="1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hidden="1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hidden="1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hidden="1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hidden="1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hidden="1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hidden="1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hidden="1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hidden="1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hidden="1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hidden="1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hidden="1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hidden="1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hidden="1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hidden="1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hidden="1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hidden="1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hidden="1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hidden="1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hidden="1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hidden="1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hidden="1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hidden="1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hidden="1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hidden="1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hidden="1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hidden="1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hidden="1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hidden="1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hidden="1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hidden="1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hidden="1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hidden="1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hidden="1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hidden="1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hidden="1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hidden="1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hidden="1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hidden="1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hidden="1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hidden="1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hidden="1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hidden="1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hidden="1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hidden="1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hidden="1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hidden="1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hidden="1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hidden="1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hidden="1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hidden="1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hidden="1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hidden="1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hidden="1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hidden="1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hidden="1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hidden="1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hidden="1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hidden="1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hidden="1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hidden="1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hidden="1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hidden="1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hidden="1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hidden="1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hidden="1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hidden="1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hidden="1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hidden="1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hidden="1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hidden="1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hidden="1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hidden="1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hidden="1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hidden="1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hidden="1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hidden="1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hidden="1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hidden="1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hidden="1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hidden="1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hidden="1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hidden="1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hidden="1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hidden="1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hidden="1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hidden="1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hidden="1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hidden="1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hidden="1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hidden="1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hidden="1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hidden="1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hidden="1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hidden="1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hidden="1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hidden="1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hidden="1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hidden="1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hidden="1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hidden="1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hidden="1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hidden="1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hidden="1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hidden="1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hidden="1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hidden="1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hidden="1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hidden="1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hidden="1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hidden="1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hidden="1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hidden="1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hidden="1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hidden="1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hidden="1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hidden="1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hidden="1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hidden="1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hidden="1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hidden="1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hidden="1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hidden="1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hidden="1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hidden="1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hidden="1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hidden="1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hidden="1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hidden="1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hidden="1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hidden="1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hidden="1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hidden="1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hidden="1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hidden="1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hidden="1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hidden="1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hidden="1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hidden="1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hidden="1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hidden="1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hidden="1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hidden="1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hidden="1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hidden="1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hidden="1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hidden="1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hidden="1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hidden="1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hidden="1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hidden="1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hidden="1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hidden="1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hidden="1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hidden="1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hidden="1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hidden="1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hidden="1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hidden="1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hidden="1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hidden="1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hidden="1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hidden="1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hidden="1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hidden="1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hidden="1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hidden="1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hidden="1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hidden="1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hidden="1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hidden="1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hidden="1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hidden="1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hidden="1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hidden="1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hidden="1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hidden="1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hidden="1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hidden="1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hidden="1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hidden="1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hidden="1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hidden="1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hidden="1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hidden="1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hidden="1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hidden="1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hidden="1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hidden="1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hidden="1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hidden="1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hidden="1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hidden="1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hidden="1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hidden="1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hidden="1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hidden="1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hidden="1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hidden="1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hidden="1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hidden="1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hidden="1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hidden="1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hidden="1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hidden="1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hidden="1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hidden="1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hidden="1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hidden="1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hidden="1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hidden="1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hidden="1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hidden="1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hidden="1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hidden="1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hidden="1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hidden="1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hidden="1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hidden="1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hidden="1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hidden="1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hidden="1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hidden="1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hidden="1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hidden="1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hidden="1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hidden="1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hidden="1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hidden="1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hidden="1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hidden="1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hidden="1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hidden="1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hidden="1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hidden="1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hidden="1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hidden="1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hidden="1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hidden="1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hidden="1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hidden="1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hidden="1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hidden="1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hidden="1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hidden="1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hidden="1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hidden="1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hidden="1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hidden="1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hidden="1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hidden="1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hidden="1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hidden="1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hidden="1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hidden="1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hidden="1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hidden="1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hidden="1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hidden="1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hidden="1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hidden="1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hidden="1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hidden="1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hidden="1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hidden="1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hidden="1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hidden="1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hidden="1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hidden="1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hidden="1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hidden="1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hidden="1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hidden="1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hidden="1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hidden="1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hidden="1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hidden="1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hidden="1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hidden="1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hidden="1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hidden="1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hidden="1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hidden="1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hidden="1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hidden="1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hidden="1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hidden="1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hidden="1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hidden="1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hidden="1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hidden="1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hidden="1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hidden="1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hidden="1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hidden="1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hidden="1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hidden="1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hidden="1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hidden="1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hidden="1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hidden="1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hidden="1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hidden="1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hidden="1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hidden="1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hidden="1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hidden="1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hidden="1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hidden="1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hidden="1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hidden="1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hidden="1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hidden="1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hidden="1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hidden="1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hidden="1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hidden="1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hidden="1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hidden="1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hidden="1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hidden="1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hidden="1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hidden="1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hidden="1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hidden="1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hidden="1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hidden="1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hidden="1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hidden="1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hidden="1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hidden="1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hidden="1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hidden="1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hidden="1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hidden="1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hidden="1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hidden="1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hidden="1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hidden="1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hidden="1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hidden="1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hidden="1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hidden="1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hidden="1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hidden="1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hidden="1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hidden="1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hidden="1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hidden="1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hidden="1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hidden="1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hidden="1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hidden="1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hidden="1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hidden="1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hidden="1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hidden="1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hidden="1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hidden="1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hidden="1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hidden="1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hidden="1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hidden="1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hidden="1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hidden="1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hidden="1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hidden="1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hidden="1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hidden="1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hidden="1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hidden="1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hidden="1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hidden="1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hidden="1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hidden="1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hidden="1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hidden="1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hidden="1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hidden="1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hidden="1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hidden="1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hidden="1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hidden="1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hidden="1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hidden="1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hidden="1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hidden="1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hidden="1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hidden="1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hidden="1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hidden="1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hidden="1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hidden="1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hidden="1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hidden="1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hidden="1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hidden="1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hidden="1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hidden="1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hidden="1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hidden="1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hidden="1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hidden="1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hidden="1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hidden="1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hidden="1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hidden="1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hidden="1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hidden="1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hidden="1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hidden="1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hidden="1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hidden="1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hidden="1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hidden="1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hidden="1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hidden="1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hidden="1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hidden="1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hidden="1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hidden="1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hidden="1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hidden="1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hidden="1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hidden="1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hidden="1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hidden="1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hidden="1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hidden="1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hidden="1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hidden="1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hidden="1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hidden="1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hidden="1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hidden="1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hidden="1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hidden="1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hidden="1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hidden="1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hidden="1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hidden="1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hidden="1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hidden="1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hidden="1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hidden="1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hidden="1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hidden="1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hidden="1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hidden="1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hidden="1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hidden="1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hidden="1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hidden="1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hidden="1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hidden="1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hidden="1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hidden="1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hidden="1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hidden="1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hidden="1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hidden="1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hidden="1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hidden="1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hidden="1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hidden="1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hidden="1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hidden="1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hidden="1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hidden="1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hidden="1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hidden="1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hidden="1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hidden="1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hidden="1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hidden="1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hidden="1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hidden="1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hidden="1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hidden="1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hidden="1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hidden="1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hidden="1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hidden="1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hidden="1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hidden="1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hidden="1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hidden="1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hidden="1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hidden="1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hidden="1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hidden="1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hidden="1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hidden="1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hidden="1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hidden="1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hidden="1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hidden="1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hidden="1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hidden="1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hidden="1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hidden="1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hidden="1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hidden="1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hidden="1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hidden="1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hidden="1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hidden="1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hidden="1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hidden="1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hidden="1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hidden="1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hidden="1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hidden="1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hidden="1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hidden="1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hidden="1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hidden="1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hidden="1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hidden="1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hidden="1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hidden="1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hidden="1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hidden="1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hidden="1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hidden="1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hidden="1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hidden="1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hidden="1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hidden="1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hidden="1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hidden="1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hidden="1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hidden="1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hidden="1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hidden="1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hidden="1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hidden="1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hidden="1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hidden="1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hidden="1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hidden="1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hidden="1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hidden="1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hidden="1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hidden="1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hidden="1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hidden="1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hidden="1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hidden="1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hidden="1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hidden="1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hidden="1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hidden="1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hidden="1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hidden="1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hidden="1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hidden="1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hidden="1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hidden="1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hidden="1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hidden="1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hidden="1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hidden="1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hidden="1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hidden="1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hidden="1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hidden="1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hidden="1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hidden="1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hidden="1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hidden="1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hidden="1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hidden="1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hidden="1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hidden="1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hidden="1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hidden="1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hidden="1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hidden="1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hidden="1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hidden="1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hidden="1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hidden="1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hidden="1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hidden="1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hidden="1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hidden="1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hidden="1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hidden="1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hidden="1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hidden="1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hidden="1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hidden="1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hidden="1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hidden="1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hidden="1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hidden="1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hidden="1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hidden="1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hidden="1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hidden="1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hidden="1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hidden="1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hidden="1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hidden="1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hidden="1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hidden="1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hidden="1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hidden="1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hidden="1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hidden="1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hidden="1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hidden="1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hidden="1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hidden="1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hidden="1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hidden="1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hidden="1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hidden="1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hidden="1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hidden="1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hidden="1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hidden="1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hidden="1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hidden="1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hidden="1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hidden="1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hidden="1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hidden="1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hidden="1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hidden="1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hidden="1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hidden="1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hidden="1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hidden="1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hidden="1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hidden="1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hidden="1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hidden="1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hidden="1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hidden="1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hidden="1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hidden="1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hidden="1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hidden="1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hidden="1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hidden="1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hidden="1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hidden="1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hidden="1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hidden="1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hidden="1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hidden="1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hidden="1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hidden="1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hidden="1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hidden="1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hidden="1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hidden="1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hidden="1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hidden="1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hidden="1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hidden="1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hidden="1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hidden="1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hidden="1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hidden="1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hidden="1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hidden="1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hidden="1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hidden="1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hidden="1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hidden="1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hidden="1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hidden="1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hidden="1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hidden="1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hidden="1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hidden="1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hidden="1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hidden="1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hidden="1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hidden="1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hidden="1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hidden="1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hidden="1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hidden="1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hidden="1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hidden="1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hidden="1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hidden="1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hidden="1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hidden="1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hidden="1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hidden="1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hidden="1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hidden="1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hidden="1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hidden="1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hidden="1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hidden="1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hidden="1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hidden="1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hidden="1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hidden="1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hidden="1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hidden="1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hidden="1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hidden="1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hidden="1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hidden="1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hidden="1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hidden="1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hidden="1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hidden="1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hidden="1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hidden="1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hidden="1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hidden="1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hidden="1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hidden="1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hidden="1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hidden="1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hidden="1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hidden="1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hidden="1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hidden="1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hidden="1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hidden="1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hidden="1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hidden="1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hidden="1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hidden="1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hidden="1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hidden="1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hidden="1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hidden="1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hidden="1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hidden="1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hidden="1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hidden="1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hidden="1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hidden="1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hidden="1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hidden="1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hidden="1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hidden="1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hidden="1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hidden="1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hidden="1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hidden="1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hidden="1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hidden="1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hidden="1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hidden="1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hidden="1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hidden="1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hidden="1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hidden="1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hidden="1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hidden="1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hidden="1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hidden="1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hidden="1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hidden="1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hidden="1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hidden="1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hidden="1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hidden="1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hidden="1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hidden="1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hidden="1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hidden="1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hidden="1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hidden="1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hidden="1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hidden="1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hidden="1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hidden="1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hidden="1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hidden="1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hidden="1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hidden="1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hidden="1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hidden="1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hidden="1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hidden="1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hidden="1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hidden="1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hidden="1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hidden="1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hidden="1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hidden="1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hidden="1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hidden="1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hidden="1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hidden="1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hidden="1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hidden="1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hidden="1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hidden="1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hidden="1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hidden="1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hidden="1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hidden="1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hidden="1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hidden="1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hidden="1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hidden="1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hidden="1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hidden="1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hidden="1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hidden="1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hidden="1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hidden="1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hidden="1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hidden="1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hidden="1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hidden="1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hidden="1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hidden="1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hidden="1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hidden="1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hidden="1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hidden="1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hidden="1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hidden="1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hidden="1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hidden="1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hidden="1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hidden="1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hidden="1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hidden="1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hidden="1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hidden="1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hidden="1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hidden="1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hidden="1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hidden="1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hidden="1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hidden="1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hidden="1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hidden="1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hidden="1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hidden="1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hidden="1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hidden="1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hidden="1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hidden="1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hidden="1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hidden="1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hidden="1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hidden="1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hidden="1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hidden="1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hidden="1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hidden="1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hidden="1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hidden="1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hidden="1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hidden="1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hidden="1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hidden="1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hidden="1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hidden="1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hidden="1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hidden="1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hidden="1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hidden="1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hidden="1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hidden="1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hidden="1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hidden="1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hidden="1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hidden="1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hidden="1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hidden="1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hidden="1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hidden="1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hidden="1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hidden="1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hidden="1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hidden="1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hidden="1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hidden="1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hidden="1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hidden="1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hidden="1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hidden="1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hidden="1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hidden="1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hidden="1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hidden="1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hidden="1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hidden="1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hidden="1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hidden="1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hidden="1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hidden="1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hidden="1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hidden="1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hidden="1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hidden="1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hidden="1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hidden="1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hidden="1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hidden="1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hidden="1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hidden="1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hidden="1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hidden="1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hidden="1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hidden="1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hidden="1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hidden="1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hidden="1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hidden="1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hidden="1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hidden="1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hidden="1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hidden="1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hidden="1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hidden="1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hidden="1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hidden="1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hidden="1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hidden="1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hidden="1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hidden="1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hidden="1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hidden="1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hidden="1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hidden="1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hidden="1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hidden="1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hidden="1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hidden="1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hidden="1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hidden="1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hidden="1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hidden="1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hidden="1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hidden="1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hidden="1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hidden="1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hidden="1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hidden="1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hidden="1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hidden="1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hidden="1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hidden="1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hidden="1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hidden="1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hidden="1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hidden="1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hidden="1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hidden="1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hidden="1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hidden="1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hidden="1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hidden="1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hidden="1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hidden="1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hidden="1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hidden="1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hidden="1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hidden="1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hidden="1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hidden="1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hidden="1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hidden="1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hidden="1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hidden="1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hidden="1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hidden="1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hidden="1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hidden="1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hidden="1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hidden="1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hidden="1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hidden="1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hidden="1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hidden="1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hidden="1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hidden="1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Curso de formação sobre "Programa de Descentralização Progressiva das Ações de Saúde - PDPAS</v>
      </c>
      <c r="P51">
        <v>20</v>
      </c>
      <c r="Q51" t="str">
        <v>Tarsila Firmino Ely; Sara Cristina Lins Ramos; Carina de Souza Mariuba Herthel; Elvis Aaron Teixeira dos Santos Lima</v>
      </c>
      <c r="R51">
        <v>4</v>
      </c>
      <c r="S51">
        <v>108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113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Contratações de TIC com base na jurisprudência do TCDF - EAD</v>
      </c>
      <c r="P56">
        <v>17.45</v>
      </c>
      <c r="Q56" t="str">
        <v>Flávio José Fonseca de Souza; Felipe da Costa Malaquias</v>
      </c>
      <c r="R56">
        <v>2</v>
      </c>
      <c r="S56">
        <v>130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Oficina Temática - SEMAT: Matriz de Riscos em contratos de obras e serviços de engenharia</v>
      </c>
      <c r="P57">
        <v>4</v>
      </c>
      <c r="Q57" t="str">
        <v>Silvia Lima Damasceno Carvalho; Renan Dias da Silva</v>
      </c>
      <c r="R57">
        <v>2</v>
      </c>
      <c r="S57">
        <v>132</v>
      </c>
      <c r="T57">
        <v>130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T58">
        <v>132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2026-065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2026-066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2291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4" t="s">
        <v>2292</v>
      </c>
      <c r="B4" s="325"/>
      <c r="D4" s="326" t="s">
        <v>2293</v>
      </c>
      <c r="E4" s="327"/>
      <c r="G4" s="123" t="s">
        <v>2294</v>
      </c>
    </row>
    <row r="5" spans="1:7" ht="54.95" customHeight="1" thickBot="1" x14ac:dyDescent="0.75">
      <c r="A5" s="113">
        <f>COUNTIF('Ações InCompany'!B:B,2026)</f>
        <v>66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26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1" t="s">
        <v>2296</v>
      </c>
      <c r="B8" s="321"/>
      <c r="D8" s="321" t="s">
        <v>2297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897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1865</v>
      </c>
    </row>
    <row r="30" spans="1:5" ht="17.25" x14ac:dyDescent="0.3">
      <c r="A30" s="321" t="s">
        <v>2306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0.33333333333333331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4.7619047619047616E-2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9.5238095238095233E-2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4.7619047619047616E-2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3.1746031746031744E-2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0.22222222222222221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6.3492063492063489E-2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1.5873015873015872E-2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0.1111111111111111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3.1746031746031744E-2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26</v>
      </c>
      <c r="D45" s="119">
        <f>SUM(D33:D44)</f>
        <v>63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2356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8" t="s">
        <v>2357</v>
      </c>
    </row>
    <row r="4" spans="1:8" ht="21.95" customHeight="1" x14ac:dyDescent="0.25">
      <c r="A4" s="329" t="s">
        <v>2358</v>
      </c>
      <c r="B4" s="330"/>
      <c r="D4" s="329" t="s">
        <v>2359</v>
      </c>
      <c r="E4" s="330"/>
      <c r="G4" s="329" t="s">
        <v>2360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2366</v>
      </c>
      <c r="B1" s="334"/>
      <c r="C1" s="334"/>
      <c r="D1" s="334"/>
      <c r="E1" s="334"/>
      <c r="F1" s="334"/>
    </row>
    <row r="2" spans="1:7" x14ac:dyDescent="0.25">
      <c r="A2" s="335" t="s">
        <v>2367</v>
      </c>
      <c r="B2" s="335"/>
      <c r="C2" s="335"/>
      <c r="D2" s="335"/>
      <c r="E2" s="335"/>
      <c r="F2" s="335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1017.9</v>
      </c>
      <c r="C105" s="205">
        <f>SUM(C5:C100)</f>
        <v>314.95000000000005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2026-07-28T17:38:34Z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