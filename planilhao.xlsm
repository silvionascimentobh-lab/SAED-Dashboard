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0" documentId="8_{454372C2-A99E-4E47-A759-72B38925853E}" xr6:coauthVersionLast="47" xr6:coauthVersionMax="47" xr10:uidLastSave="{E5FF82F3-A196-4B9E-9353-A8C3FEE6411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F50" i="23" l="1"/>
  <c r="C50" i="23"/>
  <c r="D50" i="23"/>
  <c r="B50" i="23"/>
  <c r="E50" i="23"/>
  <c r="B49" i="23"/>
  <c r="C49" i="23"/>
  <c r="D49" i="23"/>
  <c r="E49" i="23"/>
  <c r="F49" i="23"/>
  <c r="C48" i="23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<sst xmlns="http://schemas.openxmlformats.org/spreadsheetml/2006/main" count="6225" uniqueCount="2402">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</sst>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2" totalsRowShown="0">
  <autoFilter ref="A3:D92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6" activePane="bottomLeft" state="frozen"/>
      <selection pane="bottomLeft" activeCell="G724" sqref="G72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2"/>
  <sheetViews>
    <sheetView topLeftCell="A75" workbookViewId="0">
      <selection activeCell="D93" sqref="D93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1" activePane="bottomLeft" state="frozen"/>
      <selection pane="bottomLeft" activeCell="F123" sqref="F12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17</v>
      </c>
      <c r="C46" s="103">
        <f>IF($A46="","",SUMIFS('GECC 2026'!I$2:I$200,'GECC 2026'!F$2:F$200,$A46))</f>
        <v>5.1000000000000005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22.099999999999998</v>
      </c>
      <c r="F46" s="101">
        <f>IF($A46="","",COUNTIFS('GECC 2026'!F$2:F$200,$A46))</f>
        <v>5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752</v>
      </c>
      <c r="C105" s="242">
        <f>SUM(C5:C100)</f>
        <v>404.58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2026-07-10T19:36:32Z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