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5" documentId="13_ncr:1_{6A2CC3E2-FAFB-4D8F-B284-5E8FB5045DFE}" xr6:coauthVersionLast="47" xr6:coauthVersionMax="47" xr10:uidLastSave="{0C5E396A-00C8-41C2-8BCA-D5BCEC747AD5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6" i="3" a="1"/>
  <c r="W5" i="3" a="1"/>
  <c r="W4" i="3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6" i="29" l="1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57" i="23" l="1"/>
  <c r="E57" i="23"/>
  <c r="F57" i="23"/>
  <c r="C57" i="23"/>
  <c r="B57" i="23"/>
  <c r="D56" i="23"/>
  <c r="F56" i="23"/>
  <c r="C56" i="23"/>
  <c r="E56" i="23"/>
  <c r="B56" i="23"/>
  <c r="B8" i="27" l="1"/>
  <c r="A8" i="27"/>
  <c r="L4" i="20"/>
  <c r="R4" i="20" s="1" a="1"/>
  <c r="R4" i="20" s="1"/>
  <c r="S4" i="20" s="1" a="1"/>
  <c r="S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T4" i="20" l="1" a="1"/>
  <c r="T4" i="20" s="1"/>
  <c r="A2" i="20" l="1" a="1"/>
  <c r="A5" i="23" s="1" a="1"/>
  <c r="A2" i="20" l="1"/>
  <c r="E105" i="23"/>
  <c r="F6" i="23"/>
  <c r="F50" i="23"/>
  <c r="F39" i="23"/>
  <c r="E22" i="23"/>
  <c r="B36" i="23"/>
  <c r="C26" i="23"/>
  <c r="C25" i="23"/>
  <c r="D52" i="23"/>
  <c r="C35" i="23"/>
  <c r="E41" i="23"/>
  <c r="F10" i="23"/>
  <c r="E15" i="23"/>
  <c r="D44" i="23"/>
  <c r="E29" i="23"/>
  <c r="E38" i="23"/>
  <c r="C8" i="23"/>
  <c r="D29" i="23"/>
  <c r="B20" i="23"/>
  <c r="E10" i="23"/>
  <c r="E32" i="23"/>
  <c r="D31" i="23"/>
  <c r="E26" i="23"/>
  <c r="D26" i="23"/>
  <c r="D8" i="23"/>
  <c r="B26" i="23"/>
  <c r="E49" i="23"/>
  <c r="C50" i="23"/>
  <c r="D28" i="23"/>
  <c r="B10" i="23"/>
  <c r="B44" i="23"/>
  <c r="D12" i="23"/>
  <c r="E52" i="23"/>
  <c r="B8" i="23"/>
  <c r="B42" i="23"/>
  <c r="D23" i="23"/>
  <c r="D34" i="23"/>
  <c r="D18" i="23"/>
  <c r="B6" i="23"/>
  <c r="D20" i="23"/>
  <c r="B35" i="23"/>
  <c r="C6" i="23"/>
  <c r="F35" i="23"/>
  <c r="E43" i="23"/>
  <c r="D19" i="23"/>
  <c r="B21" i="23"/>
  <c r="D48" i="23"/>
  <c r="B41" i="23"/>
  <c r="C29" i="23"/>
  <c r="E35" i="23"/>
  <c r="D6" i="23"/>
  <c r="F28" i="23"/>
  <c r="C20" i="23"/>
  <c r="D35" i="23"/>
  <c r="C17" i="23"/>
  <c r="E19" i="23"/>
  <c r="E51" i="23"/>
  <c r="F32" i="23"/>
  <c r="E46" i="23"/>
  <c r="C44" i="23"/>
  <c r="B9" i="23"/>
  <c r="C52" i="23"/>
  <c r="E55" i="23"/>
  <c r="D21" i="23"/>
  <c r="C34" i="23"/>
  <c r="B38" i="23"/>
  <c r="C15" i="23"/>
  <c r="E7" i="23"/>
  <c r="C27" i="23"/>
  <c r="C36" i="23"/>
  <c r="C18" i="23"/>
  <c r="C7" i="23"/>
  <c r="F25" i="23"/>
  <c r="D33" i="23"/>
  <c r="F14" i="23"/>
  <c r="B28" i="23"/>
  <c r="E6" i="23"/>
  <c r="F24" i="23"/>
  <c r="F44" i="23"/>
  <c r="E11" i="23"/>
  <c r="B16" i="23"/>
  <c r="D14" i="23"/>
  <c r="F8" i="23"/>
  <c r="F17" i="23"/>
  <c r="B24" i="23"/>
  <c r="C33" i="23"/>
  <c r="E30" i="23"/>
  <c r="E21" i="23"/>
  <c r="C47" i="23"/>
  <c r="B15" i="23"/>
  <c r="B54" i="23"/>
  <c r="D36" i="23"/>
  <c r="B43" i="23"/>
  <c r="F9" i="23"/>
  <c r="D7" i="23"/>
  <c r="C37" i="23"/>
  <c r="B12" i="23"/>
  <c r="D40" i="23"/>
  <c r="B37" i="23"/>
  <c r="D41" i="23"/>
  <c r="B47" i="23"/>
  <c r="E50" i="23"/>
  <c r="B13" i="23"/>
  <c r="D37" i="23"/>
  <c r="F26" i="23"/>
  <c r="D46" i="23"/>
  <c r="C16" i="23"/>
  <c r="D13" i="23"/>
  <c r="D43" i="23"/>
  <c r="C38" i="23"/>
  <c r="F47" i="23"/>
  <c r="F18" i="23"/>
  <c r="F27" i="23"/>
  <c r="C12" i="23"/>
  <c r="E28" i="23"/>
  <c r="D11" i="23"/>
  <c r="E37" i="23"/>
  <c r="C14" i="23"/>
  <c r="C45" i="23"/>
  <c r="C41" i="23"/>
  <c r="C46" i="23"/>
  <c r="C51" i="23"/>
  <c r="D10" i="23"/>
  <c r="C9" i="23"/>
  <c r="D50" i="23"/>
  <c r="C53" i="23"/>
  <c r="B32" i="23"/>
  <c r="C48" i="23"/>
  <c r="F45" i="23"/>
  <c r="B14" i="23"/>
  <c r="F34" i="23"/>
  <c r="D51" i="23"/>
  <c r="B25" i="23"/>
  <c r="D39" i="23"/>
  <c r="B46" i="23"/>
  <c r="F33" i="23"/>
  <c r="D30" i="23"/>
  <c r="B50" i="23"/>
  <c r="C13" i="23"/>
  <c r="D17" i="23"/>
  <c r="B52" i="23"/>
  <c r="E20" i="23"/>
  <c r="C10" i="23"/>
  <c r="E44" i="23"/>
  <c r="F16" i="23"/>
  <c r="B22" i="23"/>
  <c r="F22" i="23"/>
  <c r="E9" i="23"/>
  <c r="B39" i="23"/>
  <c r="E40" i="23"/>
  <c r="F36" i="23"/>
  <c r="B30" i="23"/>
  <c r="E12" i="23"/>
  <c r="B34" i="23"/>
  <c r="B33" i="23"/>
  <c r="E13" i="23"/>
  <c r="B11" i="23"/>
  <c r="E24" i="23"/>
  <c r="E54" i="23"/>
  <c r="B31" i="23"/>
  <c r="F38" i="23"/>
  <c r="C21" i="23"/>
  <c r="F13" i="23"/>
  <c r="E14" i="23"/>
  <c r="C11" i="23"/>
  <c r="E34" i="23"/>
  <c r="E33" i="23"/>
  <c r="D42" i="23"/>
  <c r="B18" i="23"/>
  <c r="C22" i="23"/>
  <c r="F23" i="23"/>
  <c r="D25" i="23"/>
  <c r="F40" i="23"/>
  <c r="E36" i="23"/>
  <c r="C32" i="23"/>
  <c r="E48" i="23"/>
  <c r="B53" i="23"/>
  <c r="C54" i="23"/>
  <c r="E45" i="23"/>
  <c r="E39" i="23"/>
  <c r="F42" i="23"/>
  <c r="E23" i="23"/>
  <c r="D22" i="23"/>
  <c r="C28" i="23"/>
  <c r="B51" i="23"/>
  <c r="F49" i="23"/>
  <c r="D49" i="23"/>
  <c r="C23" i="23"/>
  <c r="D55" i="23"/>
  <c r="B48" i="23"/>
  <c r="D32" i="23"/>
  <c r="E31" i="23"/>
  <c r="B40" i="23"/>
  <c r="F29" i="23"/>
  <c r="B27" i="23"/>
  <c r="F12" i="23"/>
  <c r="E25" i="23"/>
  <c r="D54" i="23"/>
  <c r="D9" i="23"/>
  <c r="F51" i="23"/>
  <c r="F55" i="23"/>
  <c r="F46" i="23"/>
  <c r="F37" i="23"/>
  <c r="F54" i="23"/>
  <c r="F21" i="23"/>
  <c r="D45" i="23"/>
  <c r="F15" i="23"/>
  <c r="B19" i="23"/>
  <c r="F31" i="23"/>
  <c r="E53" i="23"/>
  <c r="D24" i="23"/>
  <c r="D53" i="23"/>
  <c r="E16" i="23"/>
  <c r="F41" i="23"/>
  <c r="B17" i="23"/>
  <c r="C24" i="23"/>
  <c r="E42" i="23"/>
  <c r="E47" i="23"/>
  <c r="B49" i="23"/>
  <c r="F53" i="23"/>
  <c r="D38" i="23"/>
  <c r="B7" i="23"/>
  <c r="C55" i="23"/>
  <c r="E8" i="23"/>
  <c r="E27" i="23"/>
  <c r="D47" i="23"/>
  <c r="E17" i="23"/>
  <c r="C30" i="23"/>
  <c r="C42" i="23"/>
  <c r="F20" i="23"/>
  <c r="F19" i="23"/>
  <c r="C31" i="23"/>
  <c r="F11" i="23"/>
  <c r="D27" i="23"/>
  <c r="F30" i="23"/>
  <c r="C19" i="23"/>
  <c r="B29" i="23"/>
  <c r="B55" i="23"/>
  <c r="C39" i="23"/>
  <c r="B45" i="23"/>
  <c r="F7" i="23"/>
  <c r="C43" i="23"/>
  <c r="C40" i="23"/>
  <c r="D15" i="23"/>
  <c r="D16" i="23"/>
  <c r="C49" i="23"/>
  <c r="F48" i="23"/>
  <c r="F43" i="23"/>
  <c r="B23" i="23"/>
  <c r="F52" i="23"/>
  <c r="E18" i="23"/>
  <c r="A5" i="23"/>
  <c r="C5" i="23" l="1"/>
  <c r="C105" i="23" s="1"/>
  <c r="B5" i="23"/>
  <c r="B105" i="23" s="1"/>
  <c r="F5" i="23"/>
  <c r="F105" i="23" s="1"/>
  <c r="E5" i="23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<sst xmlns="http://schemas.openxmlformats.org/spreadsheetml/2006/main" count="7191" uniqueCount="3164">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</sst>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6" fillId="0" borderId="0" xfId="0" applyFont="1"/>
    <xf numFmtId="0" fontId="57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8" fillId="0" borderId="0" xfId="0" applyFont="1" applyBorder="1" applyAlignment="1">
      <alignment horizontal="center" vertical="center"/>
    </xf>
    <xf numFmtId="0" fontId="48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0" dataDxfId="49" totalsRowDxfId="48" totalsRowBorderDxfId="47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657:T729">
    <sortCondition ref="E1:E2001"/>
  </sortState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3"/>
  <sheetViews>
    <sheetView tabSelected="1" topLeftCell="B1" zoomScale="120" zoomScaleNormal="120" workbookViewId="0">
      <pane ySplit="1" topLeftCell="A705" activePane="bottomLeft" state="frozen"/>
      <selection pane="bottomLeft" activeCell="E678" sqref="E678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2868</v>
      </c>
      <c r="B657" s="127">
        <v>2026</v>
      </c>
      <c r="C657" s="183" t="s">
        <v>2774</v>
      </c>
      <c r="D657" s="183" t="s">
        <v>2869</v>
      </c>
      <c r="E657" s="184" t="s">
        <v>2870</v>
      </c>
      <c r="F657" s="185" t="s">
        <v>69</v>
      </c>
      <c r="G657" s="186" t="s">
        <v>79</v>
      </c>
      <c r="H657" s="191" t="s">
        <v>2871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2872</v>
      </c>
    </row>
    <row r="658" spans="1:20" ht="15" x14ac:dyDescent="0.25">
      <c r="A658" s="191" t="s">
        <v>2835</v>
      </c>
      <c r="B658" s="127">
        <v>2026</v>
      </c>
      <c r="C658" s="127" t="s">
        <v>22</v>
      </c>
      <c r="D658" s="173" t="s">
        <v>2836</v>
      </c>
      <c r="E658" s="162" t="s">
        <v>2837</v>
      </c>
      <c r="F658" s="129" t="s">
        <v>69</v>
      </c>
      <c r="G658" s="174" t="s">
        <v>2702</v>
      </c>
      <c r="H658" s="175" t="s">
        <v>2838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2773</v>
      </c>
      <c r="B659" s="127">
        <v>2026</v>
      </c>
      <c r="C659" s="183" t="s">
        <v>2774</v>
      </c>
      <c r="D659" s="183" t="s">
        <v>2775</v>
      </c>
      <c r="E659" s="184" t="s">
        <v>2776</v>
      </c>
      <c r="F659" s="185" t="s">
        <v>24</v>
      </c>
      <c r="G659" s="186" t="s">
        <v>2728</v>
      </c>
      <c r="H659" s="191" t="s">
        <v>2777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2909</v>
      </c>
      <c r="B660" s="127">
        <v>2026</v>
      </c>
      <c r="C660" s="183" t="s">
        <v>2774</v>
      </c>
      <c r="D660" s="183" t="s">
        <v>2910</v>
      </c>
      <c r="E660" s="184" t="s">
        <v>2911</v>
      </c>
      <c r="F660" s="185" t="s">
        <v>24</v>
      </c>
      <c r="G660" s="186" t="s">
        <v>206</v>
      </c>
      <c r="H660" s="191" t="s">
        <v>2912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2913</v>
      </c>
    </row>
    <row r="661" spans="1:20" ht="15" x14ac:dyDescent="0.25">
      <c r="A661" s="137" t="s">
        <v>2686</v>
      </c>
      <c r="B661" s="127">
        <v>2026</v>
      </c>
      <c r="C661" s="127" t="s">
        <v>22</v>
      </c>
      <c r="D661" s="127" t="s">
        <v>2687</v>
      </c>
      <c r="E661" s="128" t="s">
        <v>2138</v>
      </c>
      <c r="F661" s="129" t="s">
        <v>69</v>
      </c>
      <c r="G661" s="130" t="s">
        <v>79</v>
      </c>
      <c r="H661" s="131" t="s">
        <v>2688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2950</v>
      </c>
      <c r="B662" s="127">
        <v>2026</v>
      </c>
      <c r="C662" s="183" t="s">
        <v>2774</v>
      </c>
      <c r="D662" s="183" t="s">
        <v>2951</v>
      </c>
      <c r="E662" s="184" t="s">
        <v>2952</v>
      </c>
      <c r="F662" s="185" t="s">
        <v>69</v>
      </c>
      <c r="G662" s="186" t="s">
        <v>79</v>
      </c>
      <c r="H662" s="191" t="s">
        <v>2777</v>
      </c>
      <c r="I662" s="192" t="s">
        <v>2953</v>
      </c>
      <c r="J662" s="192" t="s">
        <v>2954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2955</v>
      </c>
    </row>
    <row r="663" spans="1:20" ht="15" x14ac:dyDescent="0.25">
      <c r="A663" s="191" t="s">
        <v>2924</v>
      </c>
      <c r="B663" s="127">
        <v>2026</v>
      </c>
      <c r="C663" s="164" t="s">
        <v>2774</v>
      </c>
      <c r="D663" s="127" t="s">
        <v>2925</v>
      </c>
      <c r="E663" s="162" t="s">
        <v>2926</v>
      </c>
      <c r="F663" s="129" t="s">
        <v>88</v>
      </c>
      <c r="G663" s="130" t="s">
        <v>2749</v>
      </c>
      <c r="H663" s="131" t="s">
        <v>2927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2928</v>
      </c>
    </row>
    <row r="664" spans="1:20" ht="15" x14ac:dyDescent="0.25">
      <c r="A664" s="191" t="s">
        <v>2830</v>
      </c>
      <c r="B664" s="127">
        <v>2026</v>
      </c>
      <c r="C664" s="183" t="s">
        <v>22</v>
      </c>
      <c r="D664" s="183" t="s">
        <v>2831</v>
      </c>
      <c r="E664" s="184" t="s">
        <v>2832</v>
      </c>
      <c r="F664" s="185" t="s">
        <v>24</v>
      </c>
      <c r="G664" s="186" t="s">
        <v>25</v>
      </c>
      <c r="H664" s="191" t="s">
        <v>2833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2834</v>
      </c>
    </row>
    <row r="665" spans="1:20" ht="15" x14ac:dyDescent="0.25">
      <c r="A665" s="137" t="s">
        <v>2802</v>
      </c>
      <c r="B665" s="127">
        <v>2026</v>
      </c>
      <c r="C665" s="183" t="s">
        <v>22</v>
      </c>
      <c r="D665" s="183" t="s">
        <v>2803</v>
      </c>
      <c r="E665" s="184" t="s">
        <v>2676</v>
      </c>
      <c r="F665" s="185" t="s">
        <v>24</v>
      </c>
      <c r="G665" s="186" t="s">
        <v>42</v>
      </c>
      <c r="H665" s="191" t="s">
        <v>2804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2769</v>
      </c>
      <c r="B666" s="127">
        <v>2026</v>
      </c>
      <c r="C666" s="183" t="s">
        <v>22</v>
      </c>
      <c r="D666" s="183" t="s">
        <v>2770</v>
      </c>
      <c r="E666" s="184" t="s">
        <v>2771</v>
      </c>
      <c r="F666" s="185" t="s">
        <v>24</v>
      </c>
      <c r="G666" s="186" t="s">
        <v>371</v>
      </c>
      <c r="H666" s="191" t="s">
        <v>2772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2746</v>
      </c>
      <c r="B667" s="127">
        <v>2026</v>
      </c>
      <c r="C667" s="127" t="s">
        <v>22</v>
      </c>
      <c r="D667" s="173" t="s">
        <v>2747</v>
      </c>
      <c r="E667" s="180" t="s">
        <v>2748</v>
      </c>
      <c r="F667" s="129" t="s">
        <v>88</v>
      </c>
      <c r="G667" s="130" t="s">
        <v>2749</v>
      </c>
      <c r="H667" s="175" t="s">
        <v>2750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2860</v>
      </c>
      <c r="B668" s="127">
        <v>2026</v>
      </c>
      <c r="C668" s="232" t="s">
        <v>22</v>
      </c>
      <c r="D668" s="183" t="s">
        <v>2861</v>
      </c>
      <c r="E668" s="184" t="s">
        <v>2862</v>
      </c>
      <c r="F668" s="185" t="s">
        <v>88</v>
      </c>
      <c r="G668" s="186" t="s">
        <v>2749</v>
      </c>
      <c r="H668" s="191" t="s">
        <v>2863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2823</v>
      </c>
      <c r="B669" s="127">
        <v>2026</v>
      </c>
      <c r="C669" s="127" t="s">
        <v>22</v>
      </c>
      <c r="D669" s="173" t="s">
        <v>2824</v>
      </c>
      <c r="E669" s="180" t="s">
        <v>2825</v>
      </c>
      <c r="F669" s="129" t="s">
        <v>69</v>
      </c>
      <c r="G669" s="174" t="s">
        <v>2702</v>
      </c>
      <c r="H669" s="175" t="s">
        <v>2826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2704</v>
      </c>
    </row>
    <row r="670" spans="1:20" ht="15" x14ac:dyDescent="0.25">
      <c r="A670" s="191" t="s">
        <v>2827</v>
      </c>
      <c r="B670" s="127">
        <v>2026</v>
      </c>
      <c r="C670" s="127" t="s">
        <v>22</v>
      </c>
      <c r="D670" s="173" t="s">
        <v>2824</v>
      </c>
      <c r="E670" s="208" t="s">
        <v>2828</v>
      </c>
      <c r="F670" s="129" t="s">
        <v>69</v>
      </c>
      <c r="G670" s="174" t="s">
        <v>2702</v>
      </c>
      <c r="H670" s="175" t="s">
        <v>2829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2704</v>
      </c>
    </row>
    <row r="671" spans="1:20" ht="15" x14ac:dyDescent="0.25">
      <c r="A671" s="191" t="s">
        <v>2919</v>
      </c>
      <c r="B671" s="127">
        <v>2026</v>
      </c>
      <c r="C671" s="183" t="s">
        <v>2774</v>
      </c>
      <c r="D671" s="183" t="s">
        <v>2920</v>
      </c>
      <c r="E671" s="184" t="s">
        <v>2921</v>
      </c>
      <c r="F671" s="185" t="s">
        <v>69</v>
      </c>
      <c r="G671" s="186" t="s">
        <v>79</v>
      </c>
      <c r="H671" s="209" t="s">
        <v>2922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2923</v>
      </c>
    </row>
    <row r="672" spans="1:20" ht="15" x14ac:dyDescent="0.25">
      <c r="A672" s="137" t="s">
        <v>2778</v>
      </c>
      <c r="B672" s="127">
        <v>2026</v>
      </c>
      <c r="C672" s="183" t="s">
        <v>22</v>
      </c>
      <c r="D672" s="183" t="s">
        <v>2779</v>
      </c>
      <c r="E672" s="184" t="s">
        <v>2780</v>
      </c>
      <c r="F672" s="185" t="s">
        <v>24</v>
      </c>
      <c r="G672" s="186" t="s">
        <v>25</v>
      </c>
      <c r="H672" s="191" t="s">
        <v>2781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2782</v>
      </c>
    </row>
    <row r="673" spans="1:20" ht="15" x14ac:dyDescent="0.25">
      <c r="A673" s="137" t="s">
        <v>2720</v>
      </c>
      <c r="B673" s="127">
        <v>2026</v>
      </c>
      <c r="C673" s="127" t="s">
        <v>22</v>
      </c>
      <c r="D673" s="127" t="s">
        <v>2721</v>
      </c>
      <c r="E673" s="128" t="s">
        <v>2722</v>
      </c>
      <c r="F673" s="129" t="s">
        <v>24</v>
      </c>
      <c r="G673" s="144" t="s">
        <v>371</v>
      </c>
      <c r="H673" s="155" t="s">
        <v>2723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2724</v>
      </c>
    </row>
    <row r="674" spans="1:20" ht="15" x14ac:dyDescent="0.25">
      <c r="A674" s="137" t="s">
        <v>2711</v>
      </c>
      <c r="B674" s="127">
        <v>2026</v>
      </c>
      <c r="C674" s="127" t="s">
        <v>22</v>
      </c>
      <c r="D674" s="127" t="s">
        <v>2712</v>
      </c>
      <c r="E674" s="128" t="s">
        <v>2713</v>
      </c>
      <c r="F674" s="129" t="s">
        <v>69</v>
      </c>
      <c r="G674" s="130" t="s">
        <v>2702</v>
      </c>
      <c r="H674" s="172" t="s">
        <v>2714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2715</v>
      </c>
    </row>
    <row r="675" spans="1:20" ht="15" x14ac:dyDescent="0.25">
      <c r="A675" s="137" t="s">
        <v>2742</v>
      </c>
      <c r="B675" s="127">
        <v>2026</v>
      </c>
      <c r="C675" s="127" t="s">
        <v>22</v>
      </c>
      <c r="D675" s="173" t="s">
        <v>2743</v>
      </c>
      <c r="E675" s="128" t="s">
        <v>2744</v>
      </c>
      <c r="F675" s="129" t="s">
        <v>69</v>
      </c>
      <c r="G675" s="174" t="s">
        <v>2702</v>
      </c>
      <c r="H675" s="234" t="s">
        <v>2745</v>
      </c>
      <c r="I675" s="236">
        <v>46120</v>
      </c>
      <c r="J675" s="236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2715</v>
      </c>
    </row>
    <row r="676" spans="1:20" ht="15" x14ac:dyDescent="0.25">
      <c r="A676" s="137" t="s">
        <v>2734</v>
      </c>
      <c r="B676" s="127">
        <v>2026</v>
      </c>
      <c r="C676" s="127" t="s">
        <v>22</v>
      </c>
      <c r="D676" s="127" t="s">
        <v>2735</v>
      </c>
      <c r="E676" s="128" t="s">
        <v>2736</v>
      </c>
      <c r="F676" s="129" t="s">
        <v>69</v>
      </c>
      <c r="G676" s="130" t="s">
        <v>79</v>
      </c>
      <c r="H676" s="127" t="s">
        <v>2737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2794</v>
      </c>
      <c r="B677" s="127">
        <v>2026</v>
      </c>
      <c r="C677" s="193" t="s">
        <v>2774</v>
      </c>
      <c r="D677" s="193" t="s">
        <v>2795</v>
      </c>
      <c r="E677" s="184" t="s">
        <v>2796</v>
      </c>
      <c r="F677" s="185" t="s">
        <v>69</v>
      </c>
      <c r="G677" s="194" t="s">
        <v>2702</v>
      </c>
      <c r="H677" s="195" t="s">
        <v>2777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2704</v>
      </c>
    </row>
    <row r="678" spans="1:20" ht="15" x14ac:dyDescent="0.25">
      <c r="A678" s="191" t="s">
        <v>2892</v>
      </c>
      <c r="B678" s="127">
        <v>2026</v>
      </c>
      <c r="C678" s="193" t="s">
        <v>2774</v>
      </c>
      <c r="D678" s="193" t="s">
        <v>2893</v>
      </c>
      <c r="E678" s="184" t="s">
        <v>2894</v>
      </c>
      <c r="F678" s="185" t="s">
        <v>69</v>
      </c>
      <c r="G678" s="194" t="s">
        <v>79</v>
      </c>
      <c r="H678" s="195" t="s">
        <v>2895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2900</v>
      </c>
      <c r="B679" s="127">
        <v>2026</v>
      </c>
      <c r="C679" s="193" t="s">
        <v>2774</v>
      </c>
      <c r="D679" s="193" t="s">
        <v>2901</v>
      </c>
      <c r="E679" s="203" t="s">
        <v>2902</v>
      </c>
      <c r="F679" s="185" t="s">
        <v>69</v>
      </c>
      <c r="G679" s="186" t="s">
        <v>79</v>
      </c>
      <c r="H679" s="195" t="s">
        <v>2903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2904</v>
      </c>
    </row>
    <row r="680" spans="1:20" ht="15" x14ac:dyDescent="0.25">
      <c r="A680" s="137" t="s">
        <v>2797</v>
      </c>
      <c r="B680" s="127">
        <v>2026</v>
      </c>
      <c r="C680" s="168" t="s">
        <v>2798</v>
      </c>
      <c r="D680" s="152" t="s">
        <v>2799</v>
      </c>
      <c r="E680" s="153" t="s">
        <v>2800</v>
      </c>
      <c r="F680" s="129" t="s">
        <v>24</v>
      </c>
      <c r="G680" s="130" t="s">
        <v>2708</v>
      </c>
      <c r="H680" s="155" t="s">
        <v>2801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2710</v>
      </c>
    </row>
    <row r="681" spans="1:20" ht="15" x14ac:dyDescent="0.25">
      <c r="A681" s="191" t="s">
        <v>2853</v>
      </c>
      <c r="B681" s="127">
        <v>2026</v>
      </c>
      <c r="C681" s="168" t="s">
        <v>22</v>
      </c>
      <c r="D681" s="152" t="s">
        <v>2799</v>
      </c>
      <c r="E681" s="153" t="s">
        <v>2854</v>
      </c>
      <c r="F681" s="129" t="s">
        <v>24</v>
      </c>
      <c r="G681" s="154" t="s">
        <v>2708</v>
      </c>
      <c r="H681" s="155" t="s">
        <v>2855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2710</v>
      </c>
    </row>
    <row r="682" spans="1:20" ht="15" x14ac:dyDescent="0.25">
      <c r="A682" s="191" t="s">
        <v>2873</v>
      </c>
      <c r="B682" s="127">
        <v>2026</v>
      </c>
      <c r="C682" s="193" t="s">
        <v>2798</v>
      </c>
      <c r="D682" s="152" t="s">
        <v>2799</v>
      </c>
      <c r="E682" s="153" t="s">
        <v>2854</v>
      </c>
      <c r="F682" s="185" t="s">
        <v>24</v>
      </c>
      <c r="G682" s="194" t="s">
        <v>2708</v>
      </c>
      <c r="H682" s="195" t="s">
        <v>2874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2710</v>
      </c>
    </row>
    <row r="683" spans="1:20" ht="15" x14ac:dyDescent="0.25">
      <c r="A683" s="137" t="s">
        <v>2694</v>
      </c>
      <c r="B683" s="127">
        <v>2026</v>
      </c>
      <c r="C683" s="152" t="s">
        <v>22</v>
      </c>
      <c r="D683" s="152" t="s">
        <v>2695</v>
      </c>
      <c r="E683" s="153" t="s">
        <v>2696</v>
      </c>
      <c r="F683" s="129" t="s">
        <v>24</v>
      </c>
      <c r="G683" s="130" t="s">
        <v>42</v>
      </c>
      <c r="H683" s="235" t="s">
        <v>2697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2698</v>
      </c>
    </row>
    <row r="684" spans="1:20" ht="15" x14ac:dyDescent="0.25">
      <c r="A684" s="191" t="s">
        <v>2818</v>
      </c>
      <c r="B684" s="152">
        <v>2026</v>
      </c>
      <c r="C684" s="168" t="s">
        <v>22</v>
      </c>
      <c r="D684" s="152" t="s">
        <v>2819</v>
      </c>
      <c r="E684" s="153" t="s">
        <v>2820</v>
      </c>
      <c r="F684" s="161" t="s">
        <v>24</v>
      </c>
      <c r="G684" s="154" t="s">
        <v>25</v>
      </c>
      <c r="H684" s="207" t="s">
        <v>2821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2822</v>
      </c>
    </row>
    <row r="685" spans="1:20" ht="15" x14ac:dyDescent="0.25">
      <c r="A685" s="137" t="s">
        <v>2705</v>
      </c>
      <c r="B685" s="152">
        <v>2026</v>
      </c>
      <c r="C685" s="127" t="s">
        <v>22</v>
      </c>
      <c r="D685" s="131" t="s">
        <v>2706</v>
      </c>
      <c r="E685" s="128" t="s">
        <v>2707</v>
      </c>
      <c r="F685" s="129" t="s">
        <v>24</v>
      </c>
      <c r="G685" s="144" t="s">
        <v>2708</v>
      </c>
      <c r="H685" s="131" t="s">
        <v>2709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2710</v>
      </c>
    </row>
    <row r="686" spans="1:20" ht="15" x14ac:dyDescent="0.25">
      <c r="A686" s="137" t="s">
        <v>2699</v>
      </c>
      <c r="B686" s="152">
        <v>2026</v>
      </c>
      <c r="C686" s="127" t="s">
        <v>22</v>
      </c>
      <c r="D686" s="127" t="s">
        <v>2700</v>
      </c>
      <c r="E686" s="128" t="s">
        <v>2701</v>
      </c>
      <c r="F686" s="129" t="s">
        <v>69</v>
      </c>
      <c r="G686" s="130" t="s">
        <v>2702</v>
      </c>
      <c r="H686" s="131" t="s">
        <v>2703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2704</v>
      </c>
    </row>
    <row r="687" spans="1:20" ht="15" x14ac:dyDescent="0.25">
      <c r="A687" s="191" t="s">
        <v>2805</v>
      </c>
      <c r="B687" s="152">
        <v>2026</v>
      </c>
      <c r="C687" s="127" t="s">
        <v>22</v>
      </c>
      <c r="D687" s="173" t="s">
        <v>2806</v>
      </c>
      <c r="E687" s="180" t="s">
        <v>2807</v>
      </c>
      <c r="F687" s="233" t="s">
        <v>24</v>
      </c>
      <c r="G687" s="174" t="s">
        <v>42</v>
      </c>
      <c r="H687" s="175" t="s">
        <v>2808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2842</v>
      </c>
      <c r="B688" s="152">
        <v>2026</v>
      </c>
      <c r="C688" s="183" t="s">
        <v>22</v>
      </c>
      <c r="D688" s="183" t="s">
        <v>2843</v>
      </c>
      <c r="E688" s="184" t="s">
        <v>2844</v>
      </c>
      <c r="F688" s="185" t="s">
        <v>69</v>
      </c>
      <c r="G688" s="186" t="s">
        <v>79</v>
      </c>
      <c r="H688" s="191" t="s">
        <v>2845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2754</v>
      </c>
    </row>
    <row r="689" spans="1:20" ht="30" x14ac:dyDescent="0.25">
      <c r="A689" s="137" t="s">
        <v>2725</v>
      </c>
      <c r="B689" s="152">
        <v>2026</v>
      </c>
      <c r="C689" s="127" t="s">
        <v>22</v>
      </c>
      <c r="D689" s="127" t="s">
        <v>2726</v>
      </c>
      <c r="E689" s="128" t="s">
        <v>2727</v>
      </c>
      <c r="F689" s="129" t="s">
        <v>24</v>
      </c>
      <c r="G689" s="144" t="s">
        <v>2728</v>
      </c>
      <c r="H689" s="131" t="s">
        <v>2729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2730</v>
      </c>
    </row>
    <row r="690" spans="1:20" ht="15" x14ac:dyDescent="0.25">
      <c r="A690" s="137" t="s">
        <v>2751</v>
      </c>
      <c r="B690" s="152">
        <v>2026</v>
      </c>
      <c r="C690" s="127" t="s">
        <v>22</v>
      </c>
      <c r="D690" s="127" t="s">
        <v>2726</v>
      </c>
      <c r="E690" s="128" t="s">
        <v>2752</v>
      </c>
      <c r="F690" s="129" t="s">
        <v>24</v>
      </c>
      <c r="G690" s="144" t="s">
        <v>2728</v>
      </c>
      <c r="H690" s="131" t="s">
        <v>2753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2754</v>
      </c>
    </row>
    <row r="691" spans="1:20" ht="15" x14ac:dyDescent="0.25">
      <c r="A691" s="137" t="s">
        <v>2790</v>
      </c>
      <c r="B691" s="152">
        <v>2026</v>
      </c>
      <c r="C691" s="183" t="s">
        <v>22</v>
      </c>
      <c r="D691" s="183" t="s">
        <v>2791</v>
      </c>
      <c r="E691" s="184" t="s">
        <v>2792</v>
      </c>
      <c r="F691" s="185" t="s">
        <v>24</v>
      </c>
      <c r="G691" s="186" t="s">
        <v>2728</v>
      </c>
      <c r="H691" s="191" t="s">
        <v>2793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2754</v>
      </c>
    </row>
    <row r="692" spans="1:20" ht="15" x14ac:dyDescent="0.25">
      <c r="A692" s="191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2728</v>
      </c>
      <c r="H692" s="191" t="s">
        <v>2841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2754</v>
      </c>
    </row>
    <row r="693" spans="1:20" ht="15" x14ac:dyDescent="0.25">
      <c r="A693" s="191" t="s">
        <v>2846</v>
      </c>
      <c r="B693" s="152">
        <v>2026</v>
      </c>
      <c r="C693" s="183" t="s">
        <v>2774</v>
      </c>
      <c r="D693" s="183" t="s">
        <v>2847</v>
      </c>
      <c r="E693" s="184" t="s">
        <v>2848</v>
      </c>
      <c r="F693" s="185" t="s">
        <v>24</v>
      </c>
      <c r="G693" s="186" t="s">
        <v>25</v>
      </c>
      <c r="H693" s="191" t="s">
        <v>2777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2941</v>
      </c>
      <c r="B694" s="152">
        <v>2026</v>
      </c>
      <c r="C694" s="127" t="s">
        <v>2774</v>
      </c>
      <c r="D694" s="173" t="s">
        <v>2942</v>
      </c>
      <c r="E694" s="180" t="s">
        <v>2943</v>
      </c>
      <c r="F694" s="129" t="s">
        <v>69</v>
      </c>
      <c r="G694" s="130" t="s">
        <v>79</v>
      </c>
      <c r="H694" s="175" t="s">
        <v>2944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2937</v>
      </c>
      <c r="B695" s="152">
        <v>2026</v>
      </c>
      <c r="C695" s="183" t="s">
        <v>2774</v>
      </c>
      <c r="D695" s="183" t="s">
        <v>2938</v>
      </c>
      <c r="E695" s="184" t="s">
        <v>2939</v>
      </c>
      <c r="F695" s="185" t="s">
        <v>69</v>
      </c>
      <c r="G695" s="186" t="s">
        <v>79</v>
      </c>
      <c r="H695" s="191" t="s">
        <v>2940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2738</v>
      </c>
      <c r="B696" s="152">
        <v>2026</v>
      </c>
      <c r="C696" s="127" t="s">
        <v>22</v>
      </c>
      <c r="D696" s="127" t="s">
        <v>2739</v>
      </c>
      <c r="E696" s="128" t="s">
        <v>2740</v>
      </c>
      <c r="F696" s="129" t="s">
        <v>69</v>
      </c>
      <c r="G696" s="130" t="s">
        <v>79</v>
      </c>
      <c r="H696" s="131" t="s">
        <v>2741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2755</v>
      </c>
      <c r="B697" s="152">
        <v>2026</v>
      </c>
      <c r="C697" s="127" t="s">
        <v>22</v>
      </c>
      <c r="D697" s="173" t="s">
        <v>2756</v>
      </c>
      <c r="E697" s="180" t="s">
        <v>2757</v>
      </c>
      <c r="F697" s="129" t="s">
        <v>24</v>
      </c>
      <c r="G697" s="144" t="s">
        <v>2728</v>
      </c>
      <c r="H697" s="175" t="s">
        <v>2758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2754</v>
      </c>
    </row>
    <row r="698" spans="1:20" ht="15" x14ac:dyDescent="0.25">
      <c r="A698" s="191" t="s">
        <v>2813</v>
      </c>
      <c r="B698" s="152">
        <v>2026</v>
      </c>
      <c r="C698" s="183" t="s">
        <v>2798</v>
      </c>
      <c r="D698" s="183" t="s">
        <v>2814</v>
      </c>
      <c r="E698" s="184" t="s">
        <v>2815</v>
      </c>
      <c r="F698" s="185" t="s">
        <v>24</v>
      </c>
      <c r="G698" s="186" t="s">
        <v>75</v>
      </c>
      <c r="H698" s="191" t="s">
        <v>2816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2817</v>
      </c>
    </row>
    <row r="699" spans="1:20" ht="15" x14ac:dyDescent="0.25">
      <c r="A699" s="137" t="s">
        <v>2759</v>
      </c>
      <c r="B699" s="152">
        <v>2026</v>
      </c>
      <c r="C699" s="127" t="s">
        <v>22</v>
      </c>
      <c r="D699" s="127" t="s">
        <v>2760</v>
      </c>
      <c r="E699" s="128" t="s">
        <v>2761</v>
      </c>
      <c r="F699" s="129" t="s">
        <v>24</v>
      </c>
      <c r="G699" s="130" t="s">
        <v>206</v>
      </c>
      <c r="H699" s="131" t="s">
        <v>2762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2763</v>
      </c>
    </row>
    <row r="700" spans="1:20" ht="15" x14ac:dyDescent="0.25">
      <c r="A700" s="191" t="s">
        <v>2849</v>
      </c>
      <c r="B700" s="152">
        <v>2026</v>
      </c>
      <c r="C700" s="183" t="s">
        <v>22</v>
      </c>
      <c r="D700" s="183" t="s">
        <v>2850</v>
      </c>
      <c r="E700" s="184" t="s">
        <v>2851</v>
      </c>
      <c r="F700" s="185" t="s">
        <v>88</v>
      </c>
      <c r="G700" s="186" t="s">
        <v>2749</v>
      </c>
      <c r="H700" s="191" t="s">
        <v>2852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2856</v>
      </c>
      <c r="B701" s="152">
        <v>2026</v>
      </c>
      <c r="C701" s="183" t="s">
        <v>22</v>
      </c>
      <c r="D701" s="183" t="s">
        <v>2857</v>
      </c>
      <c r="E701" s="184" t="s">
        <v>2858</v>
      </c>
      <c r="F701" s="185" t="s">
        <v>24</v>
      </c>
      <c r="G701" s="186" t="s">
        <v>75</v>
      </c>
      <c r="H701" s="191" t="s">
        <v>2859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>IF(B701="","",SUM(O701:Q701))</f>
        <v>15</v>
      </c>
      <c r="S701" s="183">
        <v>24</v>
      </c>
      <c r="T701" s="186" t="s">
        <v>2822</v>
      </c>
    </row>
    <row r="702" spans="1:20" ht="15" x14ac:dyDescent="0.25">
      <c r="A702" s="191" t="s">
        <v>2905</v>
      </c>
      <c r="B702" s="152">
        <v>2026</v>
      </c>
      <c r="C702" s="183" t="s">
        <v>2774</v>
      </c>
      <c r="D702" s="183" t="s">
        <v>2906</v>
      </c>
      <c r="E702" s="184" t="s">
        <v>2907</v>
      </c>
      <c r="F702" s="185" t="s">
        <v>69</v>
      </c>
      <c r="G702" s="186" t="s">
        <v>79</v>
      </c>
      <c r="H702" s="191" t="s">
        <v>2903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>IF(B702="","",SUM(O702:Q702))</f>
        <v>0</v>
      </c>
      <c r="S702" s="183">
        <v>4</v>
      </c>
      <c r="T702" s="186" t="s">
        <v>2908</v>
      </c>
    </row>
    <row r="703" spans="1:20" ht="15" x14ac:dyDescent="0.25">
      <c r="A703" s="191" t="s">
        <v>2896</v>
      </c>
      <c r="B703" s="152">
        <v>2026</v>
      </c>
      <c r="C703" s="183" t="s">
        <v>2774</v>
      </c>
      <c r="D703" s="183" t="s">
        <v>2897</v>
      </c>
      <c r="E703" s="184" t="s">
        <v>2898</v>
      </c>
      <c r="F703" s="185" t="s">
        <v>69</v>
      </c>
      <c r="G703" s="186" t="s">
        <v>79</v>
      </c>
      <c r="H703" s="191" t="s">
        <v>2895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>IF(B703="","",SUM(O703:Q703))</f>
        <v>0</v>
      </c>
      <c r="S703" s="183">
        <v>4</v>
      </c>
      <c r="T703" s="186" t="s">
        <v>2899</v>
      </c>
    </row>
    <row r="704" spans="1:20" ht="15" x14ac:dyDescent="0.25">
      <c r="A704" s="191" t="s">
        <v>2875</v>
      </c>
      <c r="B704" s="152">
        <v>2026</v>
      </c>
      <c r="C704" s="183" t="s">
        <v>2774</v>
      </c>
      <c r="D704" s="183" t="s">
        <v>2876</v>
      </c>
      <c r="E704" s="184" t="s">
        <v>2877</v>
      </c>
      <c r="F704" s="185" t="s">
        <v>69</v>
      </c>
      <c r="G704" s="186" t="s">
        <v>79</v>
      </c>
      <c r="H704" s="191" t="s">
        <v>2878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>IF(B704="","",SUM(O704:Q704))</f>
        <v>0</v>
      </c>
      <c r="S704" s="183">
        <v>8</v>
      </c>
      <c r="T704" s="205" t="s">
        <v>2879</v>
      </c>
    </row>
    <row r="705" spans="1:21" ht="15" x14ac:dyDescent="0.25">
      <c r="A705" s="191" t="s">
        <v>2960</v>
      </c>
      <c r="B705" s="152">
        <v>2026</v>
      </c>
      <c r="C705" s="183" t="s">
        <v>2774</v>
      </c>
      <c r="D705" s="183" t="s">
        <v>2961</v>
      </c>
      <c r="E705" s="184" t="s">
        <v>2962</v>
      </c>
      <c r="F705" s="185" t="s">
        <v>69</v>
      </c>
      <c r="G705" s="186" t="s">
        <v>79</v>
      </c>
      <c r="H705" s="191" t="s">
        <v>2912</v>
      </c>
      <c r="I705" s="192" t="s">
        <v>2912</v>
      </c>
      <c r="J705" s="192" t="s">
        <v>2912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>IF(B705="","",SUM(O705:Q705))</f>
        <v>0</v>
      </c>
      <c r="S705" s="183">
        <v>4</v>
      </c>
      <c r="T705" s="186" t="s">
        <v>2963</v>
      </c>
    </row>
    <row r="706" spans="1:21" ht="15" x14ac:dyDescent="0.25">
      <c r="A706" s="191" t="s">
        <v>2880</v>
      </c>
      <c r="B706" s="152">
        <v>2026</v>
      </c>
      <c r="C706" s="183" t="s">
        <v>2774</v>
      </c>
      <c r="D706" s="183" t="s">
        <v>2881</v>
      </c>
      <c r="E706" s="184" t="s">
        <v>2882</v>
      </c>
      <c r="F706" s="185" t="s">
        <v>69</v>
      </c>
      <c r="G706" s="186" t="s">
        <v>79</v>
      </c>
      <c r="H706" s="191" t="s">
        <v>2883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>IF(B706="","",SUM(O706:Q706))</f>
        <v>0</v>
      </c>
      <c r="S706" s="183">
        <v>4</v>
      </c>
      <c r="T706" s="186" t="s">
        <v>2452</v>
      </c>
    </row>
    <row r="707" spans="1:21" ht="15" x14ac:dyDescent="0.25">
      <c r="A707" s="191" t="s">
        <v>2888</v>
      </c>
      <c r="B707" s="152">
        <v>2026</v>
      </c>
      <c r="C707" s="183" t="s">
        <v>2774</v>
      </c>
      <c r="D707" s="183" t="s">
        <v>2889</v>
      </c>
      <c r="E707" s="184" t="s">
        <v>2890</v>
      </c>
      <c r="F707" s="185" t="s">
        <v>69</v>
      </c>
      <c r="G707" s="186" t="s">
        <v>79</v>
      </c>
      <c r="H707" s="191" t="s">
        <v>2891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>IF(B707="","",SUM(O707:Q707))</f>
        <v>0</v>
      </c>
      <c r="S707" s="183">
        <v>4</v>
      </c>
      <c r="T707" s="186" t="s">
        <v>2462</v>
      </c>
    </row>
    <row r="708" spans="1:21" ht="15" x14ac:dyDescent="0.25">
      <c r="A708" s="191" t="s">
        <v>2884</v>
      </c>
      <c r="B708" s="152">
        <v>2026</v>
      </c>
      <c r="C708" s="183" t="s">
        <v>2774</v>
      </c>
      <c r="D708" s="183" t="s">
        <v>2885</v>
      </c>
      <c r="E708" s="184" t="s">
        <v>2886</v>
      </c>
      <c r="F708" s="185" t="s">
        <v>69</v>
      </c>
      <c r="G708" s="186" t="s">
        <v>79</v>
      </c>
      <c r="H708" s="191" t="s">
        <v>2883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>IF(B708="","",SUM(O708:Q708))</f>
        <v>0</v>
      </c>
      <c r="S708" s="183">
        <v>4</v>
      </c>
      <c r="T708" s="186" t="s">
        <v>2887</v>
      </c>
    </row>
    <row r="709" spans="1:21" ht="15" x14ac:dyDescent="0.25">
      <c r="A709" s="191" t="s">
        <v>2945</v>
      </c>
      <c r="B709" s="152">
        <v>2026</v>
      </c>
      <c r="C709" s="183" t="s">
        <v>2774</v>
      </c>
      <c r="D709" s="183" t="s">
        <v>2946</v>
      </c>
      <c r="E709" s="184" t="s">
        <v>2947</v>
      </c>
      <c r="F709" s="185" t="s">
        <v>24</v>
      </c>
      <c r="G709" s="186" t="s">
        <v>75</v>
      </c>
      <c r="H709" s="191" t="s">
        <v>2948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>IF(B709="","",SUM(O709:Q709))</f>
        <v>0</v>
      </c>
      <c r="S709" s="183">
        <v>10</v>
      </c>
      <c r="T709" s="186" t="s">
        <v>2949</v>
      </c>
      <c r="U709" s="106"/>
    </row>
    <row r="710" spans="1:21" ht="15" x14ac:dyDescent="0.25">
      <c r="A710" s="191" t="s">
        <v>2864</v>
      </c>
      <c r="B710" s="152">
        <v>2026</v>
      </c>
      <c r="C710" s="183" t="s">
        <v>22</v>
      </c>
      <c r="D710" s="183" t="s">
        <v>2865</v>
      </c>
      <c r="E710" s="184" t="s">
        <v>2866</v>
      </c>
      <c r="F710" s="185" t="s">
        <v>69</v>
      </c>
      <c r="G710" s="186" t="s">
        <v>79</v>
      </c>
      <c r="H710" s="191" t="s">
        <v>2867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>IF(B710="","",SUM(O710:Q710))</f>
        <v>220</v>
      </c>
      <c r="S710" s="183">
        <v>4</v>
      </c>
      <c r="T710" s="186" t="s">
        <v>479</v>
      </c>
    </row>
    <row r="711" spans="1:21" ht="15" x14ac:dyDescent="0.25">
      <c r="A711" s="191" t="s">
        <v>2956</v>
      </c>
      <c r="B711" s="152">
        <v>2026</v>
      </c>
      <c r="C711" s="183" t="s">
        <v>2774</v>
      </c>
      <c r="D711" s="183" t="s">
        <v>2957</v>
      </c>
      <c r="E711" s="184" t="s">
        <v>2958</v>
      </c>
      <c r="F711" s="185" t="s">
        <v>24</v>
      </c>
      <c r="G711" s="186" t="s">
        <v>206</v>
      </c>
      <c r="H711" s="191" t="s">
        <v>2883</v>
      </c>
      <c r="I711" s="191" t="s">
        <v>2883</v>
      </c>
      <c r="J711" s="191" t="s">
        <v>2883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>IF(B711="","",SUM(O711:Q711))</f>
        <v>0</v>
      </c>
      <c r="S711" s="183">
        <v>1</v>
      </c>
      <c r="T711" s="186" t="s">
        <v>2959</v>
      </c>
    </row>
    <row r="712" spans="1:21" ht="15" x14ac:dyDescent="0.25">
      <c r="A712" s="137" t="s">
        <v>2716</v>
      </c>
      <c r="B712" s="152">
        <v>2026</v>
      </c>
      <c r="C712" s="127" t="s">
        <v>22</v>
      </c>
      <c r="D712" s="131" t="s">
        <v>2717</v>
      </c>
      <c r="E712" s="128" t="s">
        <v>2718</v>
      </c>
      <c r="F712" s="129" t="s">
        <v>69</v>
      </c>
      <c r="G712" s="130" t="s">
        <v>79</v>
      </c>
      <c r="H712" s="131" t="s">
        <v>2719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2731</v>
      </c>
      <c r="B713" s="152">
        <v>2026</v>
      </c>
      <c r="C713" s="127" t="s">
        <v>22</v>
      </c>
      <c r="D713" s="131" t="s">
        <v>2717</v>
      </c>
      <c r="E713" s="128" t="s">
        <v>2732</v>
      </c>
      <c r="F713" s="129" t="s">
        <v>69</v>
      </c>
      <c r="G713" s="130" t="s">
        <v>79</v>
      </c>
      <c r="H713" s="131" t="s">
        <v>2733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2914</v>
      </c>
      <c r="B714" s="152">
        <v>2026</v>
      </c>
      <c r="C714" s="183" t="s">
        <v>2774</v>
      </c>
      <c r="D714" s="183" t="s">
        <v>2765</v>
      </c>
      <c r="E714" s="184" t="s">
        <v>2915</v>
      </c>
      <c r="F714" s="185" t="s">
        <v>88</v>
      </c>
      <c r="G714" s="186" t="s">
        <v>2749</v>
      </c>
      <c r="H714" s="191" t="s">
        <v>2916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>IF(B714="","",SUM(O714:Q714))</f>
        <v>0</v>
      </c>
      <c r="S714" s="183">
        <v>4</v>
      </c>
      <c r="T714" s="205"/>
    </row>
    <row r="715" spans="1:21" ht="15" x14ac:dyDescent="0.25">
      <c r="A715" s="191" t="s">
        <v>2917</v>
      </c>
      <c r="B715" s="152">
        <v>2026</v>
      </c>
      <c r="C715" s="183" t="s">
        <v>2774</v>
      </c>
      <c r="D715" s="183" t="s">
        <v>2765</v>
      </c>
      <c r="E715" s="184" t="s">
        <v>2915</v>
      </c>
      <c r="F715" s="185" t="s">
        <v>88</v>
      </c>
      <c r="G715" s="186" t="s">
        <v>2749</v>
      </c>
      <c r="H715" s="191" t="s">
        <v>2918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>IF(B715="","",SUM(O715:Q715))</f>
        <v>0</v>
      </c>
      <c r="S715" s="183">
        <v>4</v>
      </c>
      <c r="T715" s="205"/>
    </row>
    <row r="716" spans="1:21" ht="15" x14ac:dyDescent="0.25">
      <c r="A716" s="191" t="s">
        <v>2929</v>
      </c>
      <c r="B716" s="152">
        <v>2026</v>
      </c>
      <c r="C716" s="183" t="s">
        <v>2774</v>
      </c>
      <c r="D716" s="183" t="s">
        <v>2765</v>
      </c>
      <c r="E716" s="184" t="s">
        <v>2915</v>
      </c>
      <c r="F716" s="185" t="s">
        <v>88</v>
      </c>
      <c r="G716" s="186" t="s">
        <v>2749</v>
      </c>
      <c r="H716" s="191" t="s">
        <v>2930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>IF(B716="","",SUM(O716:Q716))</f>
        <v>0</v>
      </c>
      <c r="S716" s="183">
        <v>4</v>
      </c>
      <c r="T716" s="205"/>
    </row>
    <row r="717" spans="1:21" ht="15" x14ac:dyDescent="0.25">
      <c r="A717" s="191" t="s">
        <v>2931</v>
      </c>
      <c r="B717" s="152">
        <v>2026</v>
      </c>
      <c r="C717" s="183" t="s">
        <v>2774</v>
      </c>
      <c r="D717" s="183" t="s">
        <v>2765</v>
      </c>
      <c r="E717" s="184" t="s">
        <v>2915</v>
      </c>
      <c r="F717" s="185" t="s">
        <v>88</v>
      </c>
      <c r="G717" s="186" t="s">
        <v>2749</v>
      </c>
      <c r="H717" s="191" t="s">
        <v>2932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>IF(B717="","",SUM(O717:Q717))</f>
        <v>0</v>
      </c>
      <c r="S717" s="183">
        <v>4</v>
      </c>
      <c r="T717" s="205"/>
    </row>
    <row r="718" spans="1:21" ht="15" x14ac:dyDescent="0.25">
      <c r="A718" s="191" t="s">
        <v>2933</v>
      </c>
      <c r="B718" s="152">
        <v>2026</v>
      </c>
      <c r="C718" s="183" t="s">
        <v>2774</v>
      </c>
      <c r="D718" s="183" t="s">
        <v>2765</v>
      </c>
      <c r="E718" s="184" t="s">
        <v>2915</v>
      </c>
      <c r="F718" s="185" t="s">
        <v>88</v>
      </c>
      <c r="G718" s="186" t="s">
        <v>2749</v>
      </c>
      <c r="H718" s="191" t="s">
        <v>2934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>IF(B718="","",SUM(O718:Q718))</f>
        <v>0</v>
      </c>
      <c r="S718" s="183">
        <v>4</v>
      </c>
      <c r="T718" s="205"/>
    </row>
    <row r="719" spans="1:21" ht="15" x14ac:dyDescent="0.25">
      <c r="A719" s="191" t="s">
        <v>2935</v>
      </c>
      <c r="B719" s="152">
        <v>2026</v>
      </c>
      <c r="C719" s="183" t="s">
        <v>2774</v>
      </c>
      <c r="D719" s="183" t="s">
        <v>2765</v>
      </c>
      <c r="E719" s="184" t="s">
        <v>2915</v>
      </c>
      <c r="F719" s="185" t="s">
        <v>88</v>
      </c>
      <c r="G719" s="186" t="s">
        <v>2749</v>
      </c>
      <c r="H719" s="191" t="s">
        <v>2936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>IF(B719="","",SUM(O719:Q719))</f>
        <v>0</v>
      </c>
      <c r="S719" s="183">
        <v>4</v>
      </c>
      <c r="T719" s="205"/>
    </row>
    <row r="720" spans="1:21" ht="15" x14ac:dyDescent="0.25">
      <c r="A720" s="137" t="s">
        <v>2689</v>
      </c>
      <c r="B720" s="152">
        <v>2026</v>
      </c>
      <c r="C720" s="127" t="s">
        <v>22</v>
      </c>
      <c r="D720" s="127" t="s">
        <v>2690</v>
      </c>
      <c r="E720" s="128" t="s">
        <v>2691</v>
      </c>
      <c r="F720" s="129" t="s">
        <v>24</v>
      </c>
      <c r="G720" s="130" t="s">
        <v>206</v>
      </c>
      <c r="H720" s="131" t="s">
        <v>2692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2693</v>
      </c>
    </row>
    <row r="721" spans="1:20" ht="15" x14ac:dyDescent="0.25">
      <c r="A721" s="137" t="s">
        <v>2764</v>
      </c>
      <c r="B721" s="152">
        <v>2026</v>
      </c>
      <c r="C721" s="152" t="s">
        <v>22</v>
      </c>
      <c r="D721" s="152" t="s">
        <v>2765</v>
      </c>
      <c r="E721" s="153" t="s">
        <v>2766</v>
      </c>
      <c r="F721" s="161" t="s">
        <v>88</v>
      </c>
      <c r="G721" s="168" t="s">
        <v>2749</v>
      </c>
      <c r="H721" s="155" t="s">
        <v>2767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2768</v>
      </c>
    </row>
    <row r="722" spans="1:20" ht="15" x14ac:dyDescent="0.25">
      <c r="A722" s="137" t="s">
        <v>2787</v>
      </c>
      <c r="B722" s="127">
        <v>2026</v>
      </c>
      <c r="C722" s="127" t="s">
        <v>22</v>
      </c>
      <c r="D722" s="127" t="s">
        <v>2765</v>
      </c>
      <c r="E722" s="128" t="s">
        <v>2788</v>
      </c>
      <c r="F722" s="129" t="s">
        <v>88</v>
      </c>
      <c r="G722" s="164" t="s">
        <v>2749</v>
      </c>
      <c r="H722" s="131" t="s">
        <v>2789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2768</v>
      </c>
    </row>
    <row r="723" spans="1:20" ht="15" x14ac:dyDescent="0.25">
      <c r="A723" s="137" t="s">
        <v>2783</v>
      </c>
      <c r="B723" s="152">
        <v>2026</v>
      </c>
      <c r="C723" s="183" t="s">
        <v>22</v>
      </c>
      <c r="D723" s="183" t="s">
        <v>2784</v>
      </c>
      <c r="E723" s="184" t="s">
        <v>2785</v>
      </c>
      <c r="F723" s="185" t="s">
        <v>88</v>
      </c>
      <c r="G723" s="186" t="s">
        <v>2749</v>
      </c>
      <c r="H723" s="191" t="s">
        <v>2786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2809</v>
      </c>
      <c r="B724" s="231">
        <v>2026</v>
      </c>
      <c r="C724" s="183" t="s">
        <v>22</v>
      </c>
      <c r="D724" s="183" t="s">
        <v>2810</v>
      </c>
      <c r="E724" s="184" t="s">
        <v>2811</v>
      </c>
      <c r="F724" s="185" t="s">
        <v>88</v>
      </c>
      <c r="G724" s="186" t="s">
        <v>2749</v>
      </c>
      <c r="H724" s="191" t="s">
        <v>2812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/>
      <c r="D725" s="183"/>
      <c r="E725" s="184"/>
      <c r="F725" s="185"/>
      <c r="G725" s="186"/>
      <c r="H725" s="191"/>
      <c r="I725" s="192"/>
      <c r="J725" s="192"/>
      <c r="K725" s="183"/>
      <c r="L725" s="187"/>
      <c r="M725" s="188"/>
      <c r="N725" s="189"/>
      <c r="O725" s="190"/>
      <c r="P725" s="190"/>
      <c r="Q725" s="190"/>
      <c r="R725" s="190"/>
      <c r="S725" s="183"/>
      <c r="T725" s="186"/>
    </row>
    <row r="726" spans="1:20" ht="15" x14ac:dyDescent="0.25">
      <c r="A726" s="191" t="s">
        <v>2965</v>
      </c>
      <c r="B726" s="183">
        <v>2026</v>
      </c>
      <c r="C726" s="183"/>
      <c r="D726" s="212"/>
      <c r="E726" s="184"/>
      <c r="F726" s="185"/>
      <c r="G726" s="186"/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2966</v>
      </c>
      <c r="B727" s="183">
        <v>2026</v>
      </c>
      <c r="C727" s="183"/>
      <c r="D727" s="183"/>
      <c r="E727" s="184"/>
      <c r="F727" s="185"/>
      <c r="G727" s="186"/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2967</v>
      </c>
      <c r="B728" s="183">
        <v>2026</v>
      </c>
      <c r="C728" s="183"/>
      <c r="D728" s="183"/>
      <c r="E728" s="184"/>
      <c r="F728" s="185"/>
      <c r="G728" s="186"/>
      <c r="H728" s="191"/>
      <c r="I728" s="192"/>
      <c r="J728" s="192"/>
      <c r="K728" s="183"/>
      <c r="L728" s="187"/>
      <c r="M728" s="188"/>
      <c r="N728" s="189"/>
      <c r="O728" s="190"/>
      <c r="P728" s="190"/>
      <c r="Q728" s="190"/>
      <c r="R728" s="190">
        <f>IF(B728="","",SUM(O728:Q728))</f>
        <v>0</v>
      </c>
      <c r="S728" s="183"/>
      <c r="T728" s="186"/>
    </row>
    <row r="729" spans="1:20" ht="15" x14ac:dyDescent="0.25">
      <c r="A729" s="191" t="s">
        <v>2968</v>
      </c>
      <c r="B729" s="183">
        <v>2026</v>
      </c>
      <c r="C729" s="183"/>
      <c r="D729" s="183"/>
      <c r="E729" s="184"/>
      <c r="F729" s="185"/>
      <c r="G729" s="186"/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91"/>
      <c r="B730" s="183"/>
      <c r="C730" s="183"/>
      <c r="D730" s="183"/>
      <c r="E730" s="184"/>
      <c r="F730" s="185"/>
      <c r="G730" s="186"/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 t="str">
        <f t="shared" ref="R721:R749" si="12">IF(B730="","",SUM(O730:Q730))</f>
        <v/>
      </c>
      <c r="S730" s="183"/>
      <c r="T730" s="186"/>
    </row>
    <row r="731" spans="1:20" ht="15" hidden="1" x14ac:dyDescent="0.25">
      <c r="A731" s="191"/>
      <c r="B731" s="183"/>
      <c r="C731" s="183"/>
      <c r="D731" s="183"/>
      <c r="E731" s="184"/>
      <c r="F731" s="185"/>
      <c r="G731" s="186"/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 t="str">
        <f t="shared" si="12"/>
        <v/>
      </c>
      <c r="S731" s="183"/>
      <c r="T731" s="186"/>
    </row>
    <row r="732" spans="1:20" ht="15" hidden="1" x14ac:dyDescent="0.25">
      <c r="A732" s="191"/>
      <c r="B732" s="183"/>
      <c r="C732" s="183"/>
      <c r="D732" s="183"/>
      <c r="E732" s="184"/>
      <c r="F732" s="185"/>
      <c r="G732" s="186"/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 t="str">
        <f t="shared" si="12"/>
        <v/>
      </c>
      <c r="S732" s="183"/>
      <c r="T732" s="186"/>
    </row>
    <row r="733" spans="1:20" ht="15" hidden="1" x14ac:dyDescent="0.25">
      <c r="A733" s="191"/>
      <c r="B733" s="183"/>
      <c r="C733" s="183"/>
      <c r="D733" s="183"/>
      <c r="E733" s="184"/>
      <c r="F733" s="185"/>
      <c r="G733" s="186"/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 t="str">
        <f t="shared" si="12"/>
        <v/>
      </c>
      <c r="S733" s="183"/>
      <c r="T733" s="186"/>
    </row>
    <row r="734" spans="1:20" ht="15" hidden="1" x14ac:dyDescent="0.25">
      <c r="A734" s="191"/>
      <c r="B734" s="183"/>
      <c r="C734" s="183"/>
      <c r="D734" s="183"/>
      <c r="E734" s="184"/>
      <c r="F734" s="185"/>
      <c r="G734" s="186"/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 t="str">
        <f t="shared" si="12"/>
        <v/>
      </c>
      <c r="S734" s="183"/>
      <c r="T734" s="186"/>
    </row>
    <row r="735" spans="1:20" ht="15" hidden="1" x14ac:dyDescent="0.25">
      <c r="A735" s="191"/>
      <c r="B735" s="183"/>
      <c r="C735" s="183"/>
      <c r="D735" s="183"/>
      <c r="E735" s="184"/>
      <c r="F735" s="185"/>
      <c r="G735" s="186"/>
      <c r="H735" s="191"/>
      <c r="I735" s="192"/>
      <c r="J735" s="192"/>
      <c r="K735" s="183"/>
      <c r="L735" s="187"/>
      <c r="M735" s="188"/>
      <c r="N735" s="189"/>
      <c r="O735" s="190"/>
      <c r="P735" s="190"/>
      <c r="Q735" s="190"/>
      <c r="R735" s="190" t="str">
        <f t="shared" si="12"/>
        <v/>
      </c>
      <c r="S735" s="183"/>
      <c r="T735" s="186"/>
    </row>
    <row r="736" spans="1:20" ht="15" hidden="1" x14ac:dyDescent="0.25">
      <c r="A736" s="191"/>
      <c r="B736" s="183"/>
      <c r="C736" s="183"/>
      <c r="D736" s="183"/>
      <c r="E736" s="184"/>
      <c r="F736" s="185"/>
      <c r="G736" s="186"/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 t="str">
        <f t="shared" si="12"/>
        <v/>
      </c>
      <c r="S736" s="183"/>
      <c r="T736" s="186"/>
    </row>
    <row r="737" spans="1:20" ht="15" hidden="1" x14ac:dyDescent="0.25">
      <c r="A737" s="191"/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2"/>
        <v/>
      </c>
      <c r="S737" s="183"/>
      <c r="T737" s="186"/>
    </row>
    <row r="738" spans="1:20" ht="15" hidden="1" x14ac:dyDescent="0.25">
      <c r="A738" s="191"/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2"/>
        <v/>
      </c>
      <c r="S738" s="183"/>
      <c r="T738" s="186"/>
    </row>
    <row r="739" spans="1:20" ht="15" hidden="1" x14ac:dyDescent="0.25">
      <c r="A739" s="191"/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2"/>
        <v/>
      </c>
      <c r="S739" s="183"/>
      <c r="T739" s="186"/>
    </row>
    <row r="740" spans="1:20" ht="15" hidden="1" x14ac:dyDescent="0.25">
      <c r="A740" s="191"/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2"/>
        <v/>
      </c>
      <c r="S740" s="183"/>
      <c r="T740" s="186"/>
    </row>
    <row r="741" spans="1:20" ht="15" hidden="1" x14ac:dyDescent="0.25">
      <c r="A741" s="191"/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2"/>
        <v/>
      </c>
      <c r="S741" s="183"/>
      <c r="T741" s="186"/>
    </row>
    <row r="742" spans="1:20" ht="15" hidden="1" x14ac:dyDescent="0.25">
      <c r="A742" s="191"/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2"/>
        <v/>
      </c>
      <c r="S742" s="183"/>
      <c r="T742" s="186"/>
    </row>
    <row r="743" spans="1:20" ht="15" hidden="1" x14ac:dyDescent="0.25">
      <c r="A743" s="191"/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2"/>
        <v/>
      </c>
      <c r="S743" s="183"/>
      <c r="T743" s="186"/>
    </row>
    <row r="744" spans="1:20" ht="15" hidden="1" x14ac:dyDescent="0.25">
      <c r="A744" s="191"/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2"/>
        <v/>
      </c>
      <c r="S744" s="183"/>
      <c r="T744" s="186"/>
    </row>
    <row r="745" spans="1:20" ht="15" hidden="1" x14ac:dyDescent="0.25">
      <c r="A745" s="191"/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2"/>
        <v/>
      </c>
      <c r="S745" s="183"/>
      <c r="T745" s="186"/>
    </row>
    <row r="746" spans="1:20" ht="15" hidden="1" x14ac:dyDescent="0.25">
      <c r="A746" s="191"/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2"/>
        <v/>
      </c>
      <c r="S746" s="183"/>
      <c r="T746" s="186"/>
    </row>
    <row r="747" spans="1:20" ht="15" hidden="1" x14ac:dyDescent="0.25">
      <c r="A747" s="191"/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2"/>
        <v/>
      </c>
      <c r="S747" s="183"/>
      <c r="T747" s="186"/>
    </row>
    <row r="748" spans="1:20" ht="15" hidden="1" x14ac:dyDescent="0.25">
      <c r="A748" s="191"/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2"/>
        <v/>
      </c>
      <c r="S748" s="183"/>
      <c r="T748" s="186"/>
    </row>
    <row r="749" spans="1:20" ht="15" hidden="1" x14ac:dyDescent="0.25">
      <c r="A749" s="191"/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2"/>
        <v/>
      </c>
      <c r="S749" s="183"/>
      <c r="T749" s="186"/>
    </row>
    <row r="750" spans="1:20" ht="15" hidden="1" x14ac:dyDescent="0.25">
      <c r="A750" s="191"/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91"/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91"/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91"/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91"/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91"/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91"/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91"/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91"/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91"/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91"/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91"/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91"/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91"/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91"/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91"/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91"/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91"/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91"/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91"/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91"/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91"/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91"/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91"/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91"/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91"/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91"/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91"/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91"/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91"/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91"/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91"/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91"/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91"/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91"/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91"/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91"/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91"/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91"/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91"/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91"/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91"/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91"/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91"/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91"/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91"/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91"/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91"/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91"/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91"/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91"/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91"/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91"/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91"/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91"/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91"/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91"/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91"/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91"/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91"/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91"/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91"/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91"/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91"/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91"/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91"/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91"/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91"/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91"/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91"/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91"/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91"/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91"/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91"/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91"/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91"/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91"/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91"/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91"/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91"/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91"/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91"/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91"/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91"/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91"/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91"/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91"/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91"/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91"/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91"/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91"/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91"/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91"/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91"/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91"/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91"/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91"/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91"/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91"/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91"/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91"/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91"/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91"/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91"/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91"/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91"/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91"/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91"/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91"/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91"/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91"/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91"/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91"/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91"/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91"/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91"/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91"/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91"/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91"/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91"/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91"/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91"/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91"/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91"/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91"/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91"/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91"/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91"/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91"/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91"/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91"/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91"/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91"/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91"/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91"/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91"/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91"/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91"/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91"/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91"/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91"/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91"/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91"/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91"/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91"/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91"/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91"/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91"/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91"/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91"/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91"/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91"/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91"/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91"/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91"/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91"/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91"/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91"/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91"/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91"/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91"/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91"/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91"/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91"/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91"/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91"/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91"/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91"/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91"/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91"/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91"/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91"/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91"/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91"/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91"/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91"/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91"/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91"/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91"/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91"/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91"/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91"/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91"/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91"/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91"/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91"/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91"/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91"/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91"/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91"/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91"/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91"/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91"/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91"/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91"/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91"/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91"/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91"/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91"/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91"/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91"/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91"/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91"/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91"/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91"/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91"/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91"/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91"/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91"/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91"/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91"/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91"/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91"/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91"/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91"/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91"/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91"/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91"/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91"/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91"/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91"/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91"/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91"/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91"/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91"/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91"/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91"/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91"/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91"/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91"/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91"/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91"/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91"/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91"/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91"/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91"/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91"/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91"/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91"/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91"/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91"/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91"/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91"/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91"/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91"/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91"/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91"/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91"/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91"/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91"/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91"/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91"/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91"/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91"/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91"/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91"/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91"/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91"/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91"/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91"/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91"/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91"/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91"/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91"/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91"/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91"/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91"/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91"/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91"/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91"/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91"/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91"/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91"/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91"/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91"/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91"/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91"/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91"/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91"/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91"/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91"/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91"/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91"/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91"/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91"/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91"/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91"/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91"/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91"/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91"/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91"/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91"/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91"/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91"/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91"/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91"/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91"/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91"/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91"/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91"/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91"/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91"/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91"/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91"/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91"/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91"/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91"/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91"/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91"/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91"/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91"/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91"/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91"/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91"/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91"/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91"/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91"/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91"/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91"/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91"/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91"/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91"/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91"/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91"/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91"/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91"/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91"/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91"/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91"/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91"/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91"/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91"/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91"/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91"/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91"/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91"/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91"/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91"/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91"/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91"/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91"/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91"/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91"/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91"/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91"/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91"/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91"/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91"/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91"/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91"/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91"/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91"/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91"/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91"/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91"/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91"/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91"/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91"/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91"/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91"/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91"/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91"/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91"/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91"/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91"/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91"/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91"/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91"/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91"/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91"/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91"/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91"/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91"/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91"/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91"/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91"/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91"/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91"/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91"/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91"/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91"/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91"/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91"/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91"/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91"/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91"/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91"/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91"/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91"/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91"/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91"/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91"/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91"/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91"/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91"/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91"/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91"/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91"/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91"/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91"/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91"/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91"/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91"/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91"/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91"/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91"/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91"/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91"/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91"/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91"/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91"/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91"/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91"/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91"/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91"/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91"/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91"/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91"/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91"/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91"/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91"/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91"/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91"/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91"/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91"/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91"/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91"/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91"/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91"/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91"/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91"/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91"/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91"/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91"/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91"/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91"/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91"/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91"/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91"/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91"/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91"/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91"/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91"/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91"/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91"/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91"/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91"/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91"/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91"/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91"/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91"/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91"/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91"/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91"/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91"/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91"/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91"/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91"/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91"/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91"/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91"/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91"/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91"/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91"/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91"/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91"/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91"/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91"/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91"/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91"/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91"/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91"/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91"/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91"/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91"/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91"/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91"/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91"/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91"/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91"/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91"/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91"/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91"/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91"/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91"/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91"/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91"/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91"/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91"/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91"/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91"/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91"/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91"/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91"/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91"/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91"/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91"/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91"/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91"/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91"/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91"/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91"/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91"/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91"/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91"/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91"/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91"/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91"/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91"/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91"/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91"/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91"/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91"/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91"/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91"/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91"/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91"/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91"/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91"/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91"/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91"/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91"/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91"/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91"/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91"/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91"/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91"/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91"/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91"/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91"/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91"/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91"/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91"/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91"/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91"/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91"/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91"/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91"/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91"/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91"/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91"/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91"/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91"/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91"/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91"/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91"/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91"/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91"/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91"/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91"/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91"/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91"/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91"/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91"/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91"/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91"/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91"/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91"/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91"/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91"/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91"/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91"/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91"/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91"/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91"/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91"/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91"/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91"/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91"/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91"/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91"/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91"/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91"/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91"/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91"/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91"/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91"/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91"/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91"/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91"/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91"/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91"/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91"/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91"/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91"/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91"/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91"/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91"/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91"/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91"/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91"/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91"/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91"/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91"/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91"/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91"/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91"/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91"/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91"/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91"/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91"/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91"/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91"/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91"/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91"/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91"/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91"/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91"/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91"/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91"/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91"/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91"/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91"/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91"/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91"/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91"/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91"/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91"/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91"/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91"/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91"/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91"/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91"/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91"/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91"/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91"/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91"/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91"/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91"/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91"/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91"/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91"/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91"/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91"/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91"/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91"/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91"/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91"/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91"/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91"/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91"/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91"/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91"/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91"/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91"/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91"/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91"/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91"/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91"/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91"/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91"/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91"/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91"/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91"/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91"/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91"/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91"/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91"/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91"/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91"/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91"/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91"/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91"/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91"/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91"/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91"/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91"/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91"/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91"/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91"/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91"/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91"/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91"/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91"/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91"/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91"/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91"/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91"/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91"/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91"/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91"/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91"/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91"/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91"/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91"/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91"/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91"/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91"/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91"/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91"/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91"/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91"/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91"/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91"/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91"/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91"/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91"/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91"/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91"/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91"/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91"/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91"/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91"/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91"/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91"/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91"/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91"/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91"/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91"/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91"/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91"/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91"/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91"/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91"/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91"/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91"/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91"/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91"/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91"/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91"/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91"/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91"/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91"/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91"/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91"/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91"/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91"/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91"/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91"/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91"/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91"/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91"/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91"/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91"/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91"/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91"/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91"/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91"/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91"/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91"/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91"/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91"/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91"/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91"/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91"/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91"/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91"/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91"/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91"/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91"/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91"/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/>
    <row r="2003" spans="1:20" ht="15" x14ac:dyDescent="0.25"/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8" priority="1">
      <formula>TRIM(C2)="Realizado"</formula>
    </cfRule>
  </conditionalFormatting>
  <conditionalFormatting sqref="C2:C2001">
    <cfRule type="expression" dxfId="57" priority="2">
      <formula>TRIM(C2)="Cancelado"</formula>
    </cfRule>
  </conditionalFormatting>
  <conditionalFormatting sqref="C2:C2001">
    <cfRule type="expression" dxfId="56" priority="3">
      <formula>TRIM(C2)="Em andamento"</formula>
    </cfRule>
  </conditionalFormatting>
  <conditionalFormatting sqref="C2:C2001">
    <cfRule type="expression" dxfId="55" priority="4">
      <formula>TRIM(C2)="Adiado"</formula>
    </cfRule>
  </conditionalFormatting>
  <conditionalFormatting sqref="A2:A2001">
    <cfRule type="expression" dxfId="54" priority="5">
      <formula>AND($B2&lt;&gt;"",$A2="")</formula>
    </cfRule>
  </conditionalFormatting>
  <conditionalFormatting sqref="L2:M2001">
    <cfRule type="expression" dxfId="53" priority="6">
      <formula>L2=""</formula>
    </cfRule>
  </conditionalFormatting>
  <conditionalFormatting sqref="A2:T726 A727:C727 E727:T727 A728:T2001">
    <cfRule type="expression" dxfId="52" priority="7">
      <formula>MOD(ROW(),2)=0</formula>
    </cfRule>
  </conditionalFormatting>
  <conditionalFormatting sqref="A2:T726 A727:C727 E727:T727 A728:T2001">
    <cfRule type="expression" dxfId="51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2969</v>
      </c>
      <c r="H1" s="214" t="s">
        <v>2970</v>
      </c>
    </row>
    <row r="2" spans="1:8" x14ac:dyDescent="0.25">
      <c r="H2" s="213" t="s">
        <v>2971</v>
      </c>
    </row>
    <row r="3" spans="1:8" x14ac:dyDescent="0.25">
      <c r="A3" t="s">
        <v>0</v>
      </c>
      <c r="B3" t="s">
        <v>19</v>
      </c>
      <c r="C3" t="s">
        <v>2972</v>
      </c>
      <c r="D3" t="s">
        <v>2973</v>
      </c>
      <c r="E3" t="s">
        <v>2974</v>
      </c>
      <c r="H3" s="213" t="s">
        <v>2975</v>
      </c>
    </row>
    <row r="4" spans="1:8" x14ac:dyDescent="0.25">
      <c r="A4">
        <v>1</v>
      </c>
      <c r="B4" t="s">
        <v>2976</v>
      </c>
      <c r="D4" t="s">
        <v>2977</v>
      </c>
      <c r="E4" s="215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3" t="s">
        <v>2978</v>
      </c>
    </row>
    <row r="5" spans="1:8" x14ac:dyDescent="0.25">
      <c r="A5">
        <v>2</v>
      </c>
      <c r="B5" t="s">
        <v>2507</v>
      </c>
      <c r="D5" t="s">
        <v>2977</v>
      </c>
      <c r="E5" s="215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3" t="s">
        <v>2979</v>
      </c>
    </row>
    <row r="6" spans="1:8" x14ac:dyDescent="0.25">
      <c r="A6">
        <v>3</v>
      </c>
      <c r="B6" t="s">
        <v>1030</v>
      </c>
      <c r="D6" t="s">
        <v>2977</v>
      </c>
      <c r="E6" s="215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3"/>
    </row>
    <row r="7" spans="1:8" x14ac:dyDescent="0.25">
      <c r="A7">
        <v>4</v>
      </c>
      <c r="B7" t="s">
        <v>2980</v>
      </c>
      <c r="D7" t="s">
        <v>2977</v>
      </c>
      <c r="E7" s="215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4" t="s">
        <v>2981</v>
      </c>
    </row>
    <row r="8" spans="1:8" x14ac:dyDescent="0.25">
      <c r="A8">
        <v>5</v>
      </c>
      <c r="B8" t="s">
        <v>2982</v>
      </c>
      <c r="D8" t="s">
        <v>2977</v>
      </c>
      <c r="E8" s="215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2977</v>
      </c>
      <c r="E9" s="215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2977</v>
      </c>
      <c r="E10" s="215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2977</v>
      </c>
      <c r="E11" s="215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2730</v>
      </c>
      <c r="D12" t="s">
        <v>2977</v>
      </c>
      <c r="E12" s="215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2977</v>
      </c>
      <c r="E13" s="215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2977</v>
      </c>
      <c r="E14" s="215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2698</v>
      </c>
      <c r="D15" t="s">
        <v>2977</v>
      </c>
      <c r="E15" s="215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2977</v>
      </c>
      <c r="E16" s="215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2977</v>
      </c>
      <c r="E17" s="215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2977</v>
      </c>
      <c r="E18" s="215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2977</v>
      </c>
      <c r="E19" s="215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2977</v>
      </c>
      <c r="E20" s="215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2977</v>
      </c>
      <c r="E21" s="215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2977</v>
      </c>
      <c r="E22" s="215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2983</v>
      </c>
      <c r="D23" t="s">
        <v>2977</v>
      </c>
      <c r="E23" s="215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2977</v>
      </c>
      <c r="E24" s="215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2984</v>
      </c>
      <c r="D25" t="s">
        <v>2977</v>
      </c>
      <c r="E25" s="215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2985</v>
      </c>
      <c r="D26" t="s">
        <v>2977</v>
      </c>
      <c r="E26" s="215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2977</v>
      </c>
      <c r="E27" s="215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2977</v>
      </c>
      <c r="E28" s="215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2986</v>
      </c>
      <c r="D29" t="s">
        <v>2977</v>
      </c>
      <c r="E29" s="215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2977</v>
      </c>
      <c r="E30" s="215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2977</v>
      </c>
      <c r="E31" s="215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2977</v>
      </c>
      <c r="E32" s="215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2987</v>
      </c>
      <c r="D33" t="s">
        <v>2977</v>
      </c>
      <c r="E33" s="215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2988</v>
      </c>
      <c r="D34" t="s">
        <v>2977</v>
      </c>
      <c r="E34" s="215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2977</v>
      </c>
      <c r="E35" s="215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2977</v>
      </c>
      <c r="E36" s="215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2977</v>
      </c>
      <c r="E37" s="215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2989</v>
      </c>
      <c r="D38" t="s">
        <v>2977</v>
      </c>
      <c r="E38" s="215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2977</v>
      </c>
      <c r="E39" s="215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2990</v>
      </c>
      <c r="D40" t="s">
        <v>2977</v>
      </c>
      <c r="E40" s="215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2977</v>
      </c>
      <c r="E41" s="215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2991</v>
      </c>
      <c r="D42" t="s">
        <v>2977</v>
      </c>
      <c r="E42" s="215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2977</v>
      </c>
      <c r="E43" s="215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2977</v>
      </c>
      <c r="E44" s="215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2992</v>
      </c>
      <c r="D45" t="s">
        <v>2977</v>
      </c>
      <c r="E45" s="215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2977</v>
      </c>
      <c r="E46" s="215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2977</v>
      </c>
      <c r="E47" s="215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2977</v>
      </c>
      <c r="E48" s="215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2977</v>
      </c>
      <c r="E49" s="215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2993</v>
      </c>
      <c r="D50" t="s">
        <v>2977</v>
      </c>
      <c r="E50" s="215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2928</v>
      </c>
      <c r="D51" t="s">
        <v>2977</v>
      </c>
      <c r="E51" s="215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2994</v>
      </c>
      <c r="D52" t="s">
        <v>2977</v>
      </c>
      <c r="E52" s="215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2977</v>
      </c>
      <c r="E53" s="215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2977</v>
      </c>
      <c r="E54" s="215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2995</v>
      </c>
      <c r="D55" t="s">
        <v>2977</v>
      </c>
      <c r="E55" s="215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2977</v>
      </c>
      <c r="E56" s="215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2977</v>
      </c>
      <c r="E57" s="215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2977</v>
      </c>
      <c r="E58" s="215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2996</v>
      </c>
      <c r="D59" t="s">
        <v>2977</v>
      </c>
      <c r="E59" s="215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2977</v>
      </c>
      <c r="E60" s="215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2977</v>
      </c>
      <c r="E61" s="215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2977</v>
      </c>
      <c r="E62" s="215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2997</v>
      </c>
      <c r="D63" t="s">
        <v>2977</v>
      </c>
      <c r="E63" s="215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2998</v>
      </c>
      <c r="D64" t="s">
        <v>2977</v>
      </c>
      <c r="E64" s="215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2999</v>
      </c>
      <c r="D65" t="s">
        <v>2977</v>
      </c>
      <c r="E65" s="215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3000</v>
      </c>
      <c r="D66" t="s">
        <v>2977</v>
      </c>
      <c r="E66" s="215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2710</v>
      </c>
      <c r="D67" t="s">
        <v>2977</v>
      </c>
      <c r="E67" s="215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2977</v>
      </c>
      <c r="E68" s="215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3001</v>
      </c>
      <c r="D69" t="s">
        <v>2977</v>
      </c>
      <c r="E69" s="215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3002</v>
      </c>
      <c r="D70" t="s">
        <v>2977</v>
      </c>
      <c r="E70" s="215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2977</v>
      </c>
      <c r="E71" s="215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3003</v>
      </c>
      <c r="D72" t="s">
        <v>2977</v>
      </c>
      <c r="E72" s="215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2977</v>
      </c>
      <c r="E73" s="215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2977</v>
      </c>
      <c r="E74" s="215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2977</v>
      </c>
      <c r="E75" s="215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3004</v>
      </c>
      <c r="D76" t="s">
        <v>2977</v>
      </c>
      <c r="E76" s="215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2977</v>
      </c>
      <c r="E77" s="215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2977</v>
      </c>
      <c r="E78" s="215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2977</v>
      </c>
      <c r="E79" s="215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2977</v>
      </c>
      <c r="E80" s="215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3005</v>
      </c>
      <c r="D81" t="s">
        <v>2977</v>
      </c>
      <c r="E81" s="215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3006</v>
      </c>
      <c r="D82" t="s">
        <v>2977</v>
      </c>
      <c r="E82" s="215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3007</v>
      </c>
      <c r="D83" t="s">
        <v>2977</v>
      </c>
      <c r="E83" s="215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3008</v>
      </c>
      <c r="D84" t="s">
        <v>2977</v>
      </c>
      <c r="E84" s="215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2977</v>
      </c>
      <c r="E85" s="215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3009</v>
      </c>
      <c r="D86" t="s">
        <v>2977</v>
      </c>
      <c r="E86" s="215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2977</v>
      </c>
      <c r="E87" s="215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3010</v>
      </c>
      <c r="D88" t="s">
        <v>2977</v>
      </c>
      <c r="E88" s="215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3011</v>
      </c>
      <c r="D89" t="s">
        <v>2977</v>
      </c>
      <c r="E89" s="215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3012</v>
      </c>
      <c r="D90" t="s">
        <v>2977</v>
      </c>
      <c r="E90" s="215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3013</v>
      </c>
      <c r="D91" t="s">
        <v>2977</v>
      </c>
      <c r="E91" s="215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3014</v>
      </c>
      <c r="D92" t="s">
        <v>2977</v>
      </c>
      <c r="E92" s="215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3015</v>
      </c>
      <c r="D93" t="s">
        <v>2977</v>
      </c>
      <c r="E93" s="215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3016</v>
      </c>
      <c r="D94" t="s">
        <v>2977</v>
      </c>
      <c r="E94" s="215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3017</v>
      </c>
      <c r="D95" t="s">
        <v>2977</v>
      </c>
      <c r="E95" s="215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3018</v>
      </c>
      <c r="D96" t="s">
        <v>2977</v>
      </c>
      <c r="E96" s="215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2959</v>
      </c>
      <c r="D97" t="s">
        <v>2977</v>
      </c>
      <c r="E97" s="215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3019</v>
      </c>
      <c r="D98" t="s">
        <v>2977</v>
      </c>
      <c r="E98" s="215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2949</v>
      </c>
      <c r="D99" t="s">
        <v>2977</v>
      </c>
      <c r="E99" s="215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3020</v>
      </c>
      <c r="D100" t="s">
        <v>2977</v>
      </c>
      <c r="E100" s="215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3021</v>
      </c>
      <c r="D101" t="s">
        <v>2977</v>
      </c>
      <c r="E101" s="215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3022</v>
      </c>
      <c r="D102" t="s">
        <v>2977</v>
      </c>
      <c r="E102" s="215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3023</v>
      </c>
      <c r="D103" t="s">
        <v>2977</v>
      </c>
      <c r="E103" s="215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2879</v>
      </c>
      <c r="D104" t="s">
        <v>2977</v>
      </c>
      <c r="E104" s="215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3024</v>
      </c>
      <c r="D105" t="s">
        <v>2977</v>
      </c>
      <c r="E105" s="215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3025</v>
      </c>
      <c r="D106" t="s">
        <v>2977</v>
      </c>
      <c r="E106" s="215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3026</v>
      </c>
      <c r="D107" t="s">
        <v>2977</v>
      </c>
      <c r="E107" s="215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2977</v>
      </c>
      <c r="E108" s="215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2763</v>
      </c>
      <c r="D109" t="s">
        <v>2977</v>
      </c>
      <c r="E109" s="215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3027</v>
      </c>
      <c r="C1" s="19" t="s">
        <v>3028</v>
      </c>
      <c r="D1" s="19" t="s">
        <v>4</v>
      </c>
      <c r="E1" s="19" t="s">
        <v>3029</v>
      </c>
      <c r="F1" s="19" t="s">
        <v>19</v>
      </c>
      <c r="G1" s="19" t="s">
        <v>3030</v>
      </c>
      <c r="H1" s="19" t="s">
        <v>3031</v>
      </c>
      <c r="I1" s="19" t="s">
        <v>3032</v>
      </c>
      <c r="J1" s="19" t="s">
        <v>3033</v>
      </c>
      <c r="L1" s="112" t="s">
        <v>3034</v>
      </c>
      <c r="M1" s="23">
        <v>2026</v>
      </c>
      <c r="U1" s="80" t="s">
        <v>3035</v>
      </c>
      <c r="V1" s="79"/>
      <c r="X1" s="78" t="s">
        <v>3036</v>
      </c>
      <c r="Y1" s="27"/>
      <c r="Z1" s="27"/>
      <c r="AA1" s="27"/>
      <c r="AC1" s="100" t="s">
        <v>3037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2026-044</v>
      </c>
      <c r="C2" s="21" t="str">
        <v>A realizar</v>
      </c>
      <c r="D2" s="18" t="str">
        <v>31º SEMAT</v>
      </c>
      <c r="E2" s="20">
        <v>8</v>
      </c>
      <c r="F2" s="18" t="str">
        <v>José Roberto Alcuri Júnior</v>
      </c>
      <c r="G2" s="20">
        <v>10</v>
      </c>
      <c r="H2" s="22">
        <v>1</v>
      </c>
      <c r="I2" s="22">
        <v>0.3</v>
      </c>
      <c r="J2" s="22">
        <v>1.3</v>
      </c>
      <c r="L2" s="113" t="s">
        <v>3038</v>
      </c>
      <c r="M2" s="107" t="s">
        <v>2914</v>
      </c>
      <c r="X2" s="114" t="s">
        <v>3027</v>
      </c>
      <c r="Y2" s="114" t="s">
        <v>19</v>
      </c>
      <c r="Z2" s="114" t="s">
        <v>3039</v>
      </c>
      <c r="AA2" s="114" t="s">
        <v>3040</v>
      </c>
      <c r="AC2" s="115" t="s">
        <v>1</v>
      </c>
      <c r="AD2" s="115" t="s">
        <v>3041</v>
      </c>
      <c r="AE2" s="115" t="s">
        <v>3042</v>
      </c>
    </row>
    <row r="3" spans="1:31" x14ac:dyDescent="0.25">
      <c r="A3" s="21">
        <v>2026</v>
      </c>
      <c r="B3" s="21" t="str">
        <v>2026-044</v>
      </c>
      <c r="C3" s="21" t="str">
        <v>A realizar</v>
      </c>
      <c r="D3" s="18" t="str">
        <v>31º SEMAT</v>
      </c>
      <c r="E3" s="20">
        <v>8</v>
      </c>
      <c r="F3" s="18" t="str">
        <v>Felipe Ramos Barbosa</v>
      </c>
      <c r="G3" s="20">
        <v>10</v>
      </c>
      <c r="H3" s="22">
        <v>1</v>
      </c>
      <c r="I3" s="22">
        <v>0.3</v>
      </c>
      <c r="J3" s="22">
        <v>1.3</v>
      </c>
      <c r="L3" s="113" t="s">
        <v>3043</v>
      </c>
      <c r="M3" s="113" t="s">
        <v>3044</v>
      </c>
      <c r="N3" s="113" t="s">
        <v>3045</v>
      </c>
      <c r="O3" s="113" t="s">
        <v>3046</v>
      </c>
      <c r="P3" s="113" t="s">
        <v>3047</v>
      </c>
      <c r="Q3" s="113" t="s">
        <v>3048</v>
      </c>
      <c r="R3" s="113" t="s">
        <v>3049</v>
      </c>
      <c r="S3" s="113" t="s">
        <v>3050</v>
      </c>
      <c r="T3" s="113" t="s">
        <v>3051</v>
      </c>
      <c r="X3" t="s">
        <v>2790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2026-044</v>
      </c>
      <c r="C4" s="21" t="str">
        <v>A realizar</v>
      </c>
      <c r="D4" s="18" t="str">
        <v>31º SEMAT</v>
      </c>
      <c r="E4" s="20">
        <v>8</v>
      </c>
      <c r="F4" s="18" t="str">
        <v>Carolina Pereira de Oliveira</v>
      </c>
      <c r="G4" s="20">
        <v>10</v>
      </c>
      <c r="H4" s="22">
        <v>1</v>
      </c>
      <c r="I4" s="22">
        <v>0.3</v>
      </c>
      <c r="J4" s="22">
        <v>1.3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2026-044</v>
      </c>
      <c r="N4" t="str">
        <v>A realizar</v>
      </c>
      <c r="O4" t="str">
        <v>31º SEMAT</v>
      </c>
      <c r="P4">
        <v>8</v>
      </c>
      <c r="Q4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ref="R4:R200">IF(L4:L200="","",IF(ISERROR(FIND("; ",Q4:Q200)),1,(LEN(Q4:Q200)-LEN(SUBSTITUTE(Q4:Q200,"; ","")))/2+1))</f>
        <v>10</v>
      </c>
      <c r="S4" cm="1">
        <f t="array" ref="S4:S200">IF(R4:R200="","",_xlfn.SCAN(0,R4:R200,_xlfn.LAMBDA(_xlpm.a,_xlpm.b,IF(_xlpm.b="","",_xlpm.a+_xlpm.b))))</f>
        <v>10</v>
      </c>
      <c r="T4" cm="1">
        <f t="array" ref="T4:T57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2026-044</v>
      </c>
      <c r="C5" s="21" t="str">
        <v>A realizar</v>
      </c>
      <c r="D5" s="18" t="str">
        <v>31º SEMAT</v>
      </c>
      <c r="E5" s="20">
        <v>8</v>
      </c>
      <c r="F5" s="18" t="str">
        <v>Eustáquio Rabelo de Souza</v>
      </c>
      <c r="G5" s="20">
        <v>10</v>
      </c>
      <c r="H5" s="22">
        <v>1</v>
      </c>
      <c r="I5" s="22">
        <v>0.3</v>
      </c>
      <c r="J5" s="22">
        <v>1.3</v>
      </c>
      <c r="L5">
        <v>2026</v>
      </c>
      <c r="M5" t="str">
        <v>2026-054</v>
      </c>
      <c r="N5" t="str">
        <v>A realizar</v>
      </c>
      <c r="O5" t="str">
        <v>Café e Tertúlia: Encerramento da Semana da Saúde</v>
      </c>
      <c r="P5">
        <v>2</v>
      </c>
      <c r="Q5" t="str">
        <v>Cinthia Thais de Carvalho Luz Thomazi; Gabriel Heller; Isac Mendes Caixeta de Pamplona Araújo; Valéria Feitoza</v>
      </c>
      <c r="R5">
        <v>4</v>
      </c>
      <c r="S5">
        <v>14</v>
      </c>
      <c r="T5">
        <v>10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3052</v>
      </c>
      <c r="AE5" s="98">
        <v>16</v>
      </c>
    </row>
    <row r="6" spans="1:31" x14ac:dyDescent="0.25">
      <c r="A6" s="21">
        <v>2026</v>
      </c>
      <c r="B6" s="21" t="str">
        <v>2026-044</v>
      </c>
      <c r="C6" s="21" t="str">
        <v>A realizar</v>
      </c>
      <c r="D6" s="18" t="str">
        <v>31º SEMAT</v>
      </c>
      <c r="E6" s="20">
        <v>8</v>
      </c>
      <c r="F6" s="18" t="str">
        <v>Alinne Patrícia de Andrade Carvalho</v>
      </c>
      <c r="G6" s="20">
        <v>10</v>
      </c>
      <c r="H6" s="22">
        <v>0</v>
      </c>
      <c r="I6" s="22">
        <v>0</v>
      </c>
      <c r="J6" s="22">
        <v>0</v>
      </c>
      <c r="L6">
        <v>2026</v>
      </c>
      <c r="M6" t="str">
        <v>2026-001</v>
      </c>
      <c r="N6" t="str">
        <v>Realizado</v>
      </c>
      <c r="O6" t="str">
        <v>Contratação de TIC</v>
      </c>
      <c r="P6">
        <v>8</v>
      </c>
      <c r="Q6" t="str">
        <v>Flávio José Fonseca de Souza</v>
      </c>
      <c r="R6">
        <v>1</v>
      </c>
      <c r="S6">
        <v>15</v>
      </c>
      <c r="T6">
        <v>14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3053</v>
      </c>
      <c r="AE6" s="98">
        <v>16</v>
      </c>
    </row>
    <row r="7" spans="1:31" x14ac:dyDescent="0.25">
      <c r="A7" s="21">
        <v>2026</v>
      </c>
      <c r="B7" s="21" t="str">
        <v>2026-044</v>
      </c>
      <c r="C7" s="21" t="str">
        <v>A realizar</v>
      </c>
      <c r="D7" s="18" t="str">
        <v>31º SEMAT</v>
      </c>
      <c r="E7" s="20">
        <v>8</v>
      </c>
      <c r="F7" s="18" t="str">
        <v>Silvia Lima Damasceno Carvalho</v>
      </c>
      <c r="G7" s="20">
        <v>10</v>
      </c>
      <c r="H7" s="22">
        <v>1</v>
      </c>
      <c r="I7" s="22">
        <v>0.3</v>
      </c>
      <c r="J7" s="22">
        <v>1.3</v>
      </c>
      <c r="L7">
        <v>2026</v>
      </c>
      <c r="M7" t="str">
        <v>2026-066</v>
      </c>
      <c r="N7" t="str">
        <v>A realizar</v>
      </c>
      <c r="O7" t="str">
        <v>Contratações de TIC com base na jurisprudência do TCDF - EAD</v>
      </c>
      <c r="P7">
        <v>17.45</v>
      </c>
      <c r="Q7" t="str">
        <v>Flávio José Fonseca de Souza; Felipe da Costa Malaquias</v>
      </c>
      <c r="R7">
        <v>2</v>
      </c>
      <c r="S7">
        <v>17</v>
      </c>
      <c r="T7">
        <v>15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2026-044</v>
      </c>
      <c r="C8" s="21" t="str">
        <v>A realizar</v>
      </c>
      <c r="D8" s="18" t="str">
        <v>31º SEMAT</v>
      </c>
      <c r="E8" s="20">
        <v>8</v>
      </c>
      <c r="F8" s="18" t="str">
        <v>Marcelo Silva Santana</v>
      </c>
      <c r="G8" s="20">
        <v>10</v>
      </c>
      <c r="H8" s="22">
        <v>8</v>
      </c>
      <c r="I8" s="22">
        <v>0.24</v>
      </c>
      <c r="J8" s="22">
        <v>8.24</v>
      </c>
      <c r="L8">
        <v>2026</v>
      </c>
      <c r="M8" t="str">
        <v>2026-034</v>
      </c>
      <c r="N8" t="str">
        <v>Realizado</v>
      </c>
      <c r="O8" t="str">
        <v>Curso “Sisaudit na Prática”</v>
      </c>
      <c r="P8">
        <v>12</v>
      </c>
      <c r="Q8" t="str">
        <v>Davi Assunção Salvador Nery de Castro; David da Silva de Araújo; Hamilton de Jesus Lopes Neto</v>
      </c>
      <c r="R8">
        <v>3</v>
      </c>
      <c r="S8">
        <v>20</v>
      </c>
      <c r="T8">
        <v>17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2026-044</v>
      </c>
      <c r="C9" s="21" t="str">
        <v>A realizar</v>
      </c>
      <c r="D9" s="18" t="str">
        <v>31º SEMAT</v>
      </c>
      <c r="E9" s="20">
        <v>8</v>
      </c>
      <c r="F9" s="18" t="str">
        <v>Cinthia Thais de Carvalho Luz Thomazi</v>
      </c>
      <c r="G9" s="20">
        <v>10</v>
      </c>
      <c r="H9" s="22">
        <v>1</v>
      </c>
      <c r="I9" s="22">
        <v>0.3</v>
      </c>
      <c r="J9" s="22">
        <v>1.3</v>
      </c>
      <c r="L9">
        <v>2026</v>
      </c>
      <c r="M9" t="str">
        <v>2026-027</v>
      </c>
      <c r="N9" t="str">
        <v>Realizado</v>
      </c>
      <c r="O9" t="str">
        <v>Curso básico de e-TCDF</v>
      </c>
      <c r="P9">
        <v>16</v>
      </c>
      <c r="Q9" t="str">
        <v>Cássio Murilo Alves Costa Filho</v>
      </c>
      <c r="R9">
        <v>1</v>
      </c>
      <c r="S9">
        <v>21</v>
      </c>
      <c r="T9">
        <v>20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2026-044</v>
      </c>
      <c r="C10" s="21" t="str">
        <v>A realizar</v>
      </c>
      <c r="D10" s="18" t="str">
        <v>31º SEMAT</v>
      </c>
      <c r="E10" s="20">
        <v>8</v>
      </c>
      <c r="F10" s="18" t="str">
        <v>Igor Queiroz</v>
      </c>
      <c r="G10" s="20">
        <v>10</v>
      </c>
      <c r="H10" s="22">
        <v>1</v>
      </c>
      <c r="I10" s="22">
        <v>0.3</v>
      </c>
      <c r="J10" s="22">
        <v>1.3</v>
      </c>
      <c r="L10">
        <v>2026</v>
      </c>
      <c r="M10" t="str">
        <v>2026-019</v>
      </c>
      <c r="N10" t="str">
        <v>Realizado</v>
      </c>
      <c r="O10" t="str">
        <v>Curso de Ambientação para os novos Auditores de Controle Externo - Área Auditoria</v>
      </c>
      <c r="P10">
        <v>20</v>
      </c>
      <c r="Q10" t="str">
        <v>Diversos</v>
      </c>
      <c r="R10">
        <v>1</v>
      </c>
      <c r="S10">
        <v>22</v>
      </c>
      <c r="T10">
        <v>21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2026-044</v>
      </c>
      <c r="C11" s="21" t="str">
        <v>A realizar</v>
      </c>
      <c r="D11" s="18" t="str">
        <v>31º SEMAT</v>
      </c>
      <c r="E11" s="20">
        <v>8</v>
      </c>
      <c r="F11" s="18" t="str">
        <v>Guilherme Bride Fernandes</v>
      </c>
      <c r="G11" s="20">
        <v>10</v>
      </c>
      <c r="H11" s="22">
        <v>0</v>
      </c>
      <c r="I11" s="22">
        <v>0</v>
      </c>
      <c r="J11" s="22">
        <v>0</v>
      </c>
      <c r="L11">
        <v>2026</v>
      </c>
      <c r="M11" t="str">
        <v>2026-042</v>
      </c>
      <c r="N11" t="str">
        <v>Realizado</v>
      </c>
      <c r="O11" t="str">
        <v>Curso de Formação para Conselheiros de Saúde do DF</v>
      </c>
      <c r="P11">
        <v>20</v>
      </c>
      <c r="Q11" t="str">
        <v>Tarsila Firmino Ely</v>
      </c>
      <c r="R11">
        <v>1</v>
      </c>
      <c r="S11">
        <v>23</v>
      </c>
      <c r="T11">
        <v>22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2026-054</v>
      </c>
      <c r="C12" s="21" t="str">
        <v>A realizar</v>
      </c>
      <c r="D12" s="18" t="str">
        <v>Café e Tertúlia: Encerramento da Semana da Saúde</v>
      </c>
      <c r="E12" s="20">
        <v>2</v>
      </c>
      <c r="F12" s="18" t="str">
        <v>Cinthia Thais de Carvalho Luz Thomazi</v>
      </c>
      <c r="G12" s="20">
        <v>4</v>
      </c>
      <c r="H12" s="22">
        <v>0</v>
      </c>
      <c r="I12" s="22">
        <v>0</v>
      </c>
      <c r="J12" s="22">
        <v>0</v>
      </c>
      <c r="L12">
        <v>2026</v>
      </c>
      <c r="M12" t="str">
        <v>2026-032</v>
      </c>
      <c r="N12" t="str">
        <v>Realizado</v>
      </c>
      <c r="O12" t="str">
        <v>Curso de formação para gestores e fiscais de Contrato em equipamentos nas unidades hospitalares - T2</v>
      </c>
      <c r="P12">
        <v>12</v>
      </c>
      <c r="Q12" t="str">
        <v>Tarsila Firmino Ely; Luciana Alvim</v>
      </c>
      <c r="R12">
        <v>2</v>
      </c>
      <c r="S12">
        <v>25</v>
      </c>
      <c r="T12">
        <v>23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2026-054</v>
      </c>
      <c r="C13" s="21" t="str">
        <v>A realizar</v>
      </c>
      <c r="D13" s="18" t="str">
        <v>Café e Tertúlia: Encerramento da Semana da Saúde</v>
      </c>
      <c r="E13" s="20">
        <v>2</v>
      </c>
      <c r="F13" s="18" t="str">
        <v>Gabriel Heller</v>
      </c>
      <c r="G13" s="20">
        <v>4</v>
      </c>
      <c r="H13" s="22">
        <v>0</v>
      </c>
      <c r="I13" s="22">
        <v>0</v>
      </c>
      <c r="J13" s="22">
        <v>0</v>
      </c>
      <c r="L13">
        <v>2026</v>
      </c>
      <c r="M13" t="str">
        <v>2026-033</v>
      </c>
      <c r="N13" t="str">
        <v>Realizado</v>
      </c>
      <c r="O13" t="str">
        <v>Curso de formação para gestores e fiscais de Contrato em equipamentos nas unidades hospitalares - T3</v>
      </c>
      <c r="P13">
        <v>12</v>
      </c>
      <c r="Q13" t="str">
        <v>Tarsila Firmino Ely; Luciana Alvim</v>
      </c>
      <c r="R13">
        <v>2</v>
      </c>
      <c r="S13">
        <v>27</v>
      </c>
      <c r="T13">
        <v>25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2026-054</v>
      </c>
      <c r="C14" s="21" t="str">
        <v>A realizar</v>
      </c>
      <c r="D14" s="18" t="str">
        <v>Café e Tertúlia: Encerramento da Semana da Saúde</v>
      </c>
      <c r="E14" s="20">
        <v>2</v>
      </c>
      <c r="F14" s="18" t="str">
        <v>Isac Mendes Caixeta de Pamplona Araújo</v>
      </c>
      <c r="G14" s="20">
        <v>4</v>
      </c>
      <c r="H14" s="22">
        <v>0</v>
      </c>
      <c r="I14" s="22">
        <v>0</v>
      </c>
      <c r="J14" s="22">
        <v>0</v>
      </c>
      <c r="L14">
        <v>2026</v>
      </c>
      <c r="M14" t="str">
        <v>2026-057</v>
      </c>
      <c r="N14" t="str">
        <v>A realizar</v>
      </c>
      <c r="O14" t="str">
        <v>Curso de formação sobre "Programa de Descentralização Progressiva das Ações de Saúde - PDPAS</v>
      </c>
      <c r="P14">
        <v>20</v>
      </c>
      <c r="Q14" t="str">
        <v>Tarsila Firmino Ely; Sara Cristina Lins Ramos; Carina de Souza Mariuba Herthel; Elvis Aaron Teixeira dos Santos Lima</v>
      </c>
      <c r="R14">
        <v>4</v>
      </c>
      <c r="S14">
        <v>31</v>
      </c>
      <c r="T14">
        <v>27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2026-054</v>
      </c>
      <c r="C15" s="21" t="str">
        <v>A realizar</v>
      </c>
      <c r="D15" s="18" t="str">
        <v>Café e Tertúlia: Encerramento da Semana da Saúde</v>
      </c>
      <c r="E15" s="20">
        <v>2</v>
      </c>
      <c r="F15" s="18" t="str">
        <v>Valéria Feitoza</v>
      </c>
      <c r="G15" s="20">
        <v>4</v>
      </c>
      <c r="H15" s="22">
        <v>0</v>
      </c>
      <c r="I15" s="22">
        <v>0</v>
      </c>
      <c r="J15" s="22">
        <v>0</v>
      </c>
      <c r="L15">
        <v>2026</v>
      </c>
      <c r="M15" t="str">
        <v>2026-021</v>
      </c>
      <c r="N15" t="str">
        <v>Realizado</v>
      </c>
      <c r="O15" t="str">
        <v>Curso de Fundamentos básicos de controle externo no TCDF</v>
      </c>
      <c r="P15">
        <v>12</v>
      </c>
      <c r="Q15" t="str">
        <v>Cinthia Thais de Carvalho Luz Thomazi; Reinaldo Alencar; Rogério Ribeiro; Rômulo Miranda Alvim; Gabriel Heller</v>
      </c>
      <c r="R15">
        <v>5</v>
      </c>
      <c r="S15">
        <v>36</v>
      </c>
      <c r="T15">
        <v>31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2026-001</v>
      </c>
      <c r="C16" s="21" t="str">
        <v>Realizado</v>
      </c>
      <c r="D16" s="18" t="str">
        <v>Contratação de TIC</v>
      </c>
      <c r="E16" s="20">
        <v>8</v>
      </c>
      <c r="F16" s="18" t="str">
        <v>Flávio José Fonseca de Souza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2026-008</v>
      </c>
      <c r="N16" t="str">
        <v>Realizado</v>
      </c>
      <c r="O16" t="str">
        <v>Curso de Promoção Funcional 2026/2027</v>
      </c>
      <c r="P16">
        <v>20</v>
      </c>
      <c r="Q16" t="str">
        <v>Rômulo Miranda Alvim; Cinthia Thais de Carvalho Luz Thomazi</v>
      </c>
      <c r="R16">
        <v>2</v>
      </c>
      <c r="S16">
        <v>38</v>
      </c>
      <c r="T16">
        <v>36</v>
      </c>
      <c r="X16" t="s">
        <v>2787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2026-066</v>
      </c>
      <c r="C17" s="21" t="str">
        <v>A realizar</v>
      </c>
      <c r="D17" s="18" t="str">
        <v>Contratações de TIC com base na jurisprudência do TCDF - EAD</v>
      </c>
      <c r="E17" s="20">
        <v>17.45</v>
      </c>
      <c r="F17" s="18" t="str">
        <v>Flávio José Fonseca de Souza</v>
      </c>
      <c r="G17" s="20">
        <v>2</v>
      </c>
      <c r="H17" s="22">
        <v>0</v>
      </c>
      <c r="I17" s="22">
        <v>34.9</v>
      </c>
      <c r="J17" s="22">
        <v>34.9</v>
      </c>
      <c r="L17">
        <v>2026</v>
      </c>
      <c r="M17" t="str">
        <v>2026-006</v>
      </c>
      <c r="N17" t="str">
        <v>Realizado</v>
      </c>
      <c r="O17" t="str">
        <v>Curso para gestores e fiscais de contratos de serviços assistenciais complementares – SES/DF</v>
      </c>
      <c r="P17">
        <v>12</v>
      </c>
      <c r="Q17" t="str">
        <v>Adriana Magalhães; Luciana Alvim</v>
      </c>
      <c r="R17">
        <v>2</v>
      </c>
      <c r="S17">
        <v>40</v>
      </c>
      <c r="T17">
        <v>38</v>
      </c>
      <c r="X17" t="s">
        <v>2787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2026-066</v>
      </c>
      <c r="C18" s="21" t="str">
        <v>A realizar</v>
      </c>
      <c r="D18" s="18" t="str">
        <v>Contratações de TIC com base na jurisprudência do TCDF - EAD</v>
      </c>
      <c r="E18" s="20">
        <v>17.45</v>
      </c>
      <c r="F18" s="18" t="str">
        <v>Felipe da Costa Malaquias</v>
      </c>
      <c r="G18" s="20">
        <v>2</v>
      </c>
      <c r="H18" s="22">
        <v>0</v>
      </c>
      <c r="I18" s="22">
        <v>34.9</v>
      </c>
      <c r="J18" s="22">
        <v>34.9</v>
      </c>
      <c r="L18">
        <v>2026</v>
      </c>
      <c r="M18" t="str">
        <v>2026-013</v>
      </c>
      <c r="N18" t="str">
        <v>Realizado</v>
      </c>
      <c r="O18" t="str">
        <v>Curso para gestores e fiscais de contratos de serviços assistenciais complementares – SES/DF - T2</v>
      </c>
      <c r="P18">
        <v>12</v>
      </c>
      <c r="Q18" t="str">
        <v>Adriana Magalhães; Luciana Alvim</v>
      </c>
      <c r="R18">
        <v>2</v>
      </c>
      <c r="S18">
        <v>42</v>
      </c>
      <c r="T18">
        <v>40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2026-034</v>
      </c>
      <c r="C19" s="21" t="str">
        <v>Realizado</v>
      </c>
      <c r="D19" s="18" t="str">
        <v>Curso “Sisaudit na Prática”</v>
      </c>
      <c r="E19" s="20">
        <v>12</v>
      </c>
      <c r="F19" s="18" t="str">
        <v>Davi Assunção Salvador Nery de Castro</v>
      </c>
      <c r="G19" s="20">
        <v>3</v>
      </c>
      <c r="H19" s="22">
        <v>12</v>
      </c>
      <c r="I19" s="22">
        <v>1.2</v>
      </c>
      <c r="J19" s="22">
        <v>13.2</v>
      </c>
      <c r="L19">
        <v>2026</v>
      </c>
      <c r="M19" t="str">
        <v>2026-025</v>
      </c>
      <c r="N19" t="str">
        <v>A realizar</v>
      </c>
      <c r="O19" t="str">
        <v>Elaboração da Cartilha "Gestão e Fiscalização de Contratos em Saúde"</v>
      </c>
      <c r="P19">
        <v>65</v>
      </c>
      <c r="Q19" t="str">
        <v>Tarsila Firmino Ely; Luciana Alvim</v>
      </c>
      <c r="R19">
        <v>2</v>
      </c>
      <c r="S19">
        <v>44</v>
      </c>
      <c r="T19">
        <v>42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2026-034</v>
      </c>
      <c r="C20" s="21" t="str">
        <v>Realizado</v>
      </c>
      <c r="D20" s="18" t="str">
        <v>Curso “Sisaudit na Prática”</v>
      </c>
      <c r="E20" s="20">
        <v>12</v>
      </c>
      <c r="F20" s="18" t="str">
        <v>David da Silva de Araújo</v>
      </c>
      <c r="G20" s="20">
        <v>3</v>
      </c>
      <c r="H20" s="22">
        <v>12</v>
      </c>
      <c r="I20" s="22">
        <v>1.2</v>
      </c>
      <c r="J20" s="22">
        <v>13.2</v>
      </c>
      <c r="L20">
        <v>2026</v>
      </c>
      <c r="M20" t="str">
        <v>2026-050</v>
      </c>
      <c r="N20" t="str">
        <v>A realizar</v>
      </c>
      <c r="O20" t="str">
        <v>Encontro Técnico - SEMAT: Concursos públicos e registro de admissões</v>
      </c>
      <c r="P20">
        <v>4</v>
      </c>
      <c r="Q20" t="str">
        <v>Carlos Antônio</v>
      </c>
      <c r="R20">
        <v>1</v>
      </c>
      <c r="S20">
        <v>45</v>
      </c>
      <c r="T20">
        <v>44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2026-034</v>
      </c>
      <c r="C21" s="21" t="str">
        <v>Realizado</v>
      </c>
      <c r="D21" s="18" t="str">
        <v>Curso “Sisaudit na Prática”</v>
      </c>
      <c r="E21" s="20">
        <v>12</v>
      </c>
      <c r="F21" s="18" t="str">
        <v>Hamilton de Jesus Lopes Neto</v>
      </c>
      <c r="G21" s="20">
        <v>3</v>
      </c>
      <c r="H21" s="22">
        <v>12</v>
      </c>
      <c r="I21" s="22">
        <v>1.2</v>
      </c>
      <c r="J21" s="22">
        <v>13.2</v>
      </c>
      <c r="L21">
        <v>2026</v>
      </c>
      <c r="M21" t="str">
        <v>2026-052</v>
      </c>
      <c r="N21" t="str">
        <v>A realizar</v>
      </c>
      <c r="O21" t="str">
        <v>Encontro Técnico– SEMAT: Concessões e Fiscalização de Pessoal</v>
      </c>
      <c r="P21">
        <v>4</v>
      </c>
      <c r="Q21" t="str">
        <v>Jamile Medeiros Fon; José Roberto Alcuri Júnior</v>
      </c>
      <c r="R21">
        <v>2</v>
      </c>
      <c r="S21">
        <v>47</v>
      </c>
      <c r="T21">
        <v>45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2026-027</v>
      </c>
      <c r="C22" s="21" t="str">
        <v>Realizado</v>
      </c>
      <c r="D22" s="18" t="str">
        <v>Curso básico de e-TCDF</v>
      </c>
      <c r="E22" s="20">
        <v>16</v>
      </c>
      <c r="F22" s="18" t="str">
        <v>Cássio Murilo Alves Costa Filho</v>
      </c>
      <c r="G22" s="20">
        <v>1</v>
      </c>
      <c r="H22" s="22">
        <v>16</v>
      </c>
      <c r="I22" s="22">
        <v>4.8</v>
      </c>
      <c r="J22" s="22">
        <v>20.8</v>
      </c>
      <c r="L22">
        <v>2026</v>
      </c>
      <c r="M22" t="str">
        <v>2026-040</v>
      </c>
      <c r="N22" t="str">
        <v>Realizado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48</v>
      </c>
      <c r="T22">
        <v>47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2026-019</v>
      </c>
      <c r="C23" s="21" t="str">
        <v>Realizado</v>
      </c>
      <c r="D23" s="18" t="str">
        <v>Curso de Ambientação para os novos Auditores de Controle Externo - Área Auditoria</v>
      </c>
      <c r="E23" s="20">
        <v>20</v>
      </c>
      <c r="F23" s="18" t="str">
        <v>Diversos</v>
      </c>
      <c r="G23" s="20">
        <v>1</v>
      </c>
      <c r="H23" s="22">
        <v>0</v>
      </c>
      <c r="I23" s="22">
        <v>0</v>
      </c>
      <c r="J23" s="22">
        <v>0</v>
      </c>
      <c r="L23">
        <v>2026</v>
      </c>
      <c r="M23" t="str">
        <v>2026-031</v>
      </c>
      <c r="N23" t="str">
        <v>Realizado</v>
      </c>
      <c r="O23" t="str">
        <v>Fiscalizações Baseadas em Risco</v>
      </c>
      <c r="P23">
        <v>20</v>
      </c>
      <c r="Q23" t="str">
        <v>Reinaldo Alencar; Rogério Ribeiro</v>
      </c>
      <c r="R23">
        <v>2</v>
      </c>
      <c r="S23">
        <v>50</v>
      </c>
      <c r="T23">
        <v>48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2026-042</v>
      </c>
      <c r="C24" s="21" t="str">
        <v>Realizado</v>
      </c>
      <c r="D24" s="18" t="str">
        <v>Curso de Formação para Conselheiros de Saúde do DF</v>
      </c>
      <c r="E24" s="20">
        <v>20</v>
      </c>
      <c r="F24" s="18" t="str">
        <v>Tarsila Firmino Ely</v>
      </c>
      <c r="G24" s="20">
        <v>1</v>
      </c>
      <c r="H24" s="22">
        <v>20</v>
      </c>
      <c r="I24" s="22">
        <v>6</v>
      </c>
      <c r="J24" s="22">
        <v>26</v>
      </c>
      <c r="L24">
        <v>2026</v>
      </c>
      <c r="M24" t="str">
        <v>2026-005</v>
      </c>
      <c r="N24" t="str">
        <v>Realizado</v>
      </c>
      <c r="O24" t="str">
        <v>FIT1: Treinamento e Desenvolvimento (T&amp;D)</v>
      </c>
      <c r="P24">
        <v>16</v>
      </c>
      <c r="Q24" t="str">
        <v>Paulo José Góes Daltro</v>
      </c>
      <c r="R24">
        <v>1</v>
      </c>
      <c r="S24">
        <v>51</v>
      </c>
      <c r="T24">
        <v>50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2026-032</v>
      </c>
      <c r="C25" s="21" t="str">
        <v>Realizado</v>
      </c>
      <c r="D25" s="18" t="str">
        <v>Curso de formação para gestores e fiscais de Contrato em equipamentos nas unidades hospitalares - T2</v>
      </c>
      <c r="E25" s="20">
        <v>12</v>
      </c>
      <c r="F25" s="18" t="str">
        <v>Tarsila Firmino Ely</v>
      </c>
      <c r="G25" s="20">
        <v>2</v>
      </c>
      <c r="H25" s="22">
        <v>12</v>
      </c>
      <c r="I25" s="22">
        <v>1.7999999999999998</v>
      </c>
      <c r="J25" s="22">
        <v>13.8</v>
      </c>
      <c r="L25">
        <v>2026</v>
      </c>
      <c r="M25" t="str">
        <v>2026-004</v>
      </c>
      <c r="N25" t="str">
        <v>Realizado</v>
      </c>
      <c r="O25" t="str">
        <v>Gestão e Fiscalização de Contratos de Equipamentos Médico Hospitalares e Serviços de Manutenção</v>
      </c>
      <c r="P25">
        <v>12</v>
      </c>
      <c r="Q25" t="str">
        <v>Tarsila Firmino Ely; Luciana Alvim</v>
      </c>
      <c r="R25">
        <v>2</v>
      </c>
      <c r="S25">
        <v>53</v>
      </c>
      <c r="T25">
        <v>51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2026-032</v>
      </c>
      <c r="C26" s="21" t="str">
        <v>Realizado</v>
      </c>
      <c r="D26" s="18" t="str">
        <v>Curso de formação para gestores e fiscais de Contrato em equipamentos nas unidades hospitalares - T2</v>
      </c>
      <c r="E26" s="20">
        <v>12</v>
      </c>
      <c r="F26" s="18" t="str">
        <v>Luciana Alvim</v>
      </c>
      <c r="G26" s="20">
        <v>2</v>
      </c>
      <c r="H26" s="22">
        <v>12</v>
      </c>
      <c r="I26" s="22">
        <v>1.7999999999999998</v>
      </c>
      <c r="J26" s="22">
        <v>13.8</v>
      </c>
      <c r="L26">
        <v>2026</v>
      </c>
      <c r="M26" t="str">
        <v>2026-037</v>
      </c>
      <c r="N26" t="str">
        <v>Realizado</v>
      </c>
      <c r="O26" t="str">
        <v>Introdução à Engenharia de Prompt - SEE</v>
      </c>
      <c r="P26">
        <v>8</v>
      </c>
      <c r="Q26" t="str">
        <v>Arthur Wú; Gustavo Takahashi</v>
      </c>
      <c r="R26">
        <v>2</v>
      </c>
      <c r="S26">
        <v>55</v>
      </c>
      <c r="T26">
        <v>53</v>
      </c>
      <c r="X26" t="s">
        <v>2839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2026-033</v>
      </c>
      <c r="C27" s="21" t="str">
        <v>Realizado</v>
      </c>
      <c r="D27" s="18" t="str">
        <v>Curso de formação para gestores e fiscais de Contrato em equipamentos nas unidades hospitalares - T3</v>
      </c>
      <c r="E27" s="20">
        <v>12</v>
      </c>
      <c r="F27" s="18" t="str">
        <v>Tarsila Firmino Ely</v>
      </c>
      <c r="G27" s="20">
        <v>2</v>
      </c>
      <c r="H27" s="22">
        <v>12</v>
      </c>
      <c r="I27" s="22">
        <v>1.7999999999999998</v>
      </c>
      <c r="J27" s="22">
        <v>13.8</v>
      </c>
      <c r="L27">
        <v>2026</v>
      </c>
      <c r="M27" t="str">
        <v>2026-009</v>
      </c>
      <c r="N27" t="str">
        <v>Realizado</v>
      </c>
      <c r="O27" t="str">
        <v>Introdução à Engenharia de Prompt - t1</v>
      </c>
      <c r="P27">
        <v>8</v>
      </c>
      <c r="Q27" t="str">
        <v>Arthur Wú</v>
      </c>
      <c r="R27">
        <v>1</v>
      </c>
      <c r="S27">
        <v>56</v>
      </c>
      <c r="T27">
        <v>55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2026-033</v>
      </c>
      <c r="C28" s="21" t="str">
        <v>Realizado</v>
      </c>
      <c r="D28" s="18" t="str">
        <v>Curso de formação para gestores e fiscais de Contrato em equipamentos nas unidades hospitalares - T3</v>
      </c>
      <c r="E28" s="20">
        <v>12</v>
      </c>
      <c r="F28" s="18" t="str">
        <v>Luciana Alvim</v>
      </c>
      <c r="G28" s="20">
        <v>2</v>
      </c>
      <c r="H28" s="22">
        <v>12</v>
      </c>
      <c r="I28" s="22">
        <v>1.7999999999999998</v>
      </c>
      <c r="J28" s="22">
        <v>13.8</v>
      </c>
      <c r="L28">
        <v>2026</v>
      </c>
      <c r="M28" t="str">
        <v>2026-015</v>
      </c>
      <c r="N28" t="str">
        <v>Realizado</v>
      </c>
      <c r="O28" t="str">
        <v>Introdução à Engenharia de Prompt - t2</v>
      </c>
      <c r="P28">
        <v>8</v>
      </c>
      <c r="Q28" t="str">
        <v>Arthur Wú; Gustavo Takahashi</v>
      </c>
      <c r="R28">
        <v>2</v>
      </c>
      <c r="S28">
        <v>58</v>
      </c>
      <c r="T28">
        <v>56</v>
      </c>
      <c r="X28" s="102" t="s">
        <v>2830</v>
      </c>
      <c r="Y28" s="18" t="s">
        <v>3025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2026-057</v>
      </c>
      <c r="C29" s="21" t="str">
        <v>A realizar</v>
      </c>
      <c r="D29" s="18" t="str">
        <v>Curso de formação sobre "Programa de Descentralização Progressiva das Ações de Saúde - PDPAS</v>
      </c>
      <c r="E29" s="20">
        <v>20</v>
      </c>
      <c r="F29" s="18" t="str">
        <v>Tarsila Firmino Ely</v>
      </c>
      <c r="G29" s="20">
        <v>4</v>
      </c>
      <c r="H29" s="22">
        <v>20</v>
      </c>
      <c r="I29" s="22">
        <v>3.6</v>
      </c>
      <c r="J29" s="22">
        <v>23.6</v>
      </c>
      <c r="L29">
        <v>2026</v>
      </c>
      <c r="M29" t="str">
        <v>2026-024</v>
      </c>
      <c r="N29" t="str">
        <v>Realizado</v>
      </c>
      <c r="O29" t="str">
        <v>Introdução à Engenharia de Prompt - T3</v>
      </c>
      <c r="P29">
        <v>8</v>
      </c>
      <c r="Q29" t="str">
        <v>Arthur Wú; Gustavo Takahashi</v>
      </c>
      <c r="R29">
        <v>2</v>
      </c>
      <c r="S29">
        <v>60</v>
      </c>
      <c r="T29">
        <v>58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2026-057</v>
      </c>
      <c r="C30" s="21" t="str">
        <v>A realizar</v>
      </c>
      <c r="D30" s="18" t="str">
        <v>Curso de formação sobre "Programa de Descentralização Progressiva das Ações de Saúde - PDPAS</v>
      </c>
      <c r="E30" s="20">
        <v>20</v>
      </c>
      <c r="F30" s="18" t="str">
        <v>Sara Cristina Lins Ramos</v>
      </c>
      <c r="G30" s="20">
        <v>4</v>
      </c>
      <c r="H30" s="22">
        <v>8</v>
      </c>
      <c r="I30" s="22">
        <v>2.4</v>
      </c>
      <c r="J30" s="22">
        <v>10.4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62</v>
      </c>
      <c r="T30">
        <v>60</v>
      </c>
      <c r="X30" s="102" t="s">
        <v>2830</v>
      </c>
      <c r="Y30" s="18" t="s">
        <v>3021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2026-057</v>
      </c>
      <c r="C31" s="21" t="str">
        <v>A realizar</v>
      </c>
      <c r="D31" s="18" t="str">
        <v>Curso de formação sobre "Programa de Descentralização Progressiva das Ações de Saúde - PDPAS</v>
      </c>
      <c r="E31" s="20">
        <v>20</v>
      </c>
      <c r="F31" s="18" t="str">
        <v>Carina de Souza Mariuba Herthel</v>
      </c>
      <c r="G31" s="20">
        <v>4</v>
      </c>
      <c r="H31" s="22">
        <v>8</v>
      </c>
      <c r="I31" s="22">
        <v>2.4</v>
      </c>
      <c r="J31" s="22">
        <v>10.4</v>
      </c>
      <c r="L31">
        <v>2026</v>
      </c>
      <c r="M31" t="str">
        <v>2026-038</v>
      </c>
      <c r="N31" t="str">
        <v>A realizar</v>
      </c>
      <c r="O31" t="str">
        <v>Introdução ao processo de controle externo - EAD</v>
      </c>
      <c r="P31">
        <v>16</v>
      </c>
      <c r="Q31" t="str">
        <v>Gabriel Heller</v>
      </c>
      <c r="R31">
        <v>1</v>
      </c>
      <c r="S31">
        <v>63</v>
      </c>
      <c r="T31">
        <v>62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2026-057</v>
      </c>
      <c r="C32" s="21" t="str">
        <v>A realizar</v>
      </c>
      <c r="D32" s="18" t="str">
        <v>Curso de formação sobre "Programa de Descentralização Progressiva das Ações de Saúde - PDPAS</v>
      </c>
      <c r="E32" s="20">
        <v>20</v>
      </c>
      <c r="F32" s="18" t="str">
        <v>Elvis Aaron Teixeira dos Santos Lima</v>
      </c>
      <c r="G32" s="20">
        <v>4</v>
      </c>
      <c r="H32" s="22">
        <v>0</v>
      </c>
      <c r="I32" s="22">
        <v>0</v>
      </c>
      <c r="J32" s="22">
        <v>0</v>
      </c>
      <c r="L32">
        <v>2026</v>
      </c>
      <c r="M32" t="str">
        <v>2026-016</v>
      </c>
      <c r="N32" t="str">
        <v>Realizado</v>
      </c>
      <c r="O32" t="str">
        <v>Mentoria de introdução à Engenharia de Prompt</v>
      </c>
      <c r="P32">
        <v>2</v>
      </c>
      <c r="Q32" t="str">
        <v>Arthur Wú; Gustavo Takahashi</v>
      </c>
      <c r="R32">
        <v>2</v>
      </c>
      <c r="S32">
        <v>65</v>
      </c>
      <c r="T32">
        <v>63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Cinthia Thais de Carvalho Luz Thomazi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2026-017</v>
      </c>
      <c r="N33" t="str">
        <v>Realizado</v>
      </c>
      <c r="O33" t="str">
        <v>Mostra Fotográfica “Meu Olhar sobre Brasília”</v>
      </c>
      <c r="P33">
        <v>0</v>
      </c>
      <c r="Q33" t="str">
        <v>Servidores, colaboradores e estagiários do TCDF</v>
      </c>
      <c r="R33">
        <v>1</v>
      </c>
      <c r="S33">
        <v>66</v>
      </c>
      <c r="T33">
        <v>65</v>
      </c>
      <c r="X33" s="102" t="s">
        <v>2778</v>
      </c>
      <c r="Y33" t="s">
        <v>3003</v>
      </c>
      <c r="Z33">
        <v>4</v>
      </c>
      <c r="AA33">
        <v>0.6</v>
      </c>
      <c r="AC33" s="99"/>
      <c r="AD33" s="116" t="s">
        <v>3054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Reinaldo Alencar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68</v>
      </c>
      <c r="T34">
        <v>66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Rogério Ribeiro</v>
      </c>
      <c r="G35" s="20">
        <v>5</v>
      </c>
      <c r="H35" s="22">
        <v>4</v>
      </c>
      <c r="I35" s="22">
        <v>0.6</v>
      </c>
      <c r="J35" s="22">
        <v>4.5999999999999996</v>
      </c>
      <c r="L35">
        <v>2026</v>
      </c>
      <c r="M35" t="str">
        <v>2026-041</v>
      </c>
      <c r="N35" t="str">
        <v>Realizado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70</v>
      </c>
      <c r="T35">
        <v>68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2026-021</v>
      </c>
      <c r="C36" s="21" t="str">
        <v>Realizado</v>
      </c>
      <c r="D36" s="18" t="str">
        <v>Curso de Fundamentos básicos de controle externo no TCDF</v>
      </c>
      <c r="E36" s="20">
        <v>12</v>
      </c>
      <c r="F36" s="18" t="str">
        <v>Rômulo Miranda Alvim</v>
      </c>
      <c r="G36" s="20">
        <v>5</v>
      </c>
      <c r="H36" s="22">
        <v>4</v>
      </c>
      <c r="I36" s="22">
        <v>0.6</v>
      </c>
      <c r="J36" s="22">
        <v>4.5999999999999996</v>
      </c>
      <c r="L36">
        <v>2026</v>
      </c>
      <c r="M36" t="str">
        <v>2026-053</v>
      </c>
      <c r="N36" t="str">
        <v>A realizar</v>
      </c>
      <c r="O36" t="str">
        <v>Oficina Temática - SEMAT: Aditivos na Contratação Integrada de obras e serviços de engenharia</v>
      </c>
      <c r="P36">
        <v>4</v>
      </c>
      <c r="Q36" t="str">
        <v>Douglas Vieira Silva Filho; Silvia Lima Damasceno Carvalho</v>
      </c>
      <c r="R36">
        <v>2</v>
      </c>
      <c r="S36">
        <v>72</v>
      </c>
      <c r="T36">
        <v>70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2026-021</v>
      </c>
      <c r="C37" s="81" t="str">
        <v>Realizado</v>
      </c>
      <c r="D37" t="str">
        <v>Curso de Fundamentos básicos de controle externo no TCDF</v>
      </c>
      <c r="E37" s="81">
        <v>12</v>
      </c>
      <c r="F37" t="str">
        <v>Gabriel Heller</v>
      </c>
      <c r="G37" s="81">
        <v>5</v>
      </c>
      <c r="H37" s="81">
        <v>4</v>
      </c>
      <c r="I37" s="81">
        <v>1.2</v>
      </c>
      <c r="J37" s="81">
        <v>5.2</v>
      </c>
      <c r="L37">
        <v>2026</v>
      </c>
      <c r="M37" t="str">
        <v>2026-051</v>
      </c>
      <c r="N37" t="str">
        <v>A realizar</v>
      </c>
      <c r="O37" t="str">
        <v>Oficina Temática – SEMAT: Controle Tecnológico de obras e serviços de engenharia</v>
      </c>
      <c r="P37">
        <v>4</v>
      </c>
      <c r="Q37" t="str">
        <v>Silvia Lima Damasceno Carvalho; Marcelo Silva Santana</v>
      </c>
      <c r="R37">
        <v>2</v>
      </c>
      <c r="S37">
        <v>74</v>
      </c>
      <c r="T37">
        <v>72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2026-008</v>
      </c>
      <c r="C38" s="81" t="str">
        <v>Realizado</v>
      </c>
      <c r="D38" t="str">
        <v>Curso de Promoção Funcional 2026/2027</v>
      </c>
      <c r="E38" s="81">
        <v>20</v>
      </c>
      <c r="F38" t="str">
        <v>Rômulo Miranda Alvim</v>
      </c>
      <c r="G38" s="81">
        <v>2</v>
      </c>
      <c r="H38" s="81">
        <v>20</v>
      </c>
      <c r="I38" s="81">
        <v>3</v>
      </c>
      <c r="J38" s="81">
        <v>23</v>
      </c>
      <c r="L38">
        <v>2026</v>
      </c>
      <c r="M38" t="str">
        <v>2026-046</v>
      </c>
      <c r="N38" t="str">
        <v>A realizar</v>
      </c>
      <c r="O38" t="str">
        <v>Oficina Temática – SEMAT: Falhas recorrentes em contratações de TI</v>
      </c>
      <c r="P38">
        <v>8</v>
      </c>
      <c r="Q38" t="str">
        <v>Felipe da Costa Malaquias</v>
      </c>
      <c r="R38">
        <v>1</v>
      </c>
      <c r="S38">
        <v>75</v>
      </c>
      <c r="T38">
        <v>74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2026-008</v>
      </c>
      <c r="C39" s="81" t="str">
        <v>Realizado</v>
      </c>
      <c r="D39" t="str">
        <v>Curso de Promoção Funcional 2026/2027</v>
      </c>
      <c r="E39" s="81">
        <v>20</v>
      </c>
      <c r="F39" t="str">
        <v>Cinthia Thais de Carvalho Luz Thomazi</v>
      </c>
      <c r="G39" s="81">
        <v>2</v>
      </c>
      <c r="H39" s="81">
        <v>20</v>
      </c>
      <c r="I39" s="81">
        <v>3</v>
      </c>
      <c r="J39" s="81">
        <v>23</v>
      </c>
      <c r="L39">
        <v>2026</v>
      </c>
      <c r="M39" t="str">
        <v>2026-068</v>
      </c>
      <c r="N39" t="str">
        <v>A realizar</v>
      </c>
      <c r="O39" t="str">
        <v>Oficina Temática - SEMAT: Matriz de Riscos em contratos de obras e serviços de engenharia</v>
      </c>
      <c r="P39">
        <v>4</v>
      </c>
      <c r="Q39" t="str">
        <v>Silvia Lima Damasceno Carvalho; Renan Dias da Silva</v>
      </c>
      <c r="R39">
        <v>2</v>
      </c>
      <c r="S39">
        <v>77</v>
      </c>
      <c r="T39">
        <v>75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2026-006</v>
      </c>
      <c r="C40" s="81" t="str">
        <v>Realizado</v>
      </c>
      <c r="D40" t="str">
        <v>Curso para gestores e fiscais de contratos de serviços assistenciais complementares – SES/DF</v>
      </c>
      <c r="E40" s="81">
        <v>12</v>
      </c>
      <c r="F40" t="str">
        <v>Adriana Magalhães</v>
      </c>
      <c r="G40" s="81">
        <v>2</v>
      </c>
      <c r="H40" s="81">
        <v>12</v>
      </c>
      <c r="I40" s="81">
        <v>1.7999999999999998</v>
      </c>
      <c r="J40" s="81">
        <v>13.8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79</v>
      </c>
      <c r="T40">
        <v>77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2026-006</v>
      </c>
      <c r="C41" s="81" t="str">
        <v>Realizado</v>
      </c>
      <c r="D41" t="str">
        <v>Curso para gestores e fiscais de contratos de serviços assistenciais complementares – SES/DF</v>
      </c>
      <c r="E41" s="81">
        <v>12</v>
      </c>
      <c r="F41" t="str">
        <v>Luciana Alvim</v>
      </c>
      <c r="G41" s="81">
        <v>2</v>
      </c>
      <c r="H41" s="81">
        <v>12</v>
      </c>
      <c r="I41" s="81">
        <v>1.7999999999999998</v>
      </c>
      <c r="J41" s="81">
        <v>13.8</v>
      </c>
      <c r="L41">
        <v>2026</v>
      </c>
      <c r="M41" t="str">
        <v>2026-049</v>
      </c>
      <c r="N41" t="str">
        <v>A realizar</v>
      </c>
      <c r="O41" t="str">
        <v>Oficina Temática - SEMAT: Pesquisa de Preços em contratos de obras e serviços de engenharia</v>
      </c>
      <c r="P41">
        <v>4</v>
      </c>
      <c r="Q41" t="str">
        <v>Silvia Lima Damasceno Carvalho; Wibys Pereira</v>
      </c>
      <c r="R41">
        <v>2</v>
      </c>
      <c r="S41">
        <v>81</v>
      </c>
      <c r="T41">
        <v>79</v>
      </c>
      <c r="X41" t="s">
        <v>2880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2026-013</v>
      </c>
      <c r="C42" s="81" t="str">
        <v>Realizado</v>
      </c>
      <c r="D42" t="str">
        <v>Curso para gestores e fiscais de contratos de serviços assistenciais complementares – SES/DF - T2</v>
      </c>
      <c r="E42" s="81">
        <v>12</v>
      </c>
      <c r="F42" t="str">
        <v>Adriana Magalhães</v>
      </c>
      <c r="G42" s="81">
        <v>2</v>
      </c>
      <c r="H42" s="81">
        <v>12</v>
      </c>
      <c r="I42" s="81">
        <v>1.7999999999999998</v>
      </c>
      <c r="J42" s="81">
        <v>13.8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83</v>
      </c>
      <c r="T42">
        <v>81</v>
      </c>
      <c r="X42" t="s">
        <v>2880</v>
      </c>
      <c r="Y42" t="s">
        <v>2995</v>
      </c>
      <c r="Z42">
        <v>0</v>
      </c>
      <c r="AA42">
        <v>0</v>
      </c>
    </row>
    <row r="43" spans="1:31" x14ac:dyDescent="0.25">
      <c r="A43">
        <v>2026</v>
      </c>
      <c r="B43" t="str">
        <v>2026-013</v>
      </c>
      <c r="C43" t="str">
        <v>Realizado</v>
      </c>
      <c r="D43" t="str">
        <v>Curso para gestores e fiscais de contratos de serviços assistenciais complementares – SES/DF - T2</v>
      </c>
      <c r="E43">
        <v>12</v>
      </c>
      <c r="F43" t="str">
        <v>Luciana Alvim</v>
      </c>
      <c r="G43">
        <v>2</v>
      </c>
      <c r="H43">
        <v>12</v>
      </c>
      <c r="I43">
        <v>1.7999999999999998</v>
      </c>
      <c r="J43">
        <v>13.8</v>
      </c>
      <c r="L43">
        <v>2026</v>
      </c>
      <c r="M43" t="str">
        <v>2026-043</v>
      </c>
      <c r="N43" t="str">
        <v>Realizado</v>
      </c>
      <c r="O43" t="str">
        <v>Painel MROSC</v>
      </c>
      <c r="P43">
        <v>4</v>
      </c>
      <c r="Q43" t="str">
        <v>Diversos</v>
      </c>
      <c r="R43">
        <v>1</v>
      </c>
      <c r="S43">
        <v>84</v>
      </c>
      <c r="T43">
        <v>83</v>
      </c>
      <c r="X43" t="s">
        <v>2884</v>
      </c>
      <c r="Y43" s="18" t="s">
        <v>3012</v>
      </c>
      <c r="AA43">
        <v>1.2</v>
      </c>
    </row>
    <row r="44" spans="1:31" x14ac:dyDescent="0.25">
      <c r="A44">
        <v>2026</v>
      </c>
      <c r="B44" t="str">
        <v>2026-025</v>
      </c>
      <c r="C44" t="str">
        <v>A realizar</v>
      </c>
      <c r="D44" t="str">
        <v>Elaboração da Cartilha "Gestão e Fiscalização de Contratos em Saúde"</v>
      </c>
      <c r="E44">
        <v>65</v>
      </c>
      <c r="F44" t="str">
        <v>Tarsila Firmino Ely</v>
      </c>
      <c r="G44">
        <v>2</v>
      </c>
      <c r="H44">
        <v>0</v>
      </c>
      <c r="I44">
        <v>65</v>
      </c>
      <c r="J44">
        <v>65</v>
      </c>
      <c r="L44">
        <v>2026</v>
      </c>
      <c r="M44" t="str">
        <v>2026-007</v>
      </c>
      <c r="N44" t="str">
        <v>Realizado</v>
      </c>
      <c r="O44" t="str">
        <v>Planilhas de Terceirização de Mão de Obra, de acordo com a Lei nº 14.133/2021 - T1</v>
      </c>
      <c r="P44">
        <v>20</v>
      </c>
      <c r="Q44" t="str">
        <v>Leonardo José Alves Leal Neri</v>
      </c>
      <c r="R44">
        <v>1</v>
      </c>
      <c r="S44">
        <v>85</v>
      </c>
      <c r="T44">
        <v>84</v>
      </c>
      <c r="X44" t="s">
        <v>2884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Luciana Alvim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2026-010</v>
      </c>
      <c r="N45" t="str">
        <v>Realizado</v>
      </c>
      <c r="O45" t="str">
        <v>Planilhas de Terceirização de Mão de Obra, de acordo com a Lei nº 14.133/2021 - T2</v>
      </c>
      <c r="P45">
        <v>20</v>
      </c>
      <c r="Q45" t="str">
        <v>Leonardo José Alves Leal Neri</v>
      </c>
      <c r="R45">
        <v>1</v>
      </c>
      <c r="S45">
        <v>86</v>
      </c>
      <c r="T45">
        <v>85</v>
      </c>
      <c r="X45" t="s">
        <v>2868</v>
      </c>
      <c r="Y45" t="s">
        <v>3011</v>
      </c>
      <c r="Z45">
        <v>1</v>
      </c>
      <c r="AA45">
        <v>0.3</v>
      </c>
    </row>
    <row r="46" spans="1:31" x14ac:dyDescent="0.25">
      <c r="A46">
        <v>2026</v>
      </c>
      <c r="B46" t="str">
        <v>2026-050</v>
      </c>
      <c r="C46" t="str">
        <v>A realizar</v>
      </c>
      <c r="D46" t="str">
        <v>Encontro Técnico - SEMAT: Concursos públicos e registro de admissões</v>
      </c>
      <c r="E46">
        <v>4</v>
      </c>
      <c r="F46" t="str">
        <v>Carlos Antônio</v>
      </c>
      <c r="G46">
        <v>1</v>
      </c>
      <c r="H46">
        <v>4</v>
      </c>
      <c r="I46">
        <v>1.2</v>
      </c>
      <c r="J46">
        <v>5.2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>
        <v>0</v>
      </c>
      <c r="R46">
        <v>1</v>
      </c>
      <c r="S46">
        <v>87</v>
      </c>
      <c r="T46">
        <v>86</v>
      </c>
      <c r="X46" t="s">
        <v>2868</v>
      </c>
      <c r="Y46" t="s">
        <v>3023</v>
      </c>
      <c r="Z46">
        <v>1</v>
      </c>
      <c r="AA46">
        <v>0.3</v>
      </c>
    </row>
    <row r="47" spans="1:31" x14ac:dyDescent="0.25">
      <c r="A47">
        <v>2026</v>
      </c>
      <c r="B47" t="str">
        <v>2026-052</v>
      </c>
      <c r="C47" t="str">
        <v>A realizar</v>
      </c>
      <c r="D47" t="str">
        <v>Encontro Técnico– SEMAT: Concessões e Fiscalização de Pessoal</v>
      </c>
      <c r="E47">
        <v>4</v>
      </c>
      <c r="F47" t="str">
        <v>Jamile Medeiros Fon</v>
      </c>
      <c r="G47">
        <v>2</v>
      </c>
      <c r="H47">
        <v>4</v>
      </c>
      <c r="I47">
        <v>1.2</v>
      </c>
      <c r="J47">
        <v>5.2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>
        <v>0</v>
      </c>
      <c r="R47">
        <v>1</v>
      </c>
      <c r="S47">
        <v>88</v>
      </c>
      <c r="T47">
        <v>87</v>
      </c>
      <c r="X47" t="s">
        <v>2868</v>
      </c>
      <c r="Y47" t="s">
        <v>3020</v>
      </c>
      <c r="Z47">
        <v>1</v>
      </c>
      <c r="AA47">
        <v>0.3</v>
      </c>
    </row>
    <row r="48" spans="1:31" x14ac:dyDescent="0.25">
      <c r="A48">
        <v>2026</v>
      </c>
      <c r="B48" t="str">
        <v>2026-052</v>
      </c>
      <c r="C48" t="str">
        <v>A realizar</v>
      </c>
      <c r="D48" t="str">
        <v>Encontro Técnico– SEMAT: Concessões e Fiscalização de Pessoal</v>
      </c>
      <c r="E48">
        <v>4</v>
      </c>
      <c r="F48" t="str">
        <v>José Roberto Alcuri Júnior</v>
      </c>
      <c r="G48">
        <v>2</v>
      </c>
      <c r="H48">
        <v>0</v>
      </c>
      <c r="I48">
        <v>0</v>
      </c>
      <c r="J48">
        <v>0</v>
      </c>
      <c r="L48">
        <v>2026</v>
      </c>
      <c r="M48" t="str">
        <v>2026-059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89</v>
      </c>
      <c r="T48">
        <v>88</v>
      </c>
      <c r="X48" t="s">
        <v>2868</v>
      </c>
      <c r="Y48" t="s">
        <v>3022</v>
      </c>
      <c r="Z48">
        <v>1</v>
      </c>
      <c r="AA48">
        <v>0.3</v>
      </c>
    </row>
    <row r="49" spans="1:27" x14ac:dyDescent="0.25">
      <c r="A49">
        <v>2026</v>
      </c>
      <c r="B49" t="str">
        <v>2026-040</v>
      </c>
      <c r="C49" t="str">
        <v>Realizado</v>
      </c>
      <c r="D49" t="str">
        <v>Escola de Instrutores - Design Instrucional</v>
      </c>
      <c r="E49">
        <v>12</v>
      </c>
      <c r="F49" t="str">
        <v>Paulo José Góes Daltro</v>
      </c>
      <c r="G49">
        <v>1</v>
      </c>
      <c r="H49">
        <v>0</v>
      </c>
      <c r="I49">
        <v>0</v>
      </c>
      <c r="J49">
        <v>0</v>
      </c>
      <c r="L49">
        <v>2026</v>
      </c>
      <c r="M49" t="str">
        <v>2026-060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90</v>
      </c>
      <c r="T49">
        <v>89</v>
      </c>
      <c r="X49" t="s">
        <v>2868</v>
      </c>
      <c r="Y49" t="s">
        <v>3019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2026-061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91</v>
      </c>
      <c r="T50">
        <v>90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2026-062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92</v>
      </c>
      <c r="T51">
        <v>91</v>
      </c>
      <c r="X51" t="s">
        <v>2868</v>
      </c>
      <c r="Y51" t="s">
        <v>3055</v>
      </c>
      <c r="Z51">
        <v>1</v>
      </c>
      <c r="AA51">
        <v>0.3</v>
      </c>
    </row>
    <row r="52" spans="1:27" x14ac:dyDescent="0.25">
      <c r="A52">
        <v>2026</v>
      </c>
      <c r="B52" t="str">
        <v>2026-005</v>
      </c>
      <c r="C52" t="str">
        <v>Realizado</v>
      </c>
      <c r="D52" t="str">
        <v>FIT1: Treinamento e Desenvolvimento (T&amp;D)</v>
      </c>
      <c r="E52">
        <v>16</v>
      </c>
      <c r="F52" t="str">
        <v>Paulo José Góes Daltro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2026-002</v>
      </c>
      <c r="N52" t="str">
        <v>Realizado</v>
      </c>
      <c r="O52" t="str">
        <v>Tcendo o Futuro - Edição Especial Filhos</v>
      </c>
      <c r="P52">
        <v>4</v>
      </c>
      <c r="Q52" t="str">
        <v>Cinthia Thais de Carvalho Luz Thomazi; Adriana Cuoco Portugal; Fernanda Viana de Souza; Denise Duarte Guirra Kuhlmann; Priscila Nolasco de Oliveira</v>
      </c>
      <c r="R52">
        <v>5</v>
      </c>
      <c r="S52">
        <v>97</v>
      </c>
      <c r="T52">
        <v>92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2026-004</v>
      </c>
      <c r="C53" t="str">
        <v>Realizado</v>
      </c>
      <c r="D53" t="str">
        <v>Gestão e Fiscalização de Contratos de Equipamentos Médico Hospitalares e Serviços de Manutenção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2026-018</v>
      </c>
      <c r="N53" t="str">
        <v>Realizado</v>
      </c>
      <c r="O53" t="str">
        <v>Tcendo o Futuro 1</v>
      </c>
      <c r="P53">
        <v>4</v>
      </c>
      <c r="Q53" t="str">
        <v>Cinthia Thais de Carvalho Luz Thomazi; Adriana Cuoco Portugal; Fernanda Viana de Souza; Denise Duarte Guirra Kuhlmann;  Priscila Nolasco de Oliveira</v>
      </c>
      <c r="R53">
        <v>5</v>
      </c>
      <c r="S53">
        <v>102</v>
      </c>
      <c r="T53">
        <v>97</v>
      </c>
      <c r="X53" t="s">
        <v>2868</v>
      </c>
      <c r="Y53" t="s">
        <v>3026</v>
      </c>
      <c r="Z53">
        <v>1</v>
      </c>
      <c r="AA53">
        <v>0.3</v>
      </c>
    </row>
    <row r="54" spans="1:27" x14ac:dyDescent="0.25">
      <c r="A54">
        <v>2026</v>
      </c>
      <c r="B54" t="str">
        <v>2026-004</v>
      </c>
      <c r="C54" t="str">
        <v>Realizado</v>
      </c>
      <c r="D54" t="str">
        <v>Gestão e Fiscalização de Contratos de Equipamentos Médico Hospitalares e Serviços de Manutenção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2026-023</v>
      </c>
      <c r="N54" t="str">
        <v>Realizado</v>
      </c>
      <c r="O54" t="str">
        <v>Tcendo o Futuro 2</v>
      </c>
      <c r="P54">
        <v>4</v>
      </c>
      <c r="Q54" t="str">
        <v>Cinthia Thais de Carvalho Luz Thomazi; Adriana Cuoco Portugal; Fernanda Viana de Souza; Denise Duarte Guirra Kuhlmann;  Priscila Nolasco de Oliveira</v>
      </c>
      <c r="R54">
        <v>5</v>
      </c>
      <c r="S54">
        <v>107</v>
      </c>
      <c r="T54">
        <v>102</v>
      </c>
      <c r="X54" t="s">
        <v>2868</v>
      </c>
      <c r="Y54" t="s">
        <v>3024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Introdução à Engenharia de Prompt - SEE</v>
      </c>
      <c r="E55">
        <v>8</v>
      </c>
      <c r="F55" t="str">
        <v>Arthur Wú</v>
      </c>
      <c r="G55">
        <v>2</v>
      </c>
      <c r="H55">
        <v>8</v>
      </c>
      <c r="I55">
        <v>2.4</v>
      </c>
      <c r="J55">
        <v>10.4</v>
      </c>
      <c r="L55">
        <v>2026</v>
      </c>
      <c r="M55" t="str">
        <v>2026-022</v>
      </c>
      <c r="N55" t="str">
        <v>Realizado</v>
      </c>
      <c r="O55" t="str">
        <v>UniTCDF: Ciências Contábeis</v>
      </c>
      <c r="P55">
        <v>3</v>
      </c>
      <c r="Q55" t="str">
        <v>Fernanda Viana de Souza; Túllio Herbeth Teixeira Moraes</v>
      </c>
      <c r="R55">
        <v>2</v>
      </c>
      <c r="S55">
        <v>109</v>
      </c>
      <c r="T55">
        <v>107</v>
      </c>
      <c r="X55" t="s">
        <v>2900</v>
      </c>
      <c r="Y55" t="s">
        <v>3011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Introdução à Engenharia de Prompt - SEE</v>
      </c>
      <c r="E56">
        <v>8</v>
      </c>
      <c r="F56" t="str">
        <v>Gustavo Takahashi</v>
      </c>
      <c r="G56">
        <v>2</v>
      </c>
      <c r="H56">
        <v>8</v>
      </c>
      <c r="I56">
        <v>0</v>
      </c>
      <c r="J56">
        <v>8</v>
      </c>
      <c r="L56">
        <v>2026</v>
      </c>
      <c r="M56" t="str">
        <v>2026-029</v>
      </c>
      <c r="N56" t="str">
        <v>Realizado</v>
      </c>
      <c r="O56" t="str">
        <v>UniTCDF: TCDF e a Fiscalização de Obras</v>
      </c>
      <c r="P56">
        <v>4</v>
      </c>
      <c r="Q56" t="str">
        <v>Adriana Cuoco Portugal</v>
      </c>
      <c r="R56">
        <v>1</v>
      </c>
      <c r="S56">
        <v>110</v>
      </c>
      <c r="T56">
        <v>109</v>
      </c>
      <c r="X56" t="s">
        <v>2929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2026-009</v>
      </c>
      <c r="C57" t="str">
        <v>Realizado</v>
      </c>
      <c r="D57" t="str">
        <v>Introdução à Engenharia de Prompt - t1</v>
      </c>
      <c r="E57">
        <v>8</v>
      </c>
      <c r="F57" t="str">
        <v>Arthur Wú</v>
      </c>
      <c r="G57">
        <v>1</v>
      </c>
      <c r="H57">
        <v>8</v>
      </c>
      <c r="I57">
        <v>2.4</v>
      </c>
      <c r="J57">
        <v>10.4</v>
      </c>
      <c r="R57" t="str">
        <v/>
      </c>
      <c r="S57" t="str">
        <v/>
      </c>
      <c r="T57">
        <v>110</v>
      </c>
      <c r="X57" t="s">
        <v>2919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2026-015</v>
      </c>
      <c r="C58" t="str">
        <v>Realizado</v>
      </c>
      <c r="D58" t="str">
        <v>Introdução à Engenharia de Prompt - t2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2919</v>
      </c>
      <c r="Y58" s="110" t="s">
        <v>3018</v>
      </c>
      <c r="Z58">
        <v>0</v>
      </c>
      <c r="AA58">
        <v>0</v>
      </c>
    </row>
    <row r="59" spans="1:27" x14ac:dyDescent="0.25">
      <c r="A59">
        <v>2026</v>
      </c>
      <c r="B59" t="str">
        <v>2026-015</v>
      </c>
      <c r="C59" t="str">
        <v>Realizado</v>
      </c>
      <c r="D59" t="str">
        <v>Introdução à Engenharia de Prompt - t2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2919</v>
      </c>
      <c r="Y59" t="s">
        <v>3017</v>
      </c>
      <c r="Z59">
        <v>8</v>
      </c>
      <c r="AA59">
        <v>2.4</v>
      </c>
    </row>
    <row r="60" spans="1:27" x14ac:dyDescent="0.25">
      <c r="A60">
        <v>2026</v>
      </c>
      <c r="B60" t="str">
        <v>2026-024</v>
      </c>
      <c r="C60" t="str">
        <v>Realizado</v>
      </c>
      <c r="D60" t="str">
        <v>Introdução à Engenharia de Prompt - T3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2919</v>
      </c>
      <c r="Y60" t="s">
        <v>3016</v>
      </c>
      <c r="Z60">
        <v>8</v>
      </c>
      <c r="AA60">
        <v>2.4</v>
      </c>
    </row>
    <row r="61" spans="1:27" x14ac:dyDescent="0.25">
      <c r="A61">
        <v>2026</v>
      </c>
      <c r="B61" t="str">
        <v>2026-024</v>
      </c>
      <c r="C61" t="str">
        <v>Realizado</v>
      </c>
      <c r="D61" t="str">
        <v>Introdução à Engenharia de Prompt - T3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2909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2026-036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2.4</v>
      </c>
      <c r="J62">
        <v>10.4</v>
      </c>
      <c r="R62" t="str">
        <v/>
      </c>
      <c r="S62" t="str">
        <v/>
      </c>
      <c r="X62" t="s">
        <v>2909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2026-036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0</v>
      </c>
      <c r="J63">
        <v>8</v>
      </c>
      <c r="R63" t="str">
        <v/>
      </c>
      <c r="S63" t="str">
        <v/>
      </c>
      <c r="X63" t="s">
        <v>2909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2026-038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  <c r="X64" t="s">
        <v>2909</v>
      </c>
      <c r="Y64" t="s">
        <v>3008</v>
      </c>
      <c r="Z64">
        <v>0</v>
      </c>
      <c r="AA64">
        <v>0</v>
      </c>
    </row>
    <row r="65" spans="1:27" x14ac:dyDescent="0.25">
      <c r="A65">
        <v>2026</v>
      </c>
      <c r="B65" t="str">
        <v>2026-016</v>
      </c>
      <c r="C65" t="str">
        <v>Realizado</v>
      </c>
      <c r="D65" t="str">
        <v>Mentoria de introdução à Engenharia de Prompt</v>
      </c>
      <c r="E65">
        <v>2</v>
      </c>
      <c r="F65" t="str">
        <v>Arthur Wú</v>
      </c>
      <c r="G65">
        <v>2</v>
      </c>
      <c r="H65">
        <v>1</v>
      </c>
      <c r="I65">
        <v>0.6</v>
      </c>
      <c r="J65">
        <v>1.6</v>
      </c>
      <c r="R65" t="str">
        <v/>
      </c>
      <c r="S65" t="str">
        <v/>
      </c>
      <c r="X65" t="s">
        <v>2950</v>
      </c>
      <c r="Y65" t="s">
        <v>2879</v>
      </c>
      <c r="Z65">
        <v>0</v>
      </c>
      <c r="AA65">
        <v>34.9</v>
      </c>
    </row>
    <row r="66" spans="1:27" x14ac:dyDescent="0.25">
      <c r="A66">
        <v>2026</v>
      </c>
      <c r="B66" t="str">
        <v>2026-016</v>
      </c>
      <c r="C66" t="str">
        <v>Realizado</v>
      </c>
      <c r="D66" t="str">
        <v>Mentoria de introdução à Engenharia de Prompt</v>
      </c>
      <c r="E66">
        <v>2</v>
      </c>
      <c r="F66" t="str">
        <v>Gustavo Takahashi</v>
      </c>
      <c r="G66">
        <v>2</v>
      </c>
      <c r="H66">
        <v>1</v>
      </c>
      <c r="I66">
        <v>0</v>
      </c>
      <c r="J66">
        <v>1</v>
      </c>
      <c r="R66" t="str">
        <v/>
      </c>
      <c r="S66" t="str">
        <v/>
      </c>
      <c r="X66" t="s">
        <v>2950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2026-017</v>
      </c>
      <c r="C67" t="str">
        <v>Realizado</v>
      </c>
      <c r="D67" t="str">
        <v>Mostra Fotográfica “Meu Olhar sobre Brasília”</v>
      </c>
      <c r="E67">
        <v>0</v>
      </c>
      <c r="F67" t="str">
        <v>Servidores, colaboradores e estagiários do TCDF</v>
      </c>
      <c r="G67">
        <v>1</v>
      </c>
      <c r="H67">
        <v>0</v>
      </c>
      <c r="I67">
        <v>0</v>
      </c>
      <c r="J67">
        <v>0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2026-039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Indio Artiaga do Brasil Rabelo</v>
      </c>
      <c r="G68">
        <v>2</v>
      </c>
      <c r="H68">
        <v>12</v>
      </c>
      <c r="I68">
        <v>3.6</v>
      </c>
      <c r="J68">
        <v>15.6</v>
      </c>
      <c r="R68" t="str">
        <v/>
      </c>
      <c r="S68" t="str">
        <v/>
      </c>
      <c r="X68" t="s">
        <v>2783</v>
      </c>
      <c r="Y68" t="s">
        <v>3006</v>
      </c>
      <c r="Z68">
        <v>3</v>
      </c>
      <c r="AA68">
        <v>0.9</v>
      </c>
    </row>
    <row r="69" spans="1:27" x14ac:dyDescent="0.25">
      <c r="A69">
        <v>2026</v>
      </c>
      <c r="B69" t="str">
        <v>2026-039</v>
      </c>
      <c r="C69" t="str">
        <v>Realizado</v>
      </c>
      <c r="D69" t="str">
        <v>MROSC para os gestores das Organizações da Sociedade Civil – OSCs</v>
      </c>
      <c r="E69">
        <v>12</v>
      </c>
      <c r="F69" t="str">
        <v>Leonardo de Melo</v>
      </c>
      <c r="G69">
        <v>2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2710</v>
      </c>
      <c r="Z69">
        <v>0</v>
      </c>
      <c r="AA69">
        <v>0</v>
      </c>
    </row>
    <row r="70" spans="1:27" x14ac:dyDescent="0.25">
      <c r="A70">
        <v>2026</v>
      </c>
      <c r="B70" t="str">
        <v>2026-041</v>
      </c>
      <c r="C70" t="str">
        <v>Realizado</v>
      </c>
      <c r="D70" t="str">
        <v>O novo olhar sobre as políticas públicas para o Controle Externo</v>
      </c>
      <c r="E70">
        <v>24</v>
      </c>
      <c r="F70" t="str">
        <v>Reinaldo Alencar</v>
      </c>
      <c r="G70">
        <v>2</v>
      </c>
      <c r="H70">
        <v>24</v>
      </c>
      <c r="I70">
        <v>3.5999999999999996</v>
      </c>
      <c r="J70">
        <v>27.6</v>
      </c>
      <c r="R70" t="str">
        <v/>
      </c>
      <c r="S70" t="str">
        <v/>
      </c>
      <c r="X70" t="s">
        <v>2842</v>
      </c>
      <c r="Y70" s="18" t="s">
        <v>2730</v>
      </c>
      <c r="AA70">
        <v>2.4</v>
      </c>
    </row>
    <row r="71" spans="1:27" x14ac:dyDescent="0.25">
      <c r="A71">
        <v>2026</v>
      </c>
      <c r="B71" t="str">
        <v>2026-041</v>
      </c>
      <c r="C71" t="str">
        <v>Realizado</v>
      </c>
      <c r="D71" t="str">
        <v>O novo olhar sobre as políticas públicas para o Controle Externo</v>
      </c>
      <c r="E71">
        <v>24</v>
      </c>
      <c r="F71" t="str">
        <v>Rogério Ribeiro</v>
      </c>
      <c r="G71">
        <v>2</v>
      </c>
      <c r="H71">
        <v>24</v>
      </c>
      <c r="I71">
        <v>3.5999999999999996</v>
      </c>
      <c r="J71">
        <v>27.6</v>
      </c>
      <c r="R71" t="str">
        <v/>
      </c>
      <c r="S71" t="str">
        <v/>
      </c>
      <c r="X71" t="s">
        <v>2842</v>
      </c>
      <c r="Y71" s="18" t="s">
        <v>2990</v>
      </c>
      <c r="AA71">
        <v>0</v>
      </c>
    </row>
    <row r="72" spans="1:27" x14ac:dyDescent="0.25">
      <c r="A72">
        <v>2026</v>
      </c>
      <c r="B72" t="str">
        <v>2026-053</v>
      </c>
      <c r="C72" t="str">
        <v>A realizar</v>
      </c>
      <c r="D72" t="str">
        <v>Oficina Temática - SEMAT: Aditivos na Contratação Integrada de obras e serviços de engenharia</v>
      </c>
      <c r="E72">
        <v>4</v>
      </c>
      <c r="F72" t="str">
        <v>Douglas Vieira Silva Filho</v>
      </c>
      <c r="G72">
        <v>2</v>
      </c>
      <c r="H72">
        <v>4</v>
      </c>
      <c r="I72">
        <v>1.2</v>
      </c>
      <c r="J72">
        <v>5.2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2026-053</v>
      </c>
      <c r="C73" t="str">
        <v>A realizar</v>
      </c>
      <c r="D73" t="str">
        <v>Oficina Temática - SEMAT: Aditivos na Contratação Integrada de obras e serviços de engenharia</v>
      </c>
      <c r="E73">
        <v>4</v>
      </c>
      <c r="F73" t="str">
        <v>Silvia Lima Damasceno Carvalho</v>
      </c>
      <c r="G73">
        <v>2</v>
      </c>
      <c r="H73">
        <v>4</v>
      </c>
      <c r="I73">
        <v>1.2</v>
      </c>
      <c r="J73">
        <v>5.2</v>
      </c>
      <c r="R73" t="str">
        <v/>
      </c>
      <c r="S73" t="str">
        <v/>
      </c>
      <c r="X73" t="s">
        <v>2849</v>
      </c>
      <c r="Y73" t="s">
        <v>2995</v>
      </c>
      <c r="Z73">
        <v>0</v>
      </c>
      <c r="AA73">
        <v>0</v>
      </c>
    </row>
    <row r="74" spans="1:27" x14ac:dyDescent="0.25">
      <c r="A74">
        <v>2026</v>
      </c>
      <c r="B74" t="str">
        <v>2026-051</v>
      </c>
      <c r="C74" t="str">
        <v>A realizar</v>
      </c>
      <c r="D74" t="str">
        <v>Oficina Temática – SEMAT: Controle Tecnológico de obras e serviços de engenharia</v>
      </c>
      <c r="E74">
        <v>4</v>
      </c>
      <c r="F74" t="str">
        <v>Silvia Lima Damasceno Carvalho</v>
      </c>
      <c r="G74">
        <v>2</v>
      </c>
      <c r="H74">
        <v>4</v>
      </c>
      <c r="I74">
        <v>1.2</v>
      </c>
      <c r="J74">
        <v>5.2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2026-051</v>
      </c>
      <c r="C75" t="str">
        <v>A realizar</v>
      </c>
      <c r="D75" t="str">
        <v>Oficina Temática – SEMAT: Controle Tecnológico de obras e serviços de engenharia</v>
      </c>
      <c r="E75">
        <v>4</v>
      </c>
      <c r="F75" t="str">
        <v>Marcelo Silva Santana</v>
      </c>
      <c r="G75">
        <v>2</v>
      </c>
      <c r="H75">
        <v>4</v>
      </c>
      <c r="I75">
        <v>1.2</v>
      </c>
      <c r="J75">
        <v>5.2</v>
      </c>
      <c r="R75" t="str">
        <v/>
      </c>
      <c r="S75" t="str">
        <v/>
      </c>
      <c r="X75" t="s">
        <v>2873</v>
      </c>
      <c r="Y75" t="s">
        <v>2710</v>
      </c>
      <c r="Z75">
        <v>0</v>
      </c>
      <c r="AA75">
        <v>0</v>
      </c>
    </row>
    <row r="76" spans="1:27" x14ac:dyDescent="0.25">
      <c r="A76">
        <v>2026</v>
      </c>
      <c r="B76" t="str">
        <v>2026-046</v>
      </c>
      <c r="C76" t="str">
        <v>A realizar</v>
      </c>
      <c r="D76" t="str">
        <v>Oficina Temática – SEMAT: Falhas recorrentes em contratações de TI</v>
      </c>
      <c r="E76">
        <v>8</v>
      </c>
      <c r="F76" t="str">
        <v>Felipe da Costa Malaquias</v>
      </c>
      <c r="G76">
        <v>1</v>
      </c>
      <c r="H76">
        <v>8</v>
      </c>
      <c r="I76">
        <v>2.4</v>
      </c>
      <c r="J76">
        <v>10.4</v>
      </c>
      <c r="R76" t="str">
        <v/>
      </c>
      <c r="S76" t="str">
        <v/>
      </c>
      <c r="X76" t="s">
        <v>2888</v>
      </c>
      <c r="Y76" t="s">
        <v>942</v>
      </c>
      <c r="AA76">
        <v>1.2</v>
      </c>
    </row>
    <row r="77" spans="1:27" x14ac:dyDescent="0.25">
      <c r="A77">
        <v>2026</v>
      </c>
      <c r="B77" t="str">
        <v>2026-068</v>
      </c>
      <c r="C77" t="str">
        <v>A realizar</v>
      </c>
      <c r="D77" t="str">
        <v>Oficina Temática - SEMAT: Matriz de Riscos em contratos de obras e serviços de engenharia</v>
      </c>
      <c r="E77">
        <v>4</v>
      </c>
      <c r="F77" t="str">
        <v>Silvia Lima Damasceno Carvalho</v>
      </c>
      <c r="G77">
        <v>2</v>
      </c>
      <c r="H77">
        <v>4</v>
      </c>
      <c r="I77">
        <v>1.2</v>
      </c>
      <c r="J77">
        <v>5.2</v>
      </c>
      <c r="R77" t="str">
        <v/>
      </c>
      <c r="S77" t="str">
        <v/>
      </c>
      <c r="X77" t="s">
        <v>2888</v>
      </c>
      <c r="Y77" t="s">
        <v>3009</v>
      </c>
      <c r="AA77">
        <v>1.2</v>
      </c>
    </row>
    <row r="78" spans="1:27" x14ac:dyDescent="0.25">
      <c r="A78">
        <v>2026</v>
      </c>
      <c r="B78" t="str">
        <v>2026-068</v>
      </c>
      <c r="C78" t="str">
        <v>A realizar</v>
      </c>
      <c r="D78" t="str">
        <v>Oficina Temática - SEMAT: Matriz de Riscos em contratos de obras e serviços de engenharia</v>
      </c>
      <c r="E78">
        <v>4</v>
      </c>
      <c r="F78" t="str">
        <v>Renan Dias da Silva</v>
      </c>
      <c r="G78">
        <v>2</v>
      </c>
      <c r="H78">
        <v>4</v>
      </c>
      <c r="I78">
        <v>1.2</v>
      </c>
      <c r="J78">
        <v>5.2</v>
      </c>
      <c r="R78" t="str">
        <v/>
      </c>
      <c r="S78" t="str">
        <v/>
      </c>
      <c r="X78" t="s">
        <v>2896</v>
      </c>
      <c r="Y78" t="s">
        <v>942</v>
      </c>
      <c r="AA78">
        <v>1.2</v>
      </c>
    </row>
    <row r="79" spans="1:27" x14ac:dyDescent="0.25">
      <c r="A79">
        <v>2026</v>
      </c>
      <c r="B79" t="str">
        <v>2026-047</v>
      </c>
      <c r="C79" t="str">
        <v>A realizar</v>
      </c>
      <c r="D79" t="str">
        <v>Oficina Temática - SEMAT: MROSC para servidores do GDF</v>
      </c>
      <c r="E79">
        <v>4</v>
      </c>
      <c r="F79" t="str">
        <v>Indio Artiaga do Brasil Rabelo</v>
      </c>
      <c r="G79">
        <v>2</v>
      </c>
      <c r="H79">
        <v>4</v>
      </c>
      <c r="I79">
        <v>1.2</v>
      </c>
      <c r="J79">
        <v>5.2</v>
      </c>
      <c r="R79" t="str">
        <v/>
      </c>
      <c r="S79" t="str">
        <v/>
      </c>
      <c r="X79" t="s">
        <v>2896</v>
      </c>
      <c r="Y79" t="s">
        <v>3013</v>
      </c>
      <c r="AA79">
        <v>1.2</v>
      </c>
    </row>
    <row r="80" spans="1:27" x14ac:dyDescent="0.25">
      <c r="A80">
        <v>2026</v>
      </c>
      <c r="B80" t="str">
        <v>2026-047</v>
      </c>
      <c r="C80" t="str">
        <v>A realizar</v>
      </c>
      <c r="D80" t="str">
        <v>Oficina Temática - SEMAT: MROSC para servidores do GDF</v>
      </c>
      <c r="E80">
        <v>4</v>
      </c>
      <c r="F80" t="str">
        <v>Leonardo de Melo</v>
      </c>
      <c r="G80">
        <v>2</v>
      </c>
      <c r="H80">
        <v>0</v>
      </c>
      <c r="I80">
        <v>0</v>
      </c>
      <c r="J80">
        <v>0</v>
      </c>
      <c r="R80" t="str">
        <v/>
      </c>
      <c r="S80" t="str">
        <v/>
      </c>
      <c r="X80" t="s">
        <v>2900</v>
      </c>
      <c r="Y80" t="s">
        <v>3010</v>
      </c>
      <c r="AA80">
        <v>1.2</v>
      </c>
    </row>
    <row r="81" spans="1:27" x14ac:dyDescent="0.25">
      <c r="A81">
        <v>2026</v>
      </c>
      <c r="B81" t="str">
        <v>2026-049</v>
      </c>
      <c r="C81" t="str">
        <v>A realizar</v>
      </c>
      <c r="D81" t="str">
        <v>Oficina Temática - SEMAT: Pesquisa de Preços em contratos de obras e serviços de engenharia</v>
      </c>
      <c r="E81">
        <v>4</v>
      </c>
      <c r="F81" t="str">
        <v>Silvia Lima Damasceno Carvalho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2905</v>
      </c>
      <c r="Y81" t="s">
        <v>942</v>
      </c>
      <c r="AA81">
        <v>1.2</v>
      </c>
    </row>
    <row r="82" spans="1:27" x14ac:dyDescent="0.25">
      <c r="A82">
        <v>2026</v>
      </c>
      <c r="B82" t="str">
        <v>2026-049</v>
      </c>
      <c r="C82" t="str">
        <v>A realizar</v>
      </c>
      <c r="D82" t="str">
        <v>Oficina Temática - SEMAT: Pesquisa de Preços em contratos de obras e serviços de engenharia</v>
      </c>
      <c r="E82">
        <v>4</v>
      </c>
      <c r="F82" t="str">
        <v>Wibys Pereira</v>
      </c>
      <c r="G82">
        <v>2</v>
      </c>
      <c r="H82">
        <v>4</v>
      </c>
      <c r="I82">
        <v>1.2</v>
      </c>
      <c r="J82">
        <v>5.2</v>
      </c>
      <c r="R82" t="str">
        <v/>
      </c>
      <c r="S82" t="str">
        <v/>
      </c>
      <c r="X82" t="s">
        <v>2905</v>
      </c>
      <c r="Y82" t="s">
        <v>3014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2026-043</v>
      </c>
      <c r="C85" t="str">
        <v>Realizado</v>
      </c>
      <c r="D85" t="str">
        <v>Painel MROSC</v>
      </c>
      <c r="E85">
        <v>4</v>
      </c>
      <c r="F85" t="str">
        <v>Diversos</v>
      </c>
      <c r="G85">
        <v>1</v>
      </c>
      <c r="H85">
        <v>0</v>
      </c>
      <c r="I85">
        <v>0</v>
      </c>
      <c r="J85">
        <v>0</v>
      </c>
      <c r="R85" t="str">
        <v/>
      </c>
      <c r="S85" t="str">
        <v/>
      </c>
    </row>
    <row r="86" spans="1:27" x14ac:dyDescent="0.25">
      <c r="A86">
        <v>2026</v>
      </c>
      <c r="B86" t="str">
        <v>2026-007</v>
      </c>
      <c r="C86" t="str">
        <v>Realizado</v>
      </c>
      <c r="D86" t="str">
        <v>Planilhas de Terceirização de Mão de Obra, de acordo com a Lei nº 14.133/2021 - T1</v>
      </c>
      <c r="E86">
        <v>20</v>
      </c>
      <c r="F86" t="str">
        <v>Leonardo José Alves Leal Neri</v>
      </c>
      <c r="G86">
        <v>1</v>
      </c>
      <c r="H86">
        <v>20</v>
      </c>
      <c r="I86">
        <v>6</v>
      </c>
      <c r="J86">
        <v>26</v>
      </c>
      <c r="R86" t="str">
        <v/>
      </c>
      <c r="S86" t="str">
        <v/>
      </c>
    </row>
    <row r="87" spans="1:27" x14ac:dyDescent="0.25">
      <c r="A87">
        <v>2026</v>
      </c>
      <c r="B87" t="str">
        <v>2026-010</v>
      </c>
      <c r="C87" t="str">
        <v>Realizado</v>
      </c>
      <c r="D87" t="str">
        <v>Planilhas de Terceirização de Mão de Obra, de acordo com a Lei nº 14.133/2021 - T2</v>
      </c>
      <c r="E87">
        <v>20</v>
      </c>
      <c r="F87" t="str">
        <v>Leonardo José Alves Leal Neri</v>
      </c>
      <c r="G87">
        <v>1</v>
      </c>
      <c r="H87">
        <v>20</v>
      </c>
      <c r="I87">
        <v>6</v>
      </c>
      <c r="J87">
        <v>26</v>
      </c>
      <c r="R87" t="str">
        <v/>
      </c>
      <c r="S87" t="str">
        <v/>
      </c>
    </row>
    <row r="88" spans="1:27" x14ac:dyDescent="0.25">
      <c r="A88">
        <v>2026</v>
      </c>
      <c r="B88" t="str">
        <v>2026-055</v>
      </c>
      <c r="C88" t="str">
        <v>A realizar</v>
      </c>
      <c r="D88" t="str">
        <v>TCendo o Futuro</v>
      </c>
      <c r="E88">
        <v>4</v>
      </c>
      <c r="F88" t="str">
        <v>0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2026-056</v>
      </c>
      <c r="C89" t="str">
        <v>A realizar</v>
      </c>
      <c r="D89" t="str">
        <v>TCendo o Futuro</v>
      </c>
      <c r="E89">
        <v>4</v>
      </c>
      <c r="F89" t="str">
        <v>0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2026-059</v>
      </c>
      <c r="C90" t="str">
        <v>A realizar</v>
      </c>
      <c r="D90" t="str">
        <v>TCendo o Futuro</v>
      </c>
      <c r="E90">
        <v>4</v>
      </c>
      <c r="F90" t="str">
        <v>0</v>
      </c>
      <c r="G90">
        <v>1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2026-060</v>
      </c>
      <c r="C91" t="str">
        <v>A realizar</v>
      </c>
      <c r="D91" t="str">
        <v>TCendo o Futuro</v>
      </c>
      <c r="E91">
        <v>4</v>
      </c>
      <c r="F91" t="str">
        <v>0</v>
      </c>
      <c r="G91">
        <v>1</v>
      </c>
      <c r="H91">
        <v>4</v>
      </c>
      <c r="I91">
        <v>1.2</v>
      </c>
      <c r="J91">
        <v>5.2</v>
      </c>
      <c r="R91" t="str">
        <v/>
      </c>
      <c r="S91" t="str">
        <v/>
      </c>
    </row>
    <row r="92" spans="1:27" x14ac:dyDescent="0.25">
      <c r="A92">
        <v>2026</v>
      </c>
      <c r="B92" t="str">
        <v>2026-061</v>
      </c>
      <c r="C92" t="str">
        <v>A realizar</v>
      </c>
      <c r="D92" t="str">
        <v>TCendo o Futuro</v>
      </c>
      <c r="E92">
        <v>4</v>
      </c>
      <c r="F92" t="str">
        <v>0</v>
      </c>
      <c r="G92">
        <v>1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2026-062</v>
      </c>
      <c r="C93" t="str">
        <v>A realizar</v>
      </c>
      <c r="D93" t="str">
        <v>TCendo o Futuro</v>
      </c>
      <c r="E93">
        <v>4</v>
      </c>
      <c r="F93" t="str">
        <v>0</v>
      </c>
      <c r="G93">
        <v>1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2026-002</v>
      </c>
      <c r="C94" t="str">
        <v>Realizado</v>
      </c>
      <c r="D94" t="str">
        <v>Tcendo o Futuro - Edição Especial Filhos</v>
      </c>
      <c r="E94">
        <v>4</v>
      </c>
      <c r="F94" t="str">
        <v>Cinthia Thais de Carvalho Luz Thomazi</v>
      </c>
      <c r="G94">
        <v>5</v>
      </c>
      <c r="H94">
        <v>4</v>
      </c>
      <c r="I94">
        <v>1.2</v>
      </c>
      <c r="J94">
        <v>5.2</v>
      </c>
      <c r="R94" t="str">
        <v/>
      </c>
      <c r="S94" t="str">
        <v/>
      </c>
    </row>
    <row r="95" spans="1:27" x14ac:dyDescent="0.25">
      <c r="A95">
        <v>2026</v>
      </c>
      <c r="B95" t="str">
        <v>2026-002</v>
      </c>
      <c r="C95" t="str">
        <v>Realizado</v>
      </c>
      <c r="D95" t="str">
        <v>Tcendo o Futuro - Edição Especial Filhos</v>
      </c>
      <c r="E95">
        <v>4</v>
      </c>
      <c r="F95" t="str">
        <v>Adriana Cuoco Portugal</v>
      </c>
      <c r="G95">
        <v>5</v>
      </c>
      <c r="H95">
        <v>4</v>
      </c>
      <c r="I95">
        <v>1.2</v>
      </c>
      <c r="J95">
        <v>5.2</v>
      </c>
      <c r="R95" t="str">
        <v/>
      </c>
      <c r="S95" t="str">
        <v/>
      </c>
    </row>
    <row r="96" spans="1:27" x14ac:dyDescent="0.25">
      <c r="A96">
        <v>2026</v>
      </c>
      <c r="B96" t="str">
        <v>2026-002</v>
      </c>
      <c r="C96" t="str">
        <v>Realizado</v>
      </c>
      <c r="D96" t="str">
        <v>Tcendo o Futuro - Edição Especial Filhos</v>
      </c>
      <c r="E96">
        <v>4</v>
      </c>
      <c r="F96" t="str">
        <v>Fernanda Viana de Souza</v>
      </c>
      <c r="G96">
        <v>5</v>
      </c>
      <c r="H96">
        <v>4</v>
      </c>
      <c r="I96">
        <v>1.2</v>
      </c>
      <c r="J96">
        <v>5.2</v>
      </c>
      <c r="R96" t="str">
        <v/>
      </c>
      <c r="S96" t="str">
        <v/>
      </c>
    </row>
    <row r="97" spans="1:19" x14ac:dyDescent="0.25">
      <c r="A97">
        <v>2026</v>
      </c>
      <c r="B97" t="str">
        <v>2026-002</v>
      </c>
      <c r="C97" t="str">
        <v>Realizado</v>
      </c>
      <c r="D97" t="str">
        <v>Tcendo o Futuro - Edição Especial Filhos</v>
      </c>
      <c r="E97">
        <v>4</v>
      </c>
      <c r="F97" t="str">
        <v>Denise Duarte Guirra Kuhlmann</v>
      </c>
      <c r="G97">
        <v>5</v>
      </c>
      <c r="H97">
        <v>4</v>
      </c>
      <c r="I97">
        <v>1.2</v>
      </c>
      <c r="J97">
        <v>5.2</v>
      </c>
      <c r="R97" t="str">
        <v/>
      </c>
      <c r="S97" t="str">
        <v/>
      </c>
    </row>
    <row r="98" spans="1:19" x14ac:dyDescent="0.25">
      <c r="A98">
        <v>2026</v>
      </c>
      <c r="B98" t="str">
        <v>2026-002</v>
      </c>
      <c r="C98" t="str">
        <v>Realizado</v>
      </c>
      <c r="D98" t="str">
        <v>Tcendo o Futuro - Edição Especial Filhos</v>
      </c>
      <c r="E98">
        <v>4</v>
      </c>
      <c r="F98" t="str">
        <v>Priscila Nolasco de Oliveira</v>
      </c>
      <c r="G98">
        <v>5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2026-018</v>
      </c>
      <c r="C99" t="str">
        <v>Realizado</v>
      </c>
      <c r="D99" t="str">
        <v>Tcendo o Futuro 1</v>
      </c>
      <c r="E99">
        <v>4</v>
      </c>
      <c r="F99" t="str">
        <v>Cinthia Thais de Carvalho Luz Thomazi</v>
      </c>
      <c r="G99">
        <v>5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2026-018</v>
      </c>
      <c r="C100" t="str">
        <v>Realizado</v>
      </c>
      <c r="D100" t="str">
        <v>Tcendo o Futuro 1</v>
      </c>
      <c r="E100">
        <v>4</v>
      </c>
      <c r="F100" t="str">
        <v>Adriana Cuoco Portugal</v>
      </c>
      <c r="G100">
        <v>5</v>
      </c>
      <c r="H100">
        <v>4</v>
      </c>
      <c r="I100">
        <v>1.2</v>
      </c>
      <c r="J100">
        <v>5.2</v>
      </c>
      <c r="R100" t="str">
        <v/>
      </c>
      <c r="S100" t="str">
        <v/>
      </c>
    </row>
    <row r="101" spans="1:19" x14ac:dyDescent="0.25">
      <c r="A101">
        <v>2026</v>
      </c>
      <c r="B101" t="str">
        <v>2026-018</v>
      </c>
      <c r="C101" t="str">
        <v>Realizado</v>
      </c>
      <c r="D101" t="str">
        <v>Tcendo o Futuro 1</v>
      </c>
      <c r="E101">
        <v>4</v>
      </c>
      <c r="F101" t="str">
        <v>Fernanda Viana de Souza</v>
      </c>
      <c r="G101">
        <v>5</v>
      </c>
      <c r="H101">
        <v>4</v>
      </c>
      <c r="I101">
        <v>1.2</v>
      </c>
      <c r="J101">
        <v>5.2</v>
      </c>
      <c r="R101" t="str">
        <v/>
      </c>
      <c r="S101" t="str">
        <v/>
      </c>
    </row>
    <row r="102" spans="1:19" x14ac:dyDescent="0.25">
      <c r="A102">
        <v>2026</v>
      </c>
      <c r="B102" t="str">
        <v>2026-018</v>
      </c>
      <c r="C102" t="str">
        <v>Realizado</v>
      </c>
      <c r="D102" t="str">
        <v>Tcendo o Futuro 1</v>
      </c>
      <c r="E102">
        <v>4</v>
      </c>
      <c r="F102" t="str">
        <v>Denise Duarte Guirra Kuhlmann</v>
      </c>
      <c r="G102">
        <v>5</v>
      </c>
      <c r="H102">
        <v>4</v>
      </c>
      <c r="I102">
        <v>1.2</v>
      </c>
      <c r="J102">
        <v>5.2</v>
      </c>
      <c r="R102" t="str">
        <v/>
      </c>
      <c r="S102" t="str">
        <v/>
      </c>
    </row>
    <row r="103" spans="1:19" x14ac:dyDescent="0.25">
      <c r="A103">
        <v>2026</v>
      </c>
      <c r="B103" t="str">
        <v>2026-018</v>
      </c>
      <c r="C103" t="str">
        <v>Realizado</v>
      </c>
      <c r="D103" t="str">
        <v>Tcendo o Futuro 1</v>
      </c>
      <c r="E103">
        <v>4</v>
      </c>
      <c r="F103" t="str">
        <v>Priscila Nolasco de Oliveira</v>
      </c>
      <c r="G103">
        <v>5</v>
      </c>
      <c r="H103">
        <v>4</v>
      </c>
      <c r="I103">
        <v>1.2</v>
      </c>
      <c r="J103">
        <v>5.2</v>
      </c>
      <c r="R103" t="str">
        <v/>
      </c>
      <c r="S103" t="str">
        <v/>
      </c>
    </row>
    <row r="104" spans="1:19" x14ac:dyDescent="0.25">
      <c r="A104">
        <v>2026</v>
      </c>
      <c r="B104" t="str">
        <v>2026-023</v>
      </c>
      <c r="C104" t="str">
        <v>Realizado</v>
      </c>
      <c r="D104" t="str">
        <v>Tcendo o Futuro 2</v>
      </c>
      <c r="E104">
        <v>4</v>
      </c>
      <c r="F104" t="str">
        <v>Cinthia Thais de Carvalho Luz Thomazi</v>
      </c>
      <c r="G104">
        <v>5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2026-023</v>
      </c>
      <c r="C105" t="str">
        <v>Realizado</v>
      </c>
      <c r="D105" t="str">
        <v>Tcendo o Futuro 2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2026-023</v>
      </c>
      <c r="C106" t="str">
        <v>Realizado</v>
      </c>
      <c r="D106" t="str">
        <v>Tcendo o Futuro 2</v>
      </c>
      <c r="E106">
        <v>4</v>
      </c>
      <c r="F106" t="str">
        <v>Fernanda Viana de Souza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2026-023</v>
      </c>
      <c r="C107" t="str">
        <v>Realizado</v>
      </c>
      <c r="D107" t="str">
        <v>Tcendo o Futuro 2</v>
      </c>
      <c r="E107">
        <v>4</v>
      </c>
      <c r="F107" t="str">
        <v>Denise Duarte Guirra Kuhlmann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2026-023</v>
      </c>
      <c r="C108" t="str">
        <v>Realizado</v>
      </c>
      <c r="D108" t="str">
        <v>Tcendo o Futuro 2</v>
      </c>
      <c r="E108">
        <v>4</v>
      </c>
      <c r="F108" t="str">
        <v>Priscila Nolasco de Oliveira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2026-022</v>
      </c>
      <c r="C109" t="str">
        <v>Realizado</v>
      </c>
      <c r="D109" t="str">
        <v>UniTCDF: Ciências Contábeis</v>
      </c>
      <c r="E109">
        <v>3</v>
      </c>
      <c r="F109" t="str">
        <v>Fernanda Viana de Souza</v>
      </c>
      <c r="G109">
        <v>2</v>
      </c>
      <c r="H109">
        <v>3</v>
      </c>
      <c r="I109">
        <v>0.9</v>
      </c>
      <c r="J109">
        <v>3.9</v>
      </c>
      <c r="R109" t="str">
        <v/>
      </c>
      <c r="S109" t="str">
        <v/>
      </c>
    </row>
    <row r="110" spans="1:19" x14ac:dyDescent="0.25">
      <c r="A110">
        <v>2026</v>
      </c>
      <c r="B110" t="str">
        <v>2026-022</v>
      </c>
      <c r="C110" t="str">
        <v>Realizado</v>
      </c>
      <c r="D110" t="str">
        <v>UniTCDF: Ciências Contábeis</v>
      </c>
      <c r="E110">
        <v>3</v>
      </c>
      <c r="F110" t="str">
        <v>Túllio Herbeth Teixeira Moraes</v>
      </c>
      <c r="G110">
        <v>2</v>
      </c>
      <c r="H110">
        <v>3</v>
      </c>
      <c r="I110">
        <v>0.9</v>
      </c>
      <c r="J110">
        <v>3.9</v>
      </c>
      <c r="R110" t="str">
        <v/>
      </c>
      <c r="S110" t="str">
        <v/>
      </c>
    </row>
    <row r="111" spans="1:19" x14ac:dyDescent="0.25">
      <c r="A111">
        <v>2026</v>
      </c>
      <c r="B111" t="str">
        <v>2026-029</v>
      </c>
      <c r="C111" t="str">
        <v>Realizado</v>
      </c>
      <c r="D111" t="str">
        <v>UniTCDF: TCDF e a Fiscalização de Obras</v>
      </c>
      <c r="E111">
        <v>4</v>
      </c>
      <c r="F111" t="str">
        <v>Adriana Cuoco Portugal</v>
      </c>
      <c r="G111">
        <v>1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8" t="s">
        <v>3056</v>
      </c>
      <c r="B1" s="218"/>
      <c r="C1" s="218"/>
      <c r="D1" s="218"/>
      <c r="E1" s="218"/>
      <c r="F1" s="218"/>
      <c r="G1" s="21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19" t="s">
        <v>3057</v>
      </c>
      <c r="B4" s="220"/>
      <c r="D4" s="221" t="s">
        <v>3058</v>
      </c>
      <c r="E4" s="222"/>
      <c r="G4" s="45" t="s">
        <v>3059</v>
      </c>
    </row>
    <row r="5" spans="1:7" ht="54.95" customHeight="1" thickBot="1" x14ac:dyDescent="0.75">
      <c r="A5" s="35">
        <f>COUNTIF('Ações InCompany'!B:B,2026)</f>
        <v>73</v>
      </c>
      <c r="B5" s="36" t="s">
        <v>3060</v>
      </c>
      <c r="D5" s="43">
        <f>COUNTIFS('Ações InCompany'!B:B,2026,'Ações InCompany'!C:C,"Realizado")</f>
        <v>38</v>
      </c>
      <c r="E5" s="44" t="s">
        <v>3060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16" t="s">
        <v>3061</v>
      </c>
      <c r="B8" s="216"/>
      <c r="D8" s="216" t="s">
        <v>3062</v>
      </c>
      <c r="E8" s="216"/>
    </row>
    <row r="9" spans="1:7" ht="5.0999999999999996" customHeight="1" x14ac:dyDescent="0.25">
      <c r="A9" s="217"/>
      <c r="B9" s="217"/>
      <c r="D9" s="217"/>
      <c r="E9" s="217"/>
    </row>
    <row r="10" spans="1:7" ht="24.95" customHeight="1" x14ac:dyDescent="0.25">
      <c r="A10" s="28" t="s">
        <v>5</v>
      </c>
      <c r="B10" s="28" t="s">
        <v>3063</v>
      </c>
      <c r="D10" s="28" t="s">
        <v>3064</v>
      </c>
      <c r="E10" s="28" t="s">
        <v>3065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3066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3067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3068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3069</v>
      </c>
      <c r="B14" s="34">
        <f>SUM(B11:B13)</f>
        <v>38</v>
      </c>
      <c r="D14" s="33" t="s">
        <v>3070</v>
      </c>
      <c r="E14" s="34">
        <f>SUM(E11:E13)</f>
        <v>1839</v>
      </c>
    </row>
    <row r="30" spans="1:5" ht="17.25" x14ac:dyDescent="0.3">
      <c r="A30" s="216" t="s">
        <v>3071</v>
      </c>
      <c r="B30" s="216"/>
      <c r="C30" s="216"/>
      <c r="D30" s="216"/>
      <c r="E30" s="216"/>
    </row>
    <row r="31" spans="1:5" ht="5.0999999999999996" customHeight="1" x14ac:dyDescent="0.25">
      <c r="A31" s="217"/>
      <c r="B31" s="217"/>
      <c r="C31" s="217"/>
      <c r="D31" s="217"/>
      <c r="E31" s="217"/>
    </row>
    <row r="32" spans="1:5" ht="24.95" customHeight="1" x14ac:dyDescent="0.25">
      <c r="A32" s="28" t="s">
        <v>6</v>
      </c>
      <c r="B32" s="28" t="s">
        <v>3072</v>
      </c>
      <c r="C32" s="28" t="s">
        <v>3073</v>
      </c>
      <c r="D32" s="28" t="s">
        <v>3074</v>
      </c>
      <c r="E32" s="28" t="s">
        <v>3075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0.32307692307692309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4.6153846153846156E-2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9.2307692307692313E-2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3.0769230769230771E-2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6.1538461538461542E-2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0.2153846153846154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6.1538461538461542E-2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3.0769230769230771E-2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0.1076923076923077</v>
      </c>
    </row>
    <row r="42" spans="1:5" ht="24" customHeight="1" x14ac:dyDescent="0.25">
      <c r="A42" s="75" t="s">
        <v>3076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3.0769230769230771E-2</v>
      </c>
    </row>
    <row r="44" spans="1:5" ht="24" customHeight="1" x14ac:dyDescent="0.25">
      <c r="A44" s="67" t="s">
        <v>3077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3069</v>
      </c>
      <c r="B45" s="41">
        <f>SUM(B33:B44)</f>
        <v>38</v>
      </c>
      <c r="C45" s="41">
        <f>SUM(C33:C44)</f>
        <v>27</v>
      </c>
      <c r="D45" s="41">
        <f>SUM(D33:D44)</f>
        <v>65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3083</v>
      </c>
      <c r="B2" s="12" t="s">
        <v>3084</v>
      </c>
      <c r="C2" s="12" t="s">
        <v>1736</v>
      </c>
      <c r="D2" s="12" t="s">
        <v>3085</v>
      </c>
      <c r="E2" s="12" t="s">
        <v>3086</v>
      </c>
    </row>
    <row r="3" spans="1:5" ht="18" customHeight="1" x14ac:dyDescent="0.25">
      <c r="A3" s="12" t="s">
        <v>3083</v>
      </c>
      <c r="B3" s="12" t="s">
        <v>3084</v>
      </c>
      <c r="C3" s="14" t="s">
        <v>25</v>
      </c>
      <c r="D3" s="12" t="s">
        <v>3087</v>
      </c>
      <c r="E3" s="12" t="s">
        <v>3088</v>
      </c>
    </row>
    <row r="4" spans="1:5" ht="18" customHeight="1" x14ac:dyDescent="0.25">
      <c r="A4" s="12" t="s">
        <v>3083</v>
      </c>
      <c r="B4" s="12" t="s">
        <v>3084</v>
      </c>
      <c r="C4" s="12" t="s">
        <v>75</v>
      </c>
      <c r="D4" s="12" t="s">
        <v>3085</v>
      </c>
      <c r="E4" s="12" t="s">
        <v>3089</v>
      </c>
    </row>
    <row r="5" spans="1:5" ht="18" customHeight="1" x14ac:dyDescent="0.25">
      <c r="A5" s="12" t="s">
        <v>3083</v>
      </c>
      <c r="B5" s="12" t="s">
        <v>3084</v>
      </c>
      <c r="C5" s="12" t="s">
        <v>79</v>
      </c>
      <c r="D5" s="12" t="s">
        <v>3090</v>
      </c>
      <c r="E5" s="12" t="s">
        <v>3091</v>
      </c>
    </row>
    <row r="6" spans="1:5" ht="18" customHeight="1" x14ac:dyDescent="0.25">
      <c r="A6" s="12" t="s">
        <v>3083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3083</v>
      </c>
      <c r="B7" s="12" t="s">
        <v>3094</v>
      </c>
      <c r="C7" s="12" t="s">
        <v>36</v>
      </c>
      <c r="D7" s="12" t="s">
        <v>3095</v>
      </c>
      <c r="E7" s="12" t="s">
        <v>3096</v>
      </c>
    </row>
    <row r="8" spans="1:5" ht="18" customHeight="1" x14ac:dyDescent="0.25">
      <c r="A8" s="12" t="s">
        <v>3083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3083</v>
      </c>
      <c r="B9" s="12" t="s">
        <v>3099</v>
      </c>
      <c r="C9" s="12" t="s">
        <v>464</v>
      </c>
      <c r="D9" s="12" t="s">
        <v>3100</v>
      </c>
      <c r="E9" s="12" t="s">
        <v>3101</v>
      </c>
    </row>
    <row r="10" spans="1:5" ht="18" customHeight="1" x14ac:dyDescent="0.25">
      <c r="A10" s="12" t="s">
        <v>3083</v>
      </c>
      <c r="B10" s="12" t="s">
        <v>3099</v>
      </c>
      <c r="C10" s="12" t="s">
        <v>206</v>
      </c>
      <c r="D10" s="12" t="s">
        <v>24</v>
      </c>
      <c r="E10" s="12" t="s">
        <v>3102</v>
      </c>
    </row>
    <row r="11" spans="1:5" ht="18" customHeight="1" x14ac:dyDescent="0.25">
      <c r="A11" s="12" t="s">
        <v>3083</v>
      </c>
      <c r="B11" s="12" t="s">
        <v>3099</v>
      </c>
      <c r="C11" s="12" t="s">
        <v>371</v>
      </c>
      <c r="D11" s="12" t="s">
        <v>24</v>
      </c>
      <c r="E11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3104</v>
      </c>
      <c r="B1" s="5" t="s">
        <v>10</v>
      </c>
      <c r="C1" s="15" t="s">
        <v>3105</v>
      </c>
      <c r="D1" s="15" t="s">
        <v>3028</v>
      </c>
    </row>
    <row r="2" spans="1:4" ht="21" customHeight="1" x14ac:dyDescent="0.25">
      <c r="A2" s="103" t="s">
        <v>24</v>
      </c>
      <c r="B2" s="103" t="s">
        <v>38</v>
      </c>
      <c r="C2" s="12" t="s">
        <v>3106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3107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3109</v>
      </c>
      <c r="B2" s="12" t="s">
        <v>3084</v>
      </c>
      <c r="C2" s="14" t="s">
        <v>25</v>
      </c>
      <c r="D2" s="12" t="s">
        <v>3085</v>
      </c>
      <c r="E2" s="17" t="s">
        <v>3110</v>
      </c>
    </row>
    <row r="3" spans="1:5" ht="18" customHeight="1" x14ac:dyDescent="0.25">
      <c r="A3" s="12" t="s">
        <v>3109</v>
      </c>
      <c r="B3" s="12" t="s">
        <v>3084</v>
      </c>
      <c r="C3" s="12" t="s">
        <v>75</v>
      </c>
      <c r="D3" s="12" t="s">
        <v>3087</v>
      </c>
      <c r="E3" s="12" t="s">
        <v>3111</v>
      </c>
    </row>
    <row r="4" spans="1:5" ht="18" customHeight="1" x14ac:dyDescent="0.25">
      <c r="A4" s="12" t="s">
        <v>3109</v>
      </c>
      <c r="B4" s="12" t="s">
        <v>3084</v>
      </c>
      <c r="C4" s="12" t="s">
        <v>79</v>
      </c>
      <c r="D4" s="12" t="s">
        <v>3090</v>
      </c>
      <c r="E4" s="12" t="s">
        <v>3112</v>
      </c>
    </row>
    <row r="5" spans="1:5" ht="27.75" customHeight="1" x14ac:dyDescent="0.25">
      <c r="A5" s="12" t="s">
        <v>3109</v>
      </c>
      <c r="B5" s="12" t="s">
        <v>3084</v>
      </c>
      <c r="C5" s="12" t="s">
        <v>2702</v>
      </c>
      <c r="D5" s="17" t="s">
        <v>3113</v>
      </c>
      <c r="E5" s="12" t="s">
        <v>3114</v>
      </c>
    </row>
    <row r="6" spans="1:5" ht="18" customHeight="1" x14ac:dyDescent="0.25">
      <c r="A6" s="12" t="s">
        <v>3109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3109</v>
      </c>
      <c r="B7" s="12" t="s">
        <v>3094</v>
      </c>
      <c r="C7" s="12" t="s">
        <v>2728</v>
      </c>
      <c r="D7" s="12" t="s">
        <v>3115</v>
      </c>
      <c r="E7" s="12" t="s">
        <v>3116</v>
      </c>
    </row>
    <row r="8" spans="1:5" ht="18" customHeight="1" x14ac:dyDescent="0.25">
      <c r="A8" s="12" t="s">
        <v>3109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3109</v>
      </c>
      <c r="B9" s="12" t="s">
        <v>3094</v>
      </c>
      <c r="C9" s="12" t="s">
        <v>2708</v>
      </c>
      <c r="D9" s="12" t="s">
        <v>3117</v>
      </c>
      <c r="E9" s="17" t="s">
        <v>3118</v>
      </c>
    </row>
    <row r="10" spans="1:5" ht="18" customHeight="1" x14ac:dyDescent="0.25">
      <c r="A10" s="12" t="s">
        <v>3109</v>
      </c>
      <c r="B10" s="12" t="s">
        <v>3119</v>
      </c>
      <c r="C10" s="12" t="s">
        <v>3076</v>
      </c>
      <c r="D10" s="12" t="s">
        <v>3120</v>
      </c>
      <c r="E10" s="17" t="s">
        <v>3121</v>
      </c>
    </row>
    <row r="11" spans="1:5" ht="18" customHeight="1" x14ac:dyDescent="0.25">
      <c r="A11" s="12" t="s">
        <v>3109</v>
      </c>
      <c r="B11" s="12" t="s">
        <v>3119</v>
      </c>
      <c r="C11" s="12" t="s">
        <v>206</v>
      </c>
      <c r="D11" s="12" t="s">
        <v>24</v>
      </c>
      <c r="E11" s="12" t="s">
        <v>3102</v>
      </c>
    </row>
    <row r="12" spans="1:5" ht="18" customHeight="1" x14ac:dyDescent="0.25">
      <c r="A12" s="12" t="s">
        <v>3109</v>
      </c>
      <c r="B12" s="12" t="s">
        <v>3119</v>
      </c>
      <c r="C12" s="12" t="s">
        <v>371</v>
      </c>
      <c r="D12" s="12" t="s">
        <v>24</v>
      </c>
      <c r="E12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3" t="s">
        <v>3122</v>
      </c>
      <c r="B1" s="223"/>
      <c r="C1" s="223"/>
      <c r="D1" s="223"/>
      <c r="E1" s="223"/>
      <c r="F1" s="223"/>
      <c r="G1" s="223"/>
      <c r="H1" s="223"/>
    </row>
    <row r="2" spans="1:8" x14ac:dyDescent="0.25">
      <c r="A2" s="49" t="s">
        <v>3123</v>
      </c>
    </row>
    <row r="4" spans="1:8" ht="21.95" customHeight="1" x14ac:dyDescent="0.25">
      <c r="A4" s="224" t="s">
        <v>3124</v>
      </c>
      <c r="B4" s="225"/>
      <c r="D4" s="224" t="s">
        <v>3125</v>
      </c>
      <c r="E4" s="225"/>
      <c r="G4" s="224" t="s">
        <v>3126</v>
      </c>
      <c r="H4" s="225"/>
    </row>
    <row r="5" spans="1:8" ht="35.1" customHeight="1" x14ac:dyDescent="0.25">
      <c r="A5" s="228">
        <f>COUNTIF('Ações InCompany'!E:E,"*maratona*")</f>
        <v>13</v>
      </c>
      <c r="B5" s="227"/>
      <c r="D5" s="226">
        <f>SUM(H8:H100)</f>
        <v>1762</v>
      </c>
      <c r="E5" s="227"/>
      <c r="G5" s="226">
        <f>IFERROR(ROUND(D5/A5,0),"-")</f>
        <v>136</v>
      </c>
      <c r="H5" s="227"/>
    </row>
    <row r="6" spans="1:8" ht="9.9499999999999993" customHeight="1" x14ac:dyDescent="0.25"/>
    <row r="7" spans="1:8" ht="24.95" customHeight="1" thickBot="1" x14ac:dyDescent="0.3">
      <c r="A7" s="62" t="s">
        <v>3127</v>
      </c>
      <c r="B7" s="62" t="s">
        <v>3128</v>
      </c>
      <c r="C7" s="62" t="s">
        <v>1</v>
      </c>
      <c r="D7" s="62" t="s">
        <v>3129</v>
      </c>
      <c r="E7" s="62" t="s">
        <v>3130</v>
      </c>
      <c r="F7" s="62" t="s">
        <v>3028</v>
      </c>
      <c r="G7" s="62" t="s">
        <v>5</v>
      </c>
      <c r="H7" s="62" t="s">
        <v>3131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9" t="s">
        <v>3132</v>
      </c>
      <c r="B1" s="229"/>
      <c r="C1" s="229"/>
      <c r="D1" s="229"/>
      <c r="E1" s="229"/>
      <c r="F1" s="229"/>
    </row>
    <row r="2" spans="1:7" x14ac:dyDescent="0.25">
      <c r="A2" s="230" t="s">
        <v>3133</v>
      </c>
      <c r="B2" s="230"/>
      <c r="C2" s="230"/>
      <c r="D2" s="230"/>
      <c r="E2" s="230"/>
      <c r="F2" s="230"/>
    </row>
    <row r="4" spans="1:7" x14ac:dyDescent="0.25">
      <c r="A4" s="25" t="s">
        <v>19</v>
      </c>
      <c r="B4" s="25" t="s">
        <v>3031</v>
      </c>
      <c r="C4" s="25" t="s">
        <v>3032</v>
      </c>
      <c r="D4" s="25" t="s">
        <v>3134</v>
      </c>
      <c r="E4" s="25" t="s">
        <v>3033</v>
      </c>
      <c r="F4" s="25" t="s">
        <v>3135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44.500000000000007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80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156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3070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3136</v>
      </c>
      <c r="B1" s="123" t="s">
        <v>3137</v>
      </c>
      <c r="C1" s="123" t="s">
        <v>3138</v>
      </c>
      <c r="D1" s="123" t="s">
        <v>3139</v>
      </c>
      <c r="E1" s="123" t="s">
        <v>3140</v>
      </c>
      <c r="F1" s="123" t="s">
        <v>3141</v>
      </c>
      <c r="G1" s="123" t="s">
        <v>10</v>
      </c>
      <c r="H1" s="123" t="s">
        <v>3142</v>
      </c>
      <c r="I1" s="123" t="s">
        <v>3143</v>
      </c>
      <c r="J1" s="123" t="s">
        <v>3144</v>
      </c>
      <c r="K1" s="123" t="s">
        <v>3145</v>
      </c>
      <c r="L1" s="123" t="s">
        <v>3146</v>
      </c>
      <c r="N1" s="124" t="s">
        <v>3147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3148</v>
      </c>
      <c r="L2" t="str">
        <f>IF(K2="","",IFERROR(INDEX(Tabela2[Curso],MATCH(K2,Tabela2[ID],0)),""))</f>
        <v/>
      </c>
      <c r="N2" s="123" t="s">
        <v>3027</v>
      </c>
      <c r="O2" s="123" t="s">
        <v>4</v>
      </c>
      <c r="P2" s="123" t="s">
        <v>3149</v>
      </c>
      <c r="Q2" s="123" t="s">
        <v>3150</v>
      </c>
      <c r="R2" s="123" t="s">
        <v>3151</v>
      </c>
      <c r="S2" s="123" t="s">
        <v>3152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3148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3148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3148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3148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3148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3148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3148</v>
      </c>
      <c r="L10" t="str">
        <f>IF(K10="","",IFERROR(INDEX(Tabela2[Curso],MATCH(K10,Tabela2[ID],0)),""))</f>
        <v/>
      </c>
      <c r="N10" s="122" t="s">
        <v>3153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3148</v>
      </c>
      <c r="L11" t="str">
        <f>IF(K11="","",IFERROR(INDEX(Tabela2[Curso],MATCH(K11,Tabela2[ID],0)),""))</f>
        <v/>
      </c>
      <c r="N11" s="125" t="s">
        <v>3154</v>
      </c>
      <c r="O11" s="125" t="s">
        <v>3155</v>
      </c>
      <c r="P11" s="125" t="s">
        <v>3156</v>
      </c>
      <c r="Q11" s="125" t="s">
        <v>3139</v>
      </c>
      <c r="R11" s="125" t="s">
        <v>3140</v>
      </c>
      <c r="S11" s="125" t="s">
        <v>3157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3148</v>
      </c>
      <c r="L12" t="str">
        <f>IF(K12="","",IFERROR(INDEX(Tabela2[Curso],MATCH(K12,Tabela2[ID],0)),""))</f>
        <v/>
      </c>
      <c r="N12" t="s">
        <v>3158</v>
      </c>
      <c r="O12" t="s">
        <v>2778</v>
      </c>
      <c r="P12" t="s">
        <v>3159</v>
      </c>
      <c r="Q12">
        <v>0</v>
      </c>
      <c r="R12">
        <v>0</v>
      </c>
      <c r="S12" t="s">
        <v>3160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3148</v>
      </c>
      <c r="L13" t="str">
        <f>IF(K13="","",IFERROR(INDEX(Tabela2[Curso],MATCH(K13,Tabela2[ID],0)),""))</f>
        <v/>
      </c>
      <c r="N13" t="s">
        <v>3161</v>
      </c>
      <c r="O13" t="s">
        <v>2868</v>
      </c>
      <c r="P13" t="s">
        <v>3162</v>
      </c>
      <c r="Q13">
        <v>0</v>
      </c>
      <c r="R13">
        <v>0</v>
      </c>
      <c r="S13" t="s">
        <v>3163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3148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3148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3148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3148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3148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3148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3148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3148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3148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3148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3148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3148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3148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3148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3148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3148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3148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3148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3148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3148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3148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3148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3148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3148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3148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3148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3148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3148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3148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3148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3148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3148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3148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3148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3148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3148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3148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3148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3148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3148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3148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3148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3148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3148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3148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3148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3148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elements/1.1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fe686eaa-0658-4f15-b230-9e46c4d089fd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2026-08-04T20:22:08Z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