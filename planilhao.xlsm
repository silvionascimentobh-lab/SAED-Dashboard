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31" documentId="8_{454372C2-A99E-4E47-A759-72B38925853E}" xr6:coauthVersionLast="47" xr6:coauthVersionMax="47" xr10:uidLastSave="{A122DF1A-7A23-4128-B1CA-D10C28EBAC6D}"/>
  <bookViews>
    <workbookView xWindow="-12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AE33" i="20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s="1" a="1"/>
  <c r="A5" i="23" l="1" a="1"/>
  <c r="E105" i="23"/>
  <c r="A2" i="20"/>
  <c r="F50" i="23" l="1"/>
  <c r="C50" i="23"/>
  <c r="D50" i="23"/>
  <c r="B50" i="23"/>
  <c r="E50" i="23"/>
  <c r="B49" i="23"/>
  <c r="C49" i="23"/>
  <c r="D49" i="23"/>
  <c r="E49" i="23"/>
  <c r="F49" i="23"/>
  <c r="C48" i="23"/>
  <c r="B48" i="23"/>
  <c r="D48" i="23"/>
  <c r="F48" i="23"/>
  <c r="E48" i="23"/>
  <c r="D47" i="23"/>
  <c r="F47" i="23"/>
  <c r="E47" i="23"/>
  <c r="C47" i="23"/>
  <c r="B47" i="23"/>
  <c r="C33" i="23"/>
  <c r="B26" i="23"/>
  <c r="D18" i="23"/>
  <c r="B46" i="23"/>
  <c r="E8" i="23"/>
  <c r="C43" i="23"/>
  <c r="F6" i="23"/>
  <c r="C25" i="23"/>
  <c r="D8" i="23"/>
  <c r="E10" i="23"/>
  <c r="C21" i="23"/>
  <c r="C6" i="23"/>
  <c r="F14" i="23"/>
  <c r="B21" i="23"/>
  <c r="E6" i="23"/>
  <c r="F12" i="23"/>
  <c r="F31" i="23"/>
  <c r="F20" i="23"/>
  <c r="D23" i="23"/>
  <c r="D15" i="23"/>
  <c r="C38" i="23"/>
  <c r="B30" i="23"/>
  <c r="F37" i="23"/>
  <c r="B6" i="23"/>
  <c r="F35" i="23"/>
  <c r="F40" i="23"/>
  <c r="D27" i="23"/>
  <c r="B24" i="23"/>
  <c r="C12" i="23"/>
  <c r="D14" i="23"/>
  <c r="E12" i="23"/>
  <c r="F18" i="23"/>
  <c r="F26" i="23"/>
  <c r="D25" i="23"/>
  <c r="D44" i="23"/>
  <c r="D12" i="23"/>
  <c r="E9" i="23"/>
  <c r="C27" i="23"/>
  <c r="E18" i="23"/>
  <c r="B29" i="23"/>
  <c r="E35" i="23"/>
  <c r="D36" i="23"/>
  <c r="C20" i="23"/>
  <c r="E31" i="23"/>
  <c r="D6" i="23"/>
  <c r="C23" i="23"/>
  <c r="E32" i="23"/>
  <c r="E14" i="23"/>
  <c r="B17" i="23"/>
  <c r="F23" i="23"/>
  <c r="F30" i="23"/>
  <c r="F9" i="23"/>
  <c r="F38" i="23"/>
  <c r="C42" i="23"/>
  <c r="B7" i="23"/>
  <c r="C9" i="23"/>
  <c r="B32" i="23"/>
  <c r="D26" i="23"/>
  <c r="D21" i="23"/>
  <c r="E38" i="23"/>
  <c r="C13" i="23"/>
  <c r="D7" i="23"/>
  <c r="B43" i="23"/>
  <c r="B27" i="23"/>
  <c r="E36" i="23"/>
  <c r="C44" i="23"/>
  <c r="D20" i="23"/>
  <c r="E40" i="23"/>
  <c r="C19" i="23"/>
  <c r="F44" i="23"/>
  <c r="F28" i="23"/>
  <c r="F24" i="23"/>
  <c r="F10" i="23"/>
  <c r="B45" i="23"/>
  <c r="F25" i="23"/>
  <c r="B35" i="23"/>
  <c r="E22" i="23"/>
  <c r="E45" i="23"/>
  <c r="B36" i="23"/>
  <c r="C18" i="23"/>
  <c r="E17" i="23"/>
  <c r="C37" i="23"/>
  <c r="B34" i="23"/>
  <c r="E25" i="23"/>
  <c r="F42" i="23"/>
  <c r="D19" i="23"/>
  <c r="F8" i="23"/>
  <c r="B13" i="23"/>
  <c r="F11" i="23"/>
  <c r="E26" i="23"/>
  <c r="F19" i="23"/>
  <c r="B14" i="23"/>
  <c r="E46" i="23"/>
  <c r="F43" i="23"/>
  <c r="B42" i="23"/>
  <c r="F17" i="23"/>
  <c r="F41" i="23"/>
  <c r="F32" i="23"/>
  <c r="E7" i="23"/>
  <c r="D32" i="23"/>
  <c r="E28" i="23"/>
  <c r="B28" i="23"/>
  <c r="B11" i="23"/>
  <c r="D39" i="23"/>
  <c r="C39" i="23"/>
  <c r="D13" i="23"/>
  <c r="E20" i="23"/>
  <c r="B9" i="23"/>
  <c r="C26" i="23"/>
  <c r="E19" i="23"/>
  <c r="E13" i="23"/>
  <c r="B22" i="23"/>
  <c r="D40" i="23"/>
  <c r="B16" i="23"/>
  <c r="E27" i="23"/>
  <c r="E37" i="23"/>
  <c r="F13" i="23"/>
  <c r="D38" i="23"/>
  <c r="C11" i="23"/>
  <c r="D30" i="23"/>
  <c r="C29" i="23"/>
  <c r="F33" i="23"/>
  <c r="E42" i="23"/>
  <c r="C36" i="23"/>
  <c r="F46" i="23"/>
  <c r="D9" i="23"/>
  <c r="E30" i="23"/>
  <c r="D46" i="23"/>
  <c r="C24" i="23"/>
  <c r="E15" i="23"/>
  <c r="E21" i="23"/>
  <c r="C41" i="23"/>
  <c r="B12" i="23"/>
  <c r="F27" i="23"/>
  <c r="F7" i="23"/>
  <c r="E39" i="23"/>
  <c r="D24" i="23"/>
  <c r="C34" i="23"/>
  <c r="D29" i="23"/>
  <c r="F36" i="23"/>
  <c r="B23" i="23"/>
  <c r="C16" i="23"/>
  <c r="C31" i="23"/>
  <c r="E24" i="23"/>
  <c r="B33" i="23"/>
  <c r="D45" i="23"/>
  <c r="F16" i="23"/>
  <c r="D11" i="23"/>
  <c r="C28" i="23"/>
  <c r="B15" i="23"/>
  <c r="B31" i="23"/>
  <c r="E29" i="23"/>
  <c r="D42" i="23"/>
  <c r="E43" i="23"/>
  <c r="B44" i="23"/>
  <c r="D43" i="23"/>
  <c r="B25" i="23"/>
  <c r="B39" i="23"/>
  <c r="E11" i="23"/>
  <c r="D31" i="23"/>
  <c r="B20" i="23"/>
  <c r="D35" i="23"/>
  <c r="F45" i="23"/>
  <c r="C32" i="23"/>
  <c r="D41" i="23"/>
  <c r="F29" i="23"/>
  <c r="C40" i="23"/>
  <c r="D22" i="23"/>
  <c r="F39" i="23"/>
  <c r="E33" i="23"/>
  <c r="B8" i="23"/>
  <c r="D34" i="23"/>
  <c r="C7" i="23"/>
  <c r="C8" i="23"/>
  <c r="C22" i="23"/>
  <c r="C30" i="23"/>
  <c r="B38" i="23"/>
  <c r="B10" i="23"/>
  <c r="D28" i="23"/>
  <c r="B19" i="23"/>
  <c r="F22" i="23"/>
  <c r="D17" i="23"/>
  <c r="C15" i="23"/>
  <c r="C17" i="23"/>
  <c r="D33" i="23"/>
  <c r="B37" i="23"/>
  <c r="C14" i="23"/>
  <c r="E41" i="23"/>
  <c r="E44" i="23"/>
  <c r="E16" i="23"/>
  <c r="F21" i="23"/>
  <c r="E34" i="23"/>
  <c r="C35" i="23"/>
  <c r="F34" i="23"/>
  <c r="B41" i="23"/>
  <c r="B18" i="23"/>
  <c r="C46" i="23"/>
  <c r="B40" i="23"/>
  <c r="E23" i="23"/>
  <c r="F15" i="23"/>
  <c r="D10" i="23"/>
  <c r="D16" i="23"/>
  <c r="C45" i="23"/>
  <c r="D37" i="23"/>
  <c r="C10" i="23"/>
  <c r="A5" i="23"/>
  <c r="B5" i="23" l="1"/>
  <c r="B105" i="23" s="1"/>
  <c r="E5" i="23"/>
  <c r="F5" i="23"/>
  <c r="F105" i="23" s="1"/>
  <c r="D5" i="23"/>
  <c r="C5" i="23"/>
  <c r="C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<sst xmlns="http://schemas.openxmlformats.org/spreadsheetml/2006/main" count="6222" uniqueCount="2400">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</sst>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1" totalsRowShown="0">
  <autoFilter ref="A3:D91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opLeftCell="H1" zoomScaleNormal="100" workbookViewId="0">
      <pane ySplit="1" topLeftCell="A706" activePane="bottomLeft" state="frozen"/>
      <selection pane="bottomLeft" activeCell="T719" sqref="T719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2397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2398</v>
      </c>
      <c r="E719" s="244" t="s">
        <v>2399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1"/>
  <sheetViews>
    <sheetView tabSelected="1" topLeftCell="A12" workbookViewId="0">
      <selection activeCell="D92" sqref="D92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101" activePane="bottomLeft" state="frozen"/>
      <selection pane="bottomLeft" activeCell="H128" sqref="H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5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4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5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>
        <v>0</v>
      </c>
      <c r="R54">
        <v>1</v>
      </c>
      <c r="S54">
        <v>124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T55">
        <v>124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0</v>
      </c>
      <c r="G125">
        <v>1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0.31666666666666665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0">IFERROR(_xlfn._xlws.SORT(_xlfn.UNIQUE(_xlfn._xlws.FILTER(_xlfn.VSTACK('GECC 2026'!F2:F200,'GECC 2026'!AD3:AD32),_xlfn.VSTACK('GECC 2026'!F2:F200,'GECC 2026'!AD3:AD32)&lt;&gt;""))),"")</f>
        <v>0</v>
      </c>
      <c r="B5" s="103">
        <f>IF($A5="","",SUMIFS('GECC 2026'!H$2:H$200,'GECC 2026'!F$2:F$200,$A5))</f>
        <v>4</v>
      </c>
      <c r="C5" s="103">
        <f>IF($A5="","",SUMIFS('GECC 2026'!I$2:I$200,'GECC 2026'!F$2:F$200,$A5))</f>
        <v>1.2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5.2</v>
      </c>
      <c r="F5" s="101">
        <f>IF($A5="","",COUNTIFS('GECC 2026'!F$2:F$200,$A5))</f>
        <v>1</v>
      </c>
      <c r="G5" s="101">
        <f>IF($A5="","",COUNTIFS('GECC 2026'!G$2:G$200,$A5))</f>
        <v>0</v>
      </c>
    </row>
    <row r="6" spans="1:7" x14ac:dyDescent="0.25">
      <c r="A6" t="str">
        <v>Adriana Cuoco Portugal</v>
      </c>
      <c r="B6" s="103">
        <f>IF($A6="","",SUMIFS('GECC 2026'!H$2:H$200,'GECC 2026'!F$2:F$200,$A6))</f>
        <v>40</v>
      </c>
      <c r="C6" s="103">
        <f>IF($A6="","",SUMIFS('GECC 2026'!I$2:I$200,'GECC 2026'!F$2:F$200,$A6))</f>
        <v>5.2800000000000011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45.280000000000008</v>
      </c>
      <c r="F6" s="101">
        <f>IF($A6="","",COUNTIFS('GECC 2026'!F$2:F$200,$A6))</f>
        <v>10</v>
      </c>
    </row>
    <row r="7" spans="1:7" x14ac:dyDescent="0.25">
      <c r="A7" t="str">
        <v>Adriana Magalhães</v>
      </c>
      <c r="B7" s="103">
        <f>IF($A7="","",SUMIFS('GECC 2026'!H$2:H$200,'GECC 2026'!F$2:F$200,$A7))</f>
        <v>24</v>
      </c>
      <c r="C7" s="103">
        <f>IF($A7="","",SUMIFS('GECC 2026'!I$2:I$200,'GECC 2026'!F$2:F$200,$A7))</f>
        <v>3.5999999999999996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27.6</v>
      </c>
      <c r="F7" s="101">
        <f>IF($A7="","",COUNTIFS('GECC 2026'!F$2:F$200,$A7))</f>
        <v>2</v>
      </c>
    </row>
    <row r="8" spans="1:7" x14ac:dyDescent="0.25">
      <c r="A8" t="str">
        <v>Alinne Patrícia de Andrade Carvalho</v>
      </c>
      <c r="B8" s="103">
        <f>IF($A8="","",SUMIFS('GECC 2026'!H$2:H$200,'GECC 2026'!F$2:F$200,$A8))</f>
        <v>0</v>
      </c>
      <c r="C8" s="103">
        <f>IF($A8="","",SUMIFS('GECC 2026'!I$2:I$200,'GECC 2026'!F$2:F$200,$A8))</f>
        <v>0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0</v>
      </c>
      <c r="F8" s="101">
        <f>IF($A8="","",COUNTIFS('GECC 2026'!F$2:F$200,$A8))</f>
        <v>1</v>
      </c>
    </row>
    <row r="9" spans="1:7" x14ac:dyDescent="0.25">
      <c r="A9" t="str">
        <v>Arthur Wú</v>
      </c>
      <c r="B9" s="103">
        <f>IF($A9="","",SUMIFS('GECC 2026'!H$2:H$200,'GECC 2026'!F$2:F$200,$A9))</f>
        <v>41</v>
      </c>
      <c r="C9" s="103">
        <f>IF($A9="","",SUMIFS('GECC 2026'!I$2:I$200,'GECC 2026'!F$2:F$200,$A9))</f>
        <v>12.6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53.6</v>
      </c>
      <c r="F9" s="101">
        <f>IF($A9="","",COUNTIFS('GECC 2026'!F$2:F$200,$A9))</f>
        <v>6</v>
      </c>
    </row>
    <row r="10" spans="1:7" x14ac:dyDescent="0.25">
      <c r="A10" t="str">
        <v>Carlos Antônio</v>
      </c>
      <c r="B10" s="103">
        <f>IF($A10="","",SUMIFS('GECC 2026'!H$2:H$200,'GECC 2026'!F$2:F$200,$A10))</f>
        <v>4</v>
      </c>
      <c r="C10" s="103">
        <f>IF($A10="","",SUMIFS('GECC 2026'!I$2:I$200,'GECC 2026'!F$2:F$200,$A10))</f>
        <v>1.2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5.2</v>
      </c>
      <c r="F10" s="101">
        <f>IF($A10="","",COUNTIFS('GECC 2026'!F$2:F$200,$A10))</f>
        <v>1</v>
      </c>
    </row>
    <row r="11" spans="1:7" x14ac:dyDescent="0.25">
      <c r="A11" t="str">
        <v>Carolina Pereira de Oliveira</v>
      </c>
      <c r="B11" s="103">
        <f>IF($A11="","",SUMIFS('GECC 2026'!H$2:H$200,'GECC 2026'!F$2:F$200,$A11))</f>
        <v>1</v>
      </c>
      <c r="C11" s="103">
        <f>IF($A11="","",SUMIFS('GECC 2026'!I$2:I$200,'GECC 2026'!F$2:F$200,$A11))</f>
        <v>0.3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1.3</v>
      </c>
      <c r="F11" s="101">
        <f>IF($A11="","",COUNTIFS('GECC 2026'!F$2:F$200,$A11))</f>
        <v>1</v>
      </c>
    </row>
    <row r="12" spans="1:7" x14ac:dyDescent="0.25">
      <c r="A12" t="str">
        <v>Cássio Murilo Alves Costa Filho</v>
      </c>
      <c r="B12" s="103">
        <f>IF($A12="","",SUMIFS('GECC 2026'!H$2:H$200,'GECC 2026'!F$2:F$200,$A12))</f>
        <v>16</v>
      </c>
      <c r="C12" s="103">
        <f>IF($A12="","",SUMIFS('GECC 2026'!I$2:I$200,'GECC 2026'!F$2:F$200,$A12))</f>
        <v>4.8</v>
      </c>
      <c r="D12" s="255">
        <f>IF($A12="","",SUMIFS('GECC 2026'!$AE$3:$AE$32,'GECC 2026'!$AD$3:$AD$32,$A12))</f>
        <v>16</v>
      </c>
      <c r="E12" s="240">
        <f>IF($A12="","",SUMIFS('GECC 2026'!J$2:J$200,'GECC 2026'!F$2:F$200,$A12)+SUMIFS('GECC 2026'!$AE$3:$AE$32,'GECC 2026'!$AD$3:$AD$32,$A12))</f>
        <v>36.799999999999997</v>
      </c>
      <c r="F12" s="101">
        <f>IF($A12="","",COUNTIFS('GECC 2026'!F$2:F$200,$A12))</f>
        <v>1</v>
      </c>
    </row>
    <row r="13" spans="1:7" x14ac:dyDescent="0.25">
      <c r="A13" t="str">
        <v>Cinthia Thais de Carvalho Luz Thomazi</v>
      </c>
      <c r="B13" s="103">
        <f>IF($A13="","",SUMIFS('GECC 2026'!H$2:H$200,'GECC 2026'!F$2:F$200,$A13))</f>
        <v>61</v>
      </c>
      <c r="C13" s="103">
        <f>IF($A13="","",SUMIFS('GECC 2026'!I$2:I$200,'GECC 2026'!F$2:F$200,$A13))</f>
        <v>7.9800000000000013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68.98</v>
      </c>
      <c r="F13" s="101">
        <f>IF($A13="","",COUNTIFS('GECC 2026'!F$2:F$200,$A13))</f>
        <v>12</v>
      </c>
    </row>
    <row r="14" spans="1:7" x14ac:dyDescent="0.25">
      <c r="A14" t="str">
        <v>Davi Assunção Salvador Nery de Castro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David da Silva de Araújo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1.2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13.2</v>
      </c>
      <c r="F15" s="101">
        <f>IF($A15="","",COUNTIFS('GECC 2026'!F$2:F$200,$A15))</f>
        <v>1</v>
      </c>
    </row>
    <row r="16" spans="1:7" x14ac:dyDescent="0.25">
      <c r="A16" t="str">
        <v>Denise Duarte Guirra Kuhlmann</v>
      </c>
      <c r="B16" s="103">
        <f>IF($A16="","",SUMIFS('GECC 2026'!H$2:H$200,'GECC 2026'!F$2:F$200,$A16))</f>
        <v>12</v>
      </c>
      <c r="C16" s="103">
        <f>IF($A16="","",SUMIFS('GECC 2026'!I$2:I$200,'GECC 2026'!F$2:F$200,$A16))</f>
        <v>2.6399999999999997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14.64</v>
      </c>
      <c r="F16" s="101">
        <f>IF($A16="","",COUNTIFS('GECC 2026'!F$2:F$200,$A16))</f>
        <v>3</v>
      </c>
    </row>
    <row r="17" spans="1:6" x14ac:dyDescent="0.25">
      <c r="A17" t="str">
        <v>Diversos</v>
      </c>
      <c r="B17" s="103">
        <f>IF($A17="","",SUMIFS('GECC 2026'!H$2:H$200,'GECC 2026'!F$2:F$200,$A17))</f>
        <v>0</v>
      </c>
      <c r="C17" s="103">
        <f>IF($A17="","",SUMIFS('GECC 2026'!I$2:I$200,'GECC 2026'!F$2:F$200,$A17))</f>
        <v>0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0</v>
      </c>
      <c r="F17" s="101">
        <f>IF($A17="","",COUNTIFS('GECC 2026'!F$2:F$200,$A17))</f>
        <v>2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Rogério Ribeiro</v>
      </c>
      <c r="B43" s="103">
        <f>IF($A43="","",SUMIFS('GECC 2026'!H$2:H$200,'GECC 2026'!F$2:F$200,$A43))</f>
        <v>48</v>
      </c>
      <c r="C43" s="103">
        <f>IF($A43="","",SUMIFS('GECC 2026'!I$2:I$200,'GECC 2026'!F$2:F$200,$A43))</f>
        <v>7.1999999999999993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55.2</v>
      </c>
      <c r="F43" s="101">
        <f>IF($A43="","",COUNTIFS('GECC 2026'!F$2:F$200,$A43))</f>
        <v>3</v>
      </c>
    </row>
    <row r="44" spans="1:6" x14ac:dyDescent="0.25">
      <c r="A44" t="str">
        <v>Rômulo Miranda Alvim</v>
      </c>
      <c r="B44" s="103">
        <f>IF($A44="","",SUMIFS('GECC 2026'!H$2:H$200,'GECC 2026'!F$2:F$200,$A44))</f>
        <v>24</v>
      </c>
      <c r="C44" s="103">
        <f>IF($A44="","",SUMIFS('GECC 2026'!I$2:I$200,'GECC 2026'!F$2:F$200,$A44))</f>
        <v>3.6</v>
      </c>
      <c r="D44" s="255">
        <f>IF($A44="","",SUMIFS('GECC 2026'!$AE$3:$AE$32,'GECC 2026'!$AD$3:$AD$32,$A44))</f>
        <v>16</v>
      </c>
      <c r="E44" s="240">
        <f>IF($A44="","",SUMIFS('GECC 2026'!J$2:J$200,'GECC 2026'!F$2:F$200,$A44)+SUMIFS('GECC 2026'!$AE$3:$AE$32,'GECC 2026'!$AD$3:$AD$32,$A44))</f>
        <v>43.6</v>
      </c>
      <c r="F44" s="101">
        <f>IF($A44="","",COUNTIFS('GECC 2026'!F$2:F$200,$A44))</f>
        <v>2</v>
      </c>
    </row>
    <row r="45" spans="1:6" x14ac:dyDescent="0.25">
      <c r="A45" t="str">
        <v>Servidores, colaboradores e estagiários do TCDF</v>
      </c>
      <c r="B45" s="103">
        <f>IF($A45="","",SUMIFS('GECC 2026'!H$2:H$200,'GECC 2026'!F$2:F$200,$A45))</f>
        <v>0</v>
      </c>
      <c r="C45" s="103">
        <f>IF($A45="","",SUMIFS('GECC 2026'!I$2:I$200,'GECC 2026'!F$2:F$200,$A45))</f>
        <v>0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0</v>
      </c>
      <c r="F45" s="101">
        <f>IF($A45="","",COUNTIFS('GECC 2026'!F$2:F$200,$A45))</f>
        <v>1</v>
      </c>
    </row>
    <row r="46" spans="1:6" x14ac:dyDescent="0.25">
      <c r="A46" t="str">
        <v>Silvia Lima Damasceno Carvalho</v>
      </c>
      <c r="B46" s="103">
        <f>IF($A46="","",SUMIFS('GECC 2026'!H$2:H$200,'GECC 2026'!F$2:F$200,$A46))</f>
        <v>13</v>
      </c>
      <c r="C46" s="103">
        <f>IF($A46="","",SUMIFS('GECC 2026'!I$2:I$200,'GECC 2026'!F$2:F$200,$A46))</f>
        <v>3.9000000000000004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16.899999999999999</v>
      </c>
      <c r="F46" s="101">
        <f>IF($A46="","",COUNTIFS('GECC 2026'!F$2:F$200,$A46))</f>
        <v>4</v>
      </c>
    </row>
    <row r="47" spans="1:6" x14ac:dyDescent="0.25">
      <c r="A47" t="str">
        <v>Tarsila Firmino Ely</v>
      </c>
      <c r="B47" s="103">
        <f>IF($A47="","",SUMIFS('GECC 2026'!H$2:H$200,'GECC 2026'!F$2:F$200,$A47))</f>
        <v>56</v>
      </c>
      <c r="C47" s="103">
        <f>IF($A47="","",SUMIFS('GECC 2026'!I$2:I$200,'GECC 2026'!F$2:F$200,$A47))</f>
        <v>96.4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152.4</v>
      </c>
      <c r="F47" s="101">
        <f>IF($A47="","",COUNTIFS('GECC 2026'!F$2:F$200,$A47))</f>
        <v>5</v>
      </c>
    </row>
    <row r="48" spans="1:6" x14ac:dyDescent="0.25">
      <c r="A48" t="str">
        <v>Thiago Magalhães de Oliveira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1:6" x14ac:dyDescent="0.25">
      <c r="A49" t="str">
        <v>Túllio Herbeth Teixeira Moraes</v>
      </c>
      <c r="B49" s="103">
        <f>IF($A49="","",SUMIFS('GECC 2026'!H$2:H$200,'GECC 2026'!F$2:F$200,$A49))</f>
        <v>3</v>
      </c>
      <c r="C49" s="103">
        <f>IF($A49="","",SUMIFS('GECC 2026'!I$2:I$200,'GECC 2026'!F$2:F$200,$A49))</f>
        <v>0.44999999999999996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3.45</v>
      </c>
      <c r="F49" s="101">
        <f>IF($A49="","",COUNTIFS('GECC 2026'!F$2:F$200,$A49))</f>
        <v>1</v>
      </c>
    </row>
    <row r="50" spans="1:6" x14ac:dyDescent="0.25">
      <c r="A50" t="str">
        <v>Wibys Pereira</v>
      </c>
      <c r="B50" s="103">
        <f>IF($A50="","",SUMIFS('GECC 2026'!H$2:H$200,'GECC 2026'!F$2:F$200,$A50))</f>
        <v>4</v>
      </c>
      <c r="C50" s="103">
        <f>IF($A50="","",SUMIFS('GECC 2026'!I$2:I$200,'GECC 2026'!F$2:F$200,$A50))</f>
        <v>1.2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5.2</v>
      </c>
      <c r="F50" s="101">
        <f>IF($A50="","",COUNTIFS('GECC 2026'!F$2:F$200,$A50))</f>
        <v>1</v>
      </c>
    </row>
    <row r="51" spans="1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748</v>
      </c>
      <c r="C105" s="242">
        <f>SUM(C5:C100)</f>
        <v>403.37999999999994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2026-07-10T19:35:01Z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