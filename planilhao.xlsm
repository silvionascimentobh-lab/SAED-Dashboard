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50" documentId="8_{454372C2-A99E-4E47-A759-72B38925853E}" xr6:coauthVersionLast="47" xr6:coauthVersionMax="47" xr10:uidLastSave="{0CAEEB41-FDB4-4505-800F-A7627220C9F5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E50" i="23"/>
  <c r="E49" i="23"/>
  <c r="E47" i="23"/>
  <c r="F39" i="23"/>
  <c r="F25" i="23"/>
  <c r="B9" i="23"/>
  <c r="D26" i="23"/>
  <c r="C37" i="23"/>
  <c r="E42" i="23"/>
  <c r="E29" i="23"/>
  <c r="C26" i="23"/>
  <c r="D21" i="23"/>
  <c r="C36" i="23"/>
  <c r="B35" i="23"/>
  <c r="E19" i="23"/>
  <c r="D24" i="23"/>
  <c r="C21" i="23"/>
  <c r="F46" i="23"/>
  <c r="B44" i="23"/>
  <c r="F37" i="23"/>
  <c r="C14" i="23"/>
  <c r="C6" i="23"/>
  <c r="D9" i="23"/>
  <c r="D43" i="23"/>
  <c r="B6" i="23"/>
  <c r="D29" i="23"/>
  <c r="F14" i="23"/>
  <c r="D34" i="23"/>
  <c r="B33" i="23"/>
  <c r="D38" i="23"/>
  <c r="D28" i="23"/>
  <c r="E45" i="23"/>
  <c r="E48" i="23"/>
  <c r="E32" i="23"/>
  <c r="B24" i="23"/>
  <c r="C12" i="23"/>
  <c r="C50" i="23"/>
  <c r="C49" i="23"/>
  <c r="F47" i="23"/>
  <c r="C7" i="23"/>
  <c r="B25" i="23"/>
  <c r="D40" i="23"/>
  <c r="C13" i="23"/>
  <c r="B13" i="23"/>
  <c r="C23" i="23"/>
  <c r="C18" i="23"/>
  <c r="F40" i="23"/>
  <c r="E16" i="23"/>
  <c r="C8" i="23"/>
  <c r="C10" i="23"/>
  <c r="D27" i="23"/>
  <c r="F21" i="23"/>
  <c r="F19" i="23"/>
  <c r="D46" i="23"/>
  <c r="D31" i="23"/>
  <c r="B16" i="23"/>
  <c r="E34" i="23"/>
  <c r="E46" i="23"/>
  <c r="C22" i="23"/>
  <c r="D35" i="23"/>
  <c r="E27" i="23"/>
  <c r="C35" i="23"/>
  <c r="B42" i="23"/>
  <c r="F30" i="23"/>
  <c r="D12" i="23"/>
  <c r="D45" i="23"/>
  <c r="D23" i="23"/>
  <c r="D49" i="23"/>
  <c r="E44" i="23"/>
  <c r="E11" i="23"/>
  <c r="B43" i="23"/>
  <c r="D50" i="23"/>
  <c r="D48" i="23"/>
  <c r="C47" i="23"/>
  <c r="C30" i="23"/>
  <c r="C32" i="23"/>
  <c r="E12" i="23"/>
  <c r="C31" i="23"/>
  <c r="F41" i="23"/>
  <c r="C24" i="23"/>
  <c r="B18" i="23"/>
  <c r="F26" i="23"/>
  <c r="E36" i="23"/>
  <c r="E15" i="23"/>
  <c r="B40" i="23"/>
  <c r="F13" i="23"/>
  <c r="C44" i="23"/>
  <c r="D32" i="23"/>
  <c r="E21" i="23"/>
  <c r="F15" i="23"/>
  <c r="E28" i="23"/>
  <c r="C42" i="23"/>
  <c r="D16" i="23"/>
  <c r="B28" i="23"/>
  <c r="B22" i="23"/>
  <c r="F35" i="23"/>
  <c r="D41" i="23"/>
  <c r="B23" i="23"/>
  <c r="F43" i="23"/>
  <c r="B50" i="23"/>
  <c r="C48" i="23"/>
  <c r="B47" i="23"/>
  <c r="B12" i="23"/>
  <c r="C33" i="23"/>
  <c r="C11" i="23"/>
  <c r="E40" i="23"/>
  <c r="F12" i="23"/>
  <c r="B19" i="23"/>
  <c r="D18" i="23"/>
  <c r="B29" i="23"/>
  <c r="F44" i="23"/>
  <c r="C9" i="23"/>
  <c r="E8" i="23"/>
  <c r="C40" i="23"/>
  <c r="C28" i="23"/>
  <c r="F31" i="23"/>
  <c r="F27" i="23"/>
  <c r="F6" i="23"/>
  <c r="C29" i="23"/>
  <c r="F10" i="23"/>
  <c r="F20" i="23"/>
  <c r="C15" i="23"/>
  <c r="D8" i="23"/>
  <c r="D36" i="23"/>
  <c r="B45" i="23"/>
  <c r="C17" i="23"/>
  <c r="F36" i="23"/>
  <c r="B36" i="23"/>
  <c r="F11" i="23"/>
  <c r="D7" i="23"/>
  <c r="B14" i="23"/>
  <c r="F23" i="23"/>
  <c r="F50" i="23"/>
  <c r="F48" i="23"/>
  <c r="D15" i="23"/>
  <c r="D33" i="23"/>
  <c r="E17" i="23"/>
  <c r="C20" i="23"/>
  <c r="B31" i="23"/>
  <c r="C38" i="23"/>
  <c r="E39" i="23"/>
  <c r="B34" i="23"/>
  <c r="E33" i="23"/>
  <c r="D42" i="23"/>
  <c r="B37" i="23"/>
  <c r="E25" i="23"/>
  <c r="E31" i="23"/>
  <c r="E43" i="23"/>
  <c r="B30" i="23"/>
  <c r="E38" i="23"/>
  <c r="F42" i="23"/>
  <c r="B8" i="23"/>
  <c r="E22" i="23"/>
  <c r="E13" i="23"/>
  <c r="C34" i="23"/>
  <c r="D19" i="23"/>
  <c r="D6" i="23"/>
  <c r="E41" i="23"/>
  <c r="F8" i="23"/>
  <c r="E14" i="23"/>
  <c r="D14" i="23"/>
  <c r="F49" i="23"/>
  <c r="B48" i="23"/>
  <c r="E37" i="23"/>
  <c r="F34" i="23"/>
  <c r="F17" i="23"/>
  <c r="F9" i="23"/>
  <c r="D37" i="23"/>
  <c r="F18" i="23"/>
  <c r="B27" i="23"/>
  <c r="F32" i="23"/>
  <c r="B38" i="23"/>
  <c r="C46" i="23"/>
  <c r="D25" i="23"/>
  <c r="E24" i="23"/>
  <c r="E7" i="23"/>
  <c r="F38" i="23"/>
  <c r="E23" i="23"/>
  <c r="D44" i="23"/>
  <c r="B41" i="23"/>
  <c r="B21" i="23"/>
  <c r="B10" i="23"/>
  <c r="D10" i="23"/>
  <c r="E9" i="23"/>
  <c r="D20" i="23"/>
  <c r="E6" i="23"/>
  <c r="C41" i="23"/>
  <c r="C45" i="23"/>
  <c r="C27" i="23"/>
  <c r="F16" i="23"/>
  <c r="B20" i="23"/>
  <c r="F45" i="23"/>
  <c r="B49" i="23"/>
  <c r="D47" i="23"/>
  <c r="E18" i="23"/>
  <c r="D11" i="23"/>
  <c r="B11" i="23"/>
  <c r="B7" i="23"/>
  <c r="B26" i="23"/>
  <c r="F29" i="23"/>
  <c r="C19" i="23"/>
  <c r="D39" i="23"/>
  <c r="F22" i="23"/>
  <c r="B46" i="23"/>
  <c r="D30" i="23"/>
  <c r="F28" i="23"/>
  <c r="C39" i="23"/>
  <c r="D17" i="23"/>
  <c r="C43" i="23"/>
  <c r="E35" i="23"/>
  <c r="F24" i="23"/>
  <c r="D13" i="23"/>
  <c r="B32" i="23"/>
  <c r="C25" i="23"/>
  <c r="D22" i="23"/>
  <c r="B15" i="23"/>
  <c r="E20" i="23"/>
  <c r="F7" i="23"/>
  <c r="E10" i="23"/>
  <c r="F33" i="23"/>
  <c r="E30" i="23"/>
  <c r="B39" i="23"/>
  <c r="E26" i="23"/>
  <c r="B17" i="23"/>
  <c r="C16" i="23"/>
  <c r="A5" i="23"/>
  <c r="B5" i="23" l="1"/>
  <c r="B105" i="23" s="1"/>
  <c r="G5" i="23"/>
  <c r="E5" i="23"/>
  <c r="C5" i="23"/>
  <c r="C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<sst xmlns="http://schemas.openxmlformats.org/spreadsheetml/2006/main" count="6226" uniqueCount="2403">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</sst>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para gestores e fiscais de contratos de serviços assistenciais complementares – SES/DF"/>
        <filter val="Curso para gestores e fiscais de contratos de serviços assistenciais complementares – SES/DF - T2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2" totalsRowShown="0">
  <autoFilter ref="A3:D92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H700" sqref="H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2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6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4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5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63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25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13</v>
      </c>
      <c r="D33" s="117">
        <f t="shared" ref="D33:D44" si="0">B33+C33</f>
        <v>19</v>
      </c>
      <c r="E33" s="118">
        <f t="shared" ref="E33:E44" si="1">D33/$D$45</f>
        <v>0.31666666666666665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0.05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3.3333333333333333E-2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3.3333333333333333E-2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0.21666666666666667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6.6666666666666666E-2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3.3333333333333333E-2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0.11666666666666667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3.3333333333333333E-2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25</v>
      </c>
      <c r="D45" s="121">
        <f>SUM(D33:D44)</f>
        <v>60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0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Rogério Ribeiro</v>
      </c>
      <c r="B43" s="103">
        <f>IF($A43="","",SUMIFS('GECC 2026'!H$2:H$200,'GECC 2026'!F$2:F$200,$A43))</f>
        <v>48</v>
      </c>
      <c r="C43" s="103">
        <f>IF($A43="","",SUMIFS('GECC 2026'!I$2:I$200,'GECC 2026'!F$2:F$200,$A43))</f>
        <v>7.1999999999999993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55.2</v>
      </c>
      <c r="F43" s="101">
        <f>IF($A43="","",COUNTIFS('GECC 2026'!F$2:F$200,$A43))</f>
        <v>3</v>
      </c>
    </row>
    <row r="44" spans="1:6" x14ac:dyDescent="0.25">
      <c r="A44" t="str">
        <v>Rômulo Miranda Alvim</v>
      </c>
      <c r="B44" s="103">
        <f>IF($A44="","",SUMIFS('GECC 2026'!H$2:H$200,'GECC 2026'!F$2:F$200,$A44))</f>
        <v>24</v>
      </c>
      <c r="C44" s="103">
        <f>IF($A44="","",SUMIFS('GECC 2026'!I$2:I$200,'GECC 2026'!F$2:F$200,$A44))</f>
        <v>3.6</v>
      </c>
      <c r="D44" s="255">
        <f>IF($A44="","",SUMIFS('GECC 2026'!$AE$3:$AE$32,'GECC 2026'!$AD$3:$AD$32,$A44))</f>
        <v>16</v>
      </c>
      <c r="E44" s="240">
        <f>IF($A44="","",SUMIFS('GECC 2026'!J$2:J$200,'GECC 2026'!F$2:F$200,$A44)+SUMIFS('GECC 2026'!$AE$3:$AE$32,'GECC 2026'!$AD$3:$AD$32,$A44))</f>
        <v>43.6</v>
      </c>
      <c r="F44" s="101">
        <f>IF($A44="","",COUNTIFS('GECC 2026'!F$2:F$200,$A44))</f>
        <v>2</v>
      </c>
    </row>
    <row r="45" spans="1:6" x14ac:dyDescent="0.25">
      <c r="A45" t="str">
        <v>Servidores, colaboradores e estagiários do TCDF</v>
      </c>
      <c r="B45" s="103">
        <f>IF($A45="","",SUMIFS('GECC 2026'!H$2:H$200,'GECC 2026'!F$2:F$200,$A45))</f>
        <v>0</v>
      </c>
      <c r="C45" s="103">
        <f>IF($A45="","",SUMIFS('GECC 2026'!I$2:I$200,'GECC 2026'!F$2:F$200,$A45))</f>
        <v>0</v>
      </c>
      <c r="D45" s="255">
        <f>IF($A45="","",SUMIFS('GECC 2026'!$AE$3:$AE$32,'GECC 2026'!$AD$3:$AD$32,$A45))</f>
        <v>0</v>
      </c>
      <c r="E45" s="240">
        <f>IF($A45="","",SUMIFS('GECC 2026'!J$2:J$200,'GECC 2026'!F$2:F$200,$A45)+SUMIFS('GECC 2026'!$AE$3:$AE$32,'GECC 2026'!$AD$3:$AD$32,$A45))</f>
        <v>0</v>
      </c>
      <c r="F45" s="101">
        <f>IF($A45="","",COUNTIFS('GECC 2026'!F$2:F$200,$A45))</f>
        <v>1</v>
      </c>
    </row>
    <row r="46" spans="1:6" x14ac:dyDescent="0.25">
      <c r="A46" t="str">
        <v>Silvia Lima Damasceno Carvalho</v>
      </c>
      <c r="B46" s="103">
        <f>IF($A46="","",SUMIFS('GECC 2026'!H$2:H$200,'GECC 2026'!F$2:F$200,$A46))</f>
        <v>17</v>
      </c>
      <c r="C46" s="103">
        <f>IF($A46="","",SUMIFS('GECC 2026'!I$2:I$200,'GECC 2026'!F$2:F$200,$A46))</f>
        <v>5.1000000000000005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22.099999999999998</v>
      </c>
      <c r="F46" s="101">
        <f>IF($A46="","",COUNTIFS('GECC 2026'!F$2:F$200,$A46))</f>
        <v>5</v>
      </c>
    </row>
    <row r="47" spans="1:6" x14ac:dyDescent="0.25">
      <c r="A47" t="str">
        <v>Tarsila Firmino Ely</v>
      </c>
      <c r="B47" s="103">
        <f>IF($A47="","",SUMIFS('GECC 2026'!H$2:H$200,'GECC 2026'!F$2:F$200,$A47))</f>
        <v>56</v>
      </c>
      <c r="C47" s="103">
        <f>IF($A47="","",SUMIFS('GECC 2026'!I$2:I$200,'GECC 2026'!F$2:F$200,$A47))</f>
        <v>96.4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152.4</v>
      </c>
      <c r="F47" s="101">
        <f>IF($A47="","",COUNTIFS('GECC 2026'!F$2:F$200,$A47))</f>
        <v>5</v>
      </c>
    </row>
    <row r="48" spans="1:6" x14ac:dyDescent="0.25">
      <c r="A48" t="str">
        <v>Thiago Magalhães de Oliveira</v>
      </c>
      <c r="B48" s="103">
        <f>IF($A48="","",SUMIFS('GECC 2026'!H$2:H$200,'GECC 2026'!F$2:F$200,$A48))</f>
        <v>4</v>
      </c>
      <c r="C48" s="103">
        <f>IF($A48="","",SUMIFS('GECC 2026'!I$2:I$200,'GECC 2026'!F$2:F$200,$A48))</f>
        <v>1.2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5.2</v>
      </c>
      <c r="F48" s="101">
        <f>IF($A48="","",COUNTIFS('GECC 2026'!F$2:F$200,$A48))</f>
        <v>1</v>
      </c>
    </row>
    <row r="49" spans="1:6" x14ac:dyDescent="0.25">
      <c r="A49" t="str">
        <v>Túllio Herbeth Teixeira Moraes</v>
      </c>
      <c r="B49" s="103">
        <f>IF($A49="","",SUMIFS('GECC 2026'!H$2:H$200,'GECC 2026'!F$2:F$200,$A49))</f>
        <v>3</v>
      </c>
      <c r="C49" s="103">
        <f>IF($A49="","",SUMIFS('GECC 2026'!I$2:I$200,'GECC 2026'!F$2:F$200,$A49))</f>
        <v>0.44999999999999996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3.45</v>
      </c>
      <c r="F49" s="101">
        <f>IF($A49="","",COUNTIFS('GECC 2026'!F$2:F$200,$A49))</f>
        <v>1</v>
      </c>
    </row>
    <row r="50" spans="1:6" x14ac:dyDescent="0.25">
      <c r="A50" t="str">
        <v>Wibys Pereira</v>
      </c>
      <c r="B50" s="103">
        <f>IF($A50="","",SUMIFS('GECC 2026'!H$2:H$200,'GECC 2026'!F$2:F$200,$A50))</f>
        <v>4</v>
      </c>
      <c r="C50" s="103">
        <f>IF($A50="","",SUMIFS('GECC 2026'!I$2:I$200,'GECC 2026'!F$2:F$200,$A50))</f>
        <v>1.2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5.2</v>
      </c>
      <c r="F50" s="101">
        <f>IF($A50="","",COUNTIFS('GECC 2026'!F$2:F$200,$A50))</f>
        <v>1</v>
      </c>
    </row>
    <row r="51" spans="1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752</v>
      </c>
      <c r="C105" s="242">
        <f>SUM(C5:C100)</f>
        <v>404.58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91ce1707-6d34-452b-b217-9734c03e6729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fe686eaa-0658-4f15-b230-9e46c4d089fd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2026-07-13T20:08:12Z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