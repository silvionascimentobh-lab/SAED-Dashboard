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01" documentId="13_ncr:1_{6A2CC3E2-FAFB-4D8F-B284-5E8FB5045DFE}" xr6:coauthVersionLast="47" xr6:coauthVersionMax="47" xr10:uidLastSave="{28459C5C-9DCC-4327-8582-0316C8AAEAD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<sst xmlns="http://schemas.openxmlformats.org/spreadsheetml/2006/main" count="7409" uniqueCount="3263">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</sst>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662" activePane="bottomLeft" state="frozen"/>
      <selection pane="bottomLeft" activeCell="J2014" sqref="J20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2868</v>
      </c>
      <c r="U698" s="210"/>
    </row>
    <row r="699" spans="1:21" ht="1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>IF(B699="","",SUM(O699:Q699))</f>
        <v>0</v>
      </c>
      <c r="S699" s="153">
        <v>4</v>
      </c>
      <c r="T699" s="120"/>
      <c r="U699" s="210"/>
    </row>
    <row r="700" spans="1:21" ht="1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>IF(B700="","",SUM(O700:Q700))</f>
        <v>42</v>
      </c>
      <c r="S700" s="153">
        <v>12</v>
      </c>
      <c r="T700" s="154" t="s">
        <v>2453</v>
      </c>
      <c r="U700" s="210"/>
    </row>
    <row r="701" spans="1:21" ht="1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>IF(B701="","",SUM(O701:Q701))</f>
        <v>15</v>
      </c>
      <c r="S701" s="153">
        <v>24</v>
      </c>
      <c r="T701" s="154" t="s">
        <v>2812</v>
      </c>
      <c r="U701" s="210"/>
    </row>
    <row r="702" spans="1:21" ht="1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>IF(B702="","",SUM(O702:Q702))</f>
        <v>51</v>
      </c>
      <c r="S702" s="153">
        <v>4</v>
      </c>
      <c r="T702" s="154" t="s">
        <v>2885</v>
      </c>
      <c r="U702" s="210"/>
    </row>
    <row r="703" spans="1:21" ht="1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>IF(B703="","",SUM(O703:Q703))</f>
        <v>42</v>
      </c>
      <c r="S703" s="153">
        <v>4</v>
      </c>
      <c r="T703" s="154" t="s">
        <v>2889</v>
      </c>
      <c r="U703" s="210"/>
    </row>
    <row r="704" spans="1:21" ht="1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>IF(B704="","",SUM(O704:Q704))</f>
        <v>34</v>
      </c>
      <c r="S704" s="153">
        <v>8</v>
      </c>
      <c r="T704" s="120" t="s">
        <v>2894</v>
      </c>
      <c r="U704" s="210"/>
    </row>
    <row r="705" spans="1:21" ht="1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>IF(B705="","",SUM(O705:Q705))</f>
        <v>47</v>
      </c>
      <c r="S705" s="153">
        <v>4</v>
      </c>
      <c r="T705" s="154" t="s">
        <v>2898</v>
      </c>
      <c r="U705" s="210"/>
    </row>
    <row r="706" spans="1:21" ht="1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>IF(B706="","",SUM(O706:Q706))</f>
        <v>77</v>
      </c>
      <c r="S706" s="153">
        <v>4</v>
      </c>
      <c r="T706" s="154" t="s">
        <v>2453</v>
      </c>
      <c r="U706" s="210"/>
    </row>
    <row r="707" spans="1:21" ht="1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>IF(B707="","",SUM(O707:Q707))</f>
        <v>57</v>
      </c>
      <c r="S707" s="153">
        <v>4</v>
      </c>
      <c r="T707" s="154" t="s">
        <v>2463</v>
      </c>
      <c r="U707" s="210"/>
    </row>
    <row r="708" spans="1:21" ht="1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>IF(B708="","",SUM(O708:Q708))</f>
        <v>60</v>
      </c>
      <c r="S708" s="153">
        <v>4</v>
      </c>
      <c r="T708" s="154" t="s">
        <v>2910</v>
      </c>
      <c r="U708" s="210"/>
    </row>
    <row r="709" spans="1:21" ht="1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>IF(B709="","",SUM(O709:Q709))</f>
        <v>0</v>
      </c>
      <c r="S709" s="153">
        <v>4</v>
      </c>
      <c r="T709" s="120"/>
      <c r="U709" s="210"/>
    </row>
    <row r="710" spans="1:21" ht="1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>IF(B710="","",SUM(O710:Q710))</f>
        <v>220</v>
      </c>
      <c r="S710" s="153">
        <v>4</v>
      </c>
      <c r="T710" s="154" t="s">
        <v>480</v>
      </c>
      <c r="U710" s="210"/>
    </row>
    <row r="711" spans="1:21" ht="1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>IF(B711="","",SUM(O711:Q711))</f>
        <v>46</v>
      </c>
      <c r="S711" s="153">
        <v>1</v>
      </c>
      <c r="T711" s="154" t="s">
        <v>2921</v>
      </c>
      <c r="U711" s="210"/>
    </row>
    <row r="712" spans="1:21" ht="1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>IF(B714="","",SUM(O714:Q714))</f>
        <v>69</v>
      </c>
      <c r="S714" s="153">
        <v>4</v>
      </c>
      <c r="T714" s="108" t="s">
        <v>2932</v>
      </c>
      <c r="U714" s="210"/>
    </row>
    <row r="715" spans="1:21" ht="30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>IF(B715="","",SUM(O715:Q715))</f>
        <v>72</v>
      </c>
      <c r="S715" s="153">
        <v>4</v>
      </c>
      <c r="T715" s="108" t="s">
        <v>2932</v>
      </c>
      <c r="U715" s="210"/>
    </row>
    <row r="716" spans="1:21" ht="30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>IF(B716="","",SUM(O716:Q716))</f>
        <v>63</v>
      </c>
      <c r="S716" s="153">
        <v>4</v>
      </c>
      <c r="T716" s="215" t="s">
        <v>2939</v>
      </c>
      <c r="U716" s="210" t="s">
        <v>2940</v>
      </c>
    </row>
    <row r="717" spans="1:21" ht="30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>IF(B717="","",SUM(O717:Q717))</f>
        <v>67</v>
      </c>
      <c r="S717" s="153">
        <v>4</v>
      </c>
      <c r="T717" s="215" t="s">
        <v>2944</v>
      </c>
      <c r="U717" s="210" t="s">
        <v>2940</v>
      </c>
    </row>
    <row r="718" spans="1:21" ht="1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>IF(B718="","",SUM(O718:Q718))</f>
        <v>0</v>
      </c>
      <c r="S718" s="153">
        <v>16</v>
      </c>
      <c r="T718" s="154" t="s">
        <v>804</v>
      </c>
      <c r="U718" s="210"/>
    </row>
    <row r="719" spans="1:21" ht="1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>IF(B719="","",SUM(O719:Q719))</f>
        <v>0</v>
      </c>
      <c r="S719" s="153">
        <v>14</v>
      </c>
      <c r="T719" s="120" t="s">
        <v>480</v>
      </c>
      <c r="U719" s="210"/>
    </row>
    <row r="720" spans="1:21" ht="30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>IF(B726="","",SUM(O726:Q726))</f>
        <v>40</v>
      </c>
      <c r="S726" s="153">
        <v>5</v>
      </c>
      <c r="T726" s="154" t="s">
        <v>2981</v>
      </c>
      <c r="U726" s="210"/>
    </row>
    <row r="727" spans="1:21" ht="1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>IF(B727="","",SUM(O727:Q727))</f>
        <v>20</v>
      </c>
      <c r="S727" s="153">
        <v>4</v>
      </c>
      <c r="T727" s="154" t="s">
        <v>1031</v>
      </c>
      <c r="U727" s="210"/>
    </row>
    <row r="728" spans="1:21" ht="1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>IF(B728="","",SUM(O728:Q728))</f>
        <v>21</v>
      </c>
      <c r="S728" s="153">
        <v>3</v>
      </c>
      <c r="T728" s="154" t="s">
        <v>1922</v>
      </c>
      <c r="U728" s="210"/>
    </row>
    <row r="729" spans="1:21" ht="1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>IF(B729="","",SUM(O729:Q729))</f>
        <v>20</v>
      </c>
      <c r="S729" s="153">
        <v>3</v>
      </c>
      <c r="T729" s="154" t="s">
        <v>1922</v>
      </c>
      <c r="U729" s="210"/>
    </row>
    <row r="730" spans="1:21" ht="1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>IF(B730="","",SUM(O730:Q730))</f>
        <v>80</v>
      </c>
      <c r="S730" s="153">
        <v>4</v>
      </c>
      <c r="T730" s="154"/>
      <c r="U730" s="210"/>
    </row>
    <row r="731" spans="1:21" ht="1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>IF(B731="","",SUM(O731:Q731))</f>
        <v>100</v>
      </c>
      <c r="S731" s="153">
        <v>3</v>
      </c>
      <c r="T731" s="154"/>
      <c r="U731" s="210"/>
    </row>
    <row r="732" spans="1:21" ht="1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>IF(B732="","",SUM(O732:Q732))</f>
        <v>50</v>
      </c>
      <c r="S732" s="153"/>
      <c r="T732" s="154"/>
      <c r="U732" s="210"/>
    </row>
    <row r="733" spans="1:21" ht="1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>IF(B733="","",SUM(O733:Q733))</f>
        <v>0</v>
      </c>
      <c r="S733" s="153">
        <v>8</v>
      </c>
      <c r="T733" s="154" t="s">
        <v>2829</v>
      </c>
      <c r="U733" s="210"/>
    </row>
    <row r="734" spans="1:21" ht="15" hidden="1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>IF(B734="","",SUM(O734:Q734))</f>
        <v>0</v>
      </c>
      <c r="S734" s="153"/>
      <c r="T734" s="154"/>
      <c r="U734" s="210"/>
    </row>
    <row r="735" spans="1:21" ht="1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>IF(B735="","",SUM(O735:Q735))</f>
        <v>30</v>
      </c>
      <c r="S735" s="153">
        <v>8</v>
      </c>
      <c r="T735" s="154" t="s">
        <v>2894</v>
      </c>
      <c r="U735" s="210"/>
    </row>
    <row r="736" spans="1:21" ht="1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>IF(B736="","",SUM(O736:Q736))</f>
        <v>21</v>
      </c>
      <c r="S736" s="153">
        <v>12</v>
      </c>
      <c r="T736" s="154" t="s">
        <v>3017</v>
      </c>
      <c r="U736" s="210"/>
    </row>
    <row r="737" spans="1:21" ht="1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>IF(B737="","",SUM(O737:Q737))</f>
        <v>20</v>
      </c>
      <c r="S737" s="153">
        <v>9</v>
      </c>
      <c r="T737" s="154" t="s">
        <v>219</v>
      </c>
      <c r="U737" s="210"/>
    </row>
    <row r="738" spans="1:21" ht="1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>IF(B738="","",SUM(O738:Q738))</f>
        <v>0</v>
      </c>
      <c r="S738" s="153">
        <v>10</v>
      </c>
      <c r="T738" s="154" t="s">
        <v>3026</v>
      </c>
      <c r="U738" s="211"/>
    </row>
    <row r="739" spans="1:21" ht="1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>IF(B739="","",SUM(O739:Q739))</f>
        <v>21</v>
      </c>
      <c r="S739" s="153">
        <v>8</v>
      </c>
      <c r="T739" s="154" t="s">
        <v>2829</v>
      </c>
      <c r="U739" s="210"/>
    </row>
    <row r="740" spans="1:21" ht="1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>IF(B740="","",SUM(O740:Q740))</f>
        <v>0</v>
      </c>
      <c r="S740" s="153">
        <v>16</v>
      </c>
      <c r="T740" s="154" t="s">
        <v>804</v>
      </c>
      <c r="U740" s="210"/>
    </row>
    <row r="741" spans="1:21" ht="1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>IF(B741="","",SUM(O741:Q741))</f>
        <v>0</v>
      </c>
      <c r="S741" s="153">
        <v>4</v>
      </c>
      <c r="T741" s="154" t="s">
        <v>1910</v>
      </c>
      <c r="U741" s="210"/>
    </row>
    <row r="742" spans="1:21" ht="1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>IF(B742="","",SUM(O742:Q742))</f>
        <v>0</v>
      </c>
      <c r="S742" s="153">
        <v>9.66</v>
      </c>
      <c r="T742" s="154" t="s">
        <v>2894</v>
      </c>
      <c r="U742" s="210"/>
    </row>
    <row r="743" spans="1:21" ht="1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>IF(B743="","",SUM(O743:Q743))</f>
        <v>0</v>
      </c>
      <c r="S743" s="153">
        <v>20</v>
      </c>
      <c r="T743" s="154" t="s">
        <v>557</v>
      </c>
      <c r="U743" s="210"/>
    </row>
    <row r="744" spans="1:21" ht="15" hidden="1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26:R747" si="13">IF(B744="","",SUM(O744:Q744))</f>
        <v>0</v>
      </c>
      <c r="S744" s="153">
        <v>20</v>
      </c>
      <c r="T744" s="154" t="s">
        <v>3048</v>
      </c>
      <c r="U744" s="210"/>
    </row>
    <row r="745" spans="1:21" ht="1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4">IF(B745="","",SUM(O745:Q745))</f>
        <v>80</v>
      </c>
      <c r="S745" s="153">
        <v>2</v>
      </c>
      <c r="T745" s="154"/>
      <c r="U745" s="210"/>
    </row>
    <row r="746" spans="1:21" ht="1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3"/>
        <v>67</v>
      </c>
      <c r="S746" s="153">
        <v>12</v>
      </c>
      <c r="T746" s="154" t="s">
        <v>2453</v>
      </c>
      <c r="U746" s="210"/>
    </row>
    <row r="747" spans="1:21" ht="30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3"/>
        <v>0</v>
      </c>
      <c r="S747" s="153">
        <v>12</v>
      </c>
      <c r="T747" s="154" t="s">
        <v>3061</v>
      </c>
      <c r="U747" s="210"/>
    </row>
    <row r="748" spans="1:21" ht="1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R72" t="str">
        <f ca="1"/>
        <v/>
      </c>
      <c r="S72" t="str">
        <f ca="1"/>
        <v/>
      </c>
      <c r="X72" t="s">
        <v>2874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X73" t="s">
        <v>2874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0" t="s">
        <v>3155</v>
      </c>
      <c r="B1" s="220"/>
      <c r="C1" s="220"/>
      <c r="D1" s="220"/>
      <c r="E1" s="220"/>
      <c r="F1" s="220"/>
      <c r="G1" s="220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21" t="s">
        <v>3156</v>
      </c>
      <c r="B4" s="222"/>
      <c r="D4" s="223" t="s">
        <v>3157</v>
      </c>
      <c r="E4" s="224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9" t="s">
        <v>3160</v>
      </c>
      <c r="B8" s="219"/>
      <c r="D8" s="219" t="s">
        <v>3161</v>
      </c>
      <c r="E8" s="219"/>
    </row>
    <row r="9" spans="1:7" ht="5.0999999999999996" customHeight="1">
      <c r="A9" s="231"/>
      <c r="B9" s="231"/>
      <c r="D9" s="231"/>
      <c r="E9" s="231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>
      <c r="A30" s="219" t="s">
        <v>3170</v>
      </c>
      <c r="B30" s="219"/>
      <c r="C30" s="219"/>
      <c r="D30" s="219"/>
      <c r="E30" s="219"/>
    </row>
    <row r="31" spans="1:5" ht="5.0999999999999996" customHeight="1">
      <c r="A31" s="231"/>
      <c r="B31" s="231"/>
      <c r="C31" s="231"/>
      <c r="D31" s="231"/>
      <c r="E31" s="231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5" t="s">
        <v>3221</v>
      </c>
      <c r="B1" s="225"/>
      <c r="C1" s="225"/>
      <c r="D1" s="225"/>
      <c r="E1" s="225"/>
      <c r="F1" s="225"/>
      <c r="G1" s="225"/>
      <c r="H1" s="225"/>
    </row>
    <row r="2" spans="1:8">
      <c r="A2" s="48" t="s">
        <v>3222</v>
      </c>
    </row>
    <row r="4" spans="1:8" ht="21.95" customHeight="1">
      <c r="A4" s="226" t="s">
        <v>3223</v>
      </c>
      <c r="B4" s="227"/>
      <c r="D4" s="226" t="s">
        <v>3224</v>
      </c>
      <c r="E4" s="227"/>
      <c r="G4" s="226" t="s">
        <v>3225</v>
      </c>
      <c r="H4" s="227"/>
    </row>
    <row r="5" spans="1:8" ht="35.1" customHeight="1">
      <c r="A5" s="230">
        <f>COUNTIF('Ações InCompany'!E:E,"*maratona*")</f>
        <v>13</v>
      </c>
      <c r="B5" s="229"/>
      <c r="D5" s="228">
        <f>SUM(H8:H100)</f>
        <v>1762</v>
      </c>
      <c r="E5" s="229"/>
      <c r="G5" s="228">
        <f>IFERROR(ROUND(D5/A5,0),"-")</f>
        <v>136</v>
      </c>
      <c r="H5" s="229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2" t="s">
        <v>3231</v>
      </c>
      <c r="B1" s="232"/>
      <c r="C1" s="232"/>
      <c r="D1" s="232"/>
      <c r="E1" s="232"/>
      <c r="F1" s="232"/>
    </row>
    <row r="2" spans="1:7">
      <c r="A2" s="233" t="s">
        <v>3232</v>
      </c>
      <c r="B2" s="233"/>
      <c r="C2" s="233"/>
      <c r="D2" s="233"/>
      <c r="E2" s="233"/>
      <c r="F2" s="233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9330BFA6-792A-4480-8CAB-B243A51B8107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Rafaela Da Ponte Sousa</cp:lastModifiedBy>
  <cp:revision/>
  <dcterms:created xsi:type="dcterms:W3CDTF">2024-04-02T18:43:15Z</dcterms:created>
  <dcterms:modified xsi:type="dcterms:W3CDTF">2026-10-07T19:00:18Z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