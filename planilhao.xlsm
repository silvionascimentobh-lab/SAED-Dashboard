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3" documentId="8_{454372C2-A99E-4E47-A759-72B38925853E}" xr6:coauthVersionLast="47" xr6:coauthVersionMax="47" xr10:uidLastSave="{33FDE7B7-6498-4C5D-AFB9-386A643E5FA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E105" i="23" s="1"/>
  <c r="A2" i="20" l="1"/>
  <c r="A5" i="23" a="1"/>
  <c r="D47" i="23"/>
  <c r="E47" i="23"/>
  <c r="F47" i="23"/>
  <c r="C47" i="23"/>
  <c r="B47" i="23"/>
  <c r="D8" i="23" l="1"/>
  <c r="F29" i="23"/>
  <c r="B15" i="23"/>
  <c r="F15" i="23"/>
  <c r="B26" i="23"/>
  <c r="E37" i="23"/>
  <c r="D14" i="23"/>
  <c r="E35" i="23"/>
  <c r="F44" i="23"/>
  <c r="C13" i="23"/>
  <c r="E30" i="23"/>
  <c r="B24" i="23"/>
  <c r="B8" i="23"/>
  <c r="D11" i="23"/>
  <c r="B20" i="23"/>
  <c r="B35" i="23"/>
  <c r="D36" i="23"/>
  <c r="D23" i="23"/>
  <c r="B23" i="23"/>
  <c r="E18" i="23"/>
  <c r="C25" i="23"/>
  <c r="F22" i="23"/>
  <c r="B12" i="23"/>
  <c r="E17" i="23"/>
  <c r="D43" i="23"/>
  <c r="B27" i="23"/>
  <c r="D37" i="23"/>
  <c r="B16" i="23"/>
  <c r="D41" i="23"/>
  <c r="C17" i="23"/>
  <c r="B17" i="23"/>
  <c r="F31" i="23"/>
  <c r="B42" i="23"/>
  <c r="D15" i="23"/>
  <c r="E16" i="23"/>
  <c r="F21" i="23"/>
  <c r="D31" i="23"/>
  <c r="E26" i="23"/>
  <c r="B6" i="23"/>
  <c r="F9" i="23"/>
  <c r="D12" i="23"/>
  <c r="C23" i="23"/>
  <c r="C18" i="23"/>
  <c r="F36" i="23"/>
  <c r="F35" i="23"/>
  <c r="E21" i="23"/>
  <c r="D38" i="23"/>
  <c r="C9" i="23"/>
  <c r="C29" i="23"/>
  <c r="C31" i="23"/>
  <c r="C35" i="23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B45" i="23"/>
  <c r="F18" i="23"/>
  <c r="B22" i="23"/>
  <c r="C8" i="23"/>
  <c r="B34" i="23"/>
  <c r="B37" i="23"/>
  <c r="D13" i="23"/>
  <c r="B32" i="23"/>
  <c r="D20" i="23"/>
  <c r="E33" i="23"/>
  <c r="C45" i="23"/>
  <c r="F25" i="23"/>
  <c r="F14" i="23"/>
  <c r="B14" i="23"/>
  <c r="D30" i="23"/>
  <c r="C42" i="23"/>
  <c r="F27" i="23"/>
  <c r="D29" i="23"/>
  <c r="C26" i="23"/>
  <c r="D34" i="23"/>
  <c r="F45" i="23"/>
  <c r="B13" i="23"/>
  <c r="F6" i="23"/>
  <c r="D21" i="23"/>
  <c r="C11" i="23"/>
  <c r="E9" i="23"/>
  <c r="D42" i="23"/>
  <c r="B9" i="23"/>
  <c r="A5" i="23"/>
  <c r="F5" i="23" s="1"/>
  <c r="F24" i="23"/>
  <c r="B43" i="23"/>
  <c r="C21" i="23"/>
  <c r="E32" i="23"/>
  <c r="B30" i="23"/>
  <c r="C46" i="23"/>
  <c r="E19" i="23"/>
  <c r="E39" i="23"/>
  <c r="F16" i="23"/>
  <c r="F42" i="23"/>
  <c r="E14" i="23"/>
  <c r="B40" i="23"/>
  <c r="C15" i="23"/>
  <c r="F10" i="23"/>
  <c r="B10" i="23"/>
  <c r="D7" i="23"/>
  <c r="F46" i="23"/>
  <c r="E11" i="23"/>
  <c r="C34" i="23"/>
  <c r="D27" i="23"/>
  <c r="C33" i="23"/>
  <c r="F17" i="23"/>
  <c r="F28" i="23"/>
  <c r="F11" i="23"/>
  <c r="D33" i="23"/>
  <c r="F19" i="23"/>
  <c r="B7" i="23"/>
  <c r="E46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E42" i="23"/>
  <c r="D18" i="23"/>
  <c r="E23" i="23"/>
  <c r="E24" i="23"/>
  <c r="F40" i="23"/>
  <c r="D17" i="23"/>
  <c r="C6" i="23"/>
  <c r="F30" i="23"/>
  <c r="F37" i="23"/>
  <c r="F8" i="23"/>
  <c r="B28" i="23"/>
  <c r="E6" i="23"/>
  <c r="D16" i="23"/>
  <c r="C30" i="23"/>
  <c r="C38" i="23"/>
  <c r="B39" i="23"/>
  <c r="F33" i="23"/>
  <c r="C44" i="23"/>
  <c r="E29" i="23"/>
  <c r="E22" i="23"/>
  <c r="C12" i="23"/>
  <c r="D19" i="23"/>
  <c r="F13" i="23"/>
  <c r="D40" i="23"/>
  <c r="F34" i="23"/>
  <c r="C36" i="23"/>
  <c r="E45" i="23"/>
  <c r="B38" i="23"/>
  <c r="D45" i="23"/>
  <c r="E31" i="23"/>
  <c r="C32" i="23"/>
  <c r="B46" i="23"/>
  <c r="C43" i="23"/>
  <c r="E41" i="23"/>
  <c r="E43" i="23"/>
  <c r="D6" i="23"/>
  <c r="C20" i="23"/>
  <c r="D44" i="23"/>
  <c r="E25" i="23"/>
  <c r="D46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B25" i="23"/>
  <c r="F23" i="23"/>
  <c r="C27" i="23"/>
  <c r="E10" i="23"/>
  <c r="D32" i="23"/>
  <c r="E20" i="23"/>
  <c r="E34" i="23"/>
  <c r="E36" i="23"/>
  <c r="F39" i="23"/>
  <c r="C14" i="23"/>
  <c r="B41" i="23"/>
  <c r="C10" i="23"/>
  <c r="C41" i="23"/>
  <c r="F105" i="23" l="1"/>
  <c r="G5" i="23"/>
  <c r="C5" i="23"/>
  <c r="C105" i="23" s="1"/>
  <c r="E5" i="23"/>
  <c r="B5" i="23"/>
  <c r="B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<sst xmlns="http://schemas.openxmlformats.org/spreadsheetml/2006/main" count="6809" uniqueCount="3026">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</sst>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0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59"/>
      <tableStyleElement type="firstRowStripe" dxfId="58"/>
      <tableStyleElement type="secondRowStripe" dxfId="57"/>
    </tableStyle>
    <tableStyle name="Ações InCompany-style" pivot="0" count="3" xr9:uid="{00000000-0011-0000-FFFF-FFFF01000000}">
      <tableStyleElement type="headerRow" dxfId="56"/>
      <tableStyleElement type="firstRowStripe" dxfId="55"/>
      <tableStyleElement type="secondRowStripe" dxfId="54"/>
    </tableStyle>
    <tableStyle name="Coffee Break-style" pivot="0" count="3" xr9:uid="{00000000-0011-0000-FFFF-FFFF02000000}">
      <tableStyleElement type="headerRow" dxfId="53"/>
      <tableStyleElement type="firstRowStripe" dxfId="52"/>
      <tableStyleElement type="secondRowStripe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H1" zoomScaleNormal="100" workbookViewId="0">
      <pane ySplit="1" topLeftCell="A704" activePane="bottomLeft" state="frozen"/>
      <selection pane="bottomLeft" activeCell="V717" sqref="V717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/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2664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23"/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0" priority="6">
      <formula>TRIM(C2)="Realizado"</formula>
    </cfRule>
    <cfRule type="expression" dxfId="49" priority="7">
      <formula>TRIM(C2)="Cancelado"</formula>
    </cfRule>
    <cfRule type="expression" dxfId="48" priority="8">
      <formula>TRIM(C2)="Adiado"</formula>
    </cfRule>
    <cfRule type="expression" dxfId="47" priority="9">
      <formula>AND(TRIM(C2)="A realizar",ISODD(ROW(C2)))</formula>
    </cfRule>
  </conditionalFormatting>
  <conditionalFormatting sqref="L680">
    <cfRule type="containsBlanks" dxfId="46" priority="3">
      <formula>LEN(TRIM(L680))=0</formula>
    </cfRule>
  </conditionalFormatting>
  <conditionalFormatting sqref="L689:L690">
    <cfRule type="containsBlanks" dxfId="45" priority="1">
      <formula>LEN(TRIM(L689))=0</formula>
    </cfRule>
  </conditionalFormatting>
  <conditionalFormatting sqref="M1:M513 L1:L537 L678">
    <cfRule type="containsBlanks" dxfId="44" priority="4">
      <formula>LEN(TRIM(L1))=0</formula>
    </cfRule>
  </conditionalFormatting>
  <conditionalFormatting sqref="M517:M675 L539:L675 L676:M676">
    <cfRule type="containsBlanks" dxfId="43" priority="5">
      <formula>LEN(TRIM(L517))=0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Em andamento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Em andamento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Em andamento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56</v>
      </c>
      <c r="B5" s="116" t="s">
        <v>2911</v>
      </c>
      <c r="D5" s="123">
        <f>COUNTIFS('Ações InCompany'!B:B,2026,'Ações InCompany'!C:C,"Realizado")</f>
        <v>32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11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32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5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11</v>
      </c>
      <c r="E33" s="118">
        <f t="shared" ref="E33:E44" si="1">D33/$D$45</f>
        <v>0.21568627450980393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5.8823529411764705E-2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0.11764705882352941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3.9215686274509803E-2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3.9215686274509803E-2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0.23529411764705882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7.8431372549019607E-2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3.9215686274509803E-2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0.13725490196078433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3.9215686274509803E-2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32</v>
      </c>
      <c r="C45" s="121">
        <f>SUM(C33:C44)</f>
        <v>19</v>
      </c>
      <c r="D45" s="121">
        <f>SUM(D33:D44)</f>
        <v>51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2026-07-03T16:54:39Z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