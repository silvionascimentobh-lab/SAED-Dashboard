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63" documentId="13_ncr:1_{6A2CC3E2-FAFB-4D8F-B284-5E8FB5045DFE}" xr6:coauthVersionLast="47" xr6:coauthVersionMax="47" xr10:uidLastSave="{1E02F30C-3327-4BC2-9429-82BAB54CDDF7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R4" i="20" s="1" a="1"/>
  <c r="S4" i="20" s="1" a="1"/>
  <c r="T4" i="20" l="1" a="1"/>
  <c r="A2" i="20" l="1" a="1"/>
  <c r="A5" i="23" l="1" a="1"/>
  <c r="E105" i="23"/>
  <c r="D45" i="23" l="1"/>
  <c r="C39" i="23"/>
  <c r="D44" i="23"/>
  <c r="B33" i="23"/>
  <c r="B37" i="23"/>
  <c r="B10" i="23"/>
  <c r="E34" i="23"/>
  <c r="D31" i="23"/>
  <c r="E15" i="23"/>
  <c r="E13" i="23"/>
  <c r="C18" i="23"/>
  <c r="E22" i="23"/>
  <c r="B36" i="23"/>
  <c r="F38" i="23"/>
  <c r="D26" i="23"/>
  <c r="D22" i="23"/>
  <c r="D38" i="23"/>
  <c r="B25" i="23"/>
  <c r="E25" i="23"/>
  <c r="D52" i="23"/>
  <c r="F16" i="23"/>
  <c r="D21" i="23"/>
  <c r="F11" i="23"/>
  <c r="C46" i="23"/>
  <c r="F35" i="23"/>
  <c r="E6" i="23"/>
  <c r="F30" i="23"/>
  <c r="C13" i="23"/>
  <c r="C24" i="23"/>
  <c r="D10" i="23"/>
  <c r="E43" i="23"/>
  <c r="D28" i="23"/>
  <c r="B16" i="23"/>
  <c r="B13" i="23"/>
  <c r="C54" i="23"/>
  <c r="F29" i="23"/>
  <c r="E28" i="23"/>
  <c r="D18" i="23"/>
  <c r="D55" i="23"/>
  <c r="C30" i="23"/>
  <c r="E32" i="23"/>
  <c r="E48" i="23"/>
  <c r="B24" i="23"/>
  <c r="C40" i="23"/>
  <c r="B47" i="23"/>
  <c r="E52" i="23"/>
  <c r="D35" i="23"/>
  <c r="F37" i="23"/>
  <c r="D34" i="23"/>
  <c r="B11" i="23"/>
  <c r="F41" i="23"/>
  <c r="C8" i="23"/>
  <c r="E33" i="23"/>
  <c r="F24" i="23"/>
  <c r="C52" i="23"/>
  <c r="B50" i="23"/>
  <c r="D7" i="23"/>
  <c r="C50" i="23"/>
  <c r="C21" i="23"/>
  <c r="F51" i="23"/>
  <c r="C44" i="23"/>
  <c r="D40" i="23"/>
  <c r="F39" i="23"/>
  <c r="F28" i="23"/>
  <c r="C16" i="23"/>
  <c r="B27" i="23"/>
  <c r="E24" i="23"/>
  <c r="F25" i="23"/>
  <c r="E7" i="23"/>
  <c r="B45" i="23"/>
  <c r="B51" i="23"/>
  <c r="B46" i="23"/>
  <c r="B31" i="23"/>
  <c r="D23" i="23"/>
  <c r="C55" i="23"/>
  <c r="F44" i="23"/>
  <c r="F27" i="23"/>
  <c r="C41" i="23"/>
  <c r="E39" i="23"/>
  <c r="F40" i="23"/>
  <c r="F10" i="23"/>
  <c r="B30" i="23"/>
  <c r="C27" i="23"/>
  <c r="F7" i="23"/>
  <c r="D16" i="23"/>
  <c r="B38" i="23"/>
  <c r="D47" i="23"/>
  <c r="B32" i="23"/>
  <c r="F36" i="23"/>
  <c r="E18" i="23"/>
  <c r="C49" i="23"/>
  <c r="C47" i="23"/>
  <c r="B26" i="23"/>
  <c r="B14" i="23"/>
  <c r="F55" i="23"/>
  <c r="D12" i="23"/>
  <c r="E19" i="23"/>
  <c r="B49" i="23"/>
  <c r="D11" i="23"/>
  <c r="D42" i="23"/>
  <c r="B35" i="23"/>
  <c r="F6" i="23"/>
  <c r="F45" i="23"/>
  <c r="C29" i="23"/>
  <c r="F21" i="23"/>
  <c r="D6" i="23"/>
  <c r="D9" i="23"/>
  <c r="B12" i="23"/>
  <c r="F52" i="23"/>
  <c r="C28" i="23"/>
  <c r="C45" i="23"/>
  <c r="B40" i="23"/>
  <c r="E21" i="23"/>
  <c r="F34" i="23"/>
  <c r="C48" i="23"/>
  <c r="D43" i="23"/>
  <c r="E45" i="23"/>
  <c r="C20" i="23"/>
  <c r="C23" i="23"/>
  <c r="B52" i="23"/>
  <c r="E41" i="23"/>
  <c r="E20" i="23"/>
  <c r="B19" i="23"/>
  <c r="B48" i="23"/>
  <c r="E10" i="23"/>
  <c r="E36" i="23"/>
  <c r="F8" i="23"/>
  <c r="D13" i="23"/>
  <c r="F20" i="23"/>
  <c r="F17" i="23"/>
  <c r="B23" i="23"/>
  <c r="B39" i="23"/>
  <c r="D49" i="23"/>
  <c r="E30" i="23"/>
  <c r="B29" i="23"/>
  <c r="D46" i="23"/>
  <c r="B8" i="23"/>
  <c r="B9" i="23"/>
  <c r="C31" i="23"/>
  <c r="C14" i="23"/>
  <c r="F14" i="23"/>
  <c r="D27" i="23"/>
  <c r="D30" i="23"/>
  <c r="F54" i="23"/>
  <c r="E12" i="23"/>
  <c r="C35" i="23"/>
  <c r="F22" i="23"/>
  <c r="C34" i="23"/>
  <c r="C19" i="23"/>
  <c r="C7" i="23"/>
  <c r="E16" i="23"/>
  <c r="C12" i="23"/>
  <c r="C11" i="23"/>
  <c r="E42" i="23"/>
  <c r="E26" i="23"/>
  <c r="B21" i="23"/>
  <c r="E31" i="23"/>
  <c r="E50" i="23"/>
  <c r="E9" i="23"/>
  <c r="E29" i="23"/>
  <c r="D41" i="23"/>
  <c r="B44" i="23"/>
  <c r="C22" i="23"/>
  <c r="D24" i="23"/>
  <c r="E27" i="23"/>
  <c r="C51" i="23"/>
  <c r="C9" i="23"/>
  <c r="D19" i="23"/>
  <c r="B28" i="23"/>
  <c r="F43" i="23"/>
  <c r="C26" i="23"/>
  <c r="B54" i="23"/>
  <c r="E49" i="23"/>
  <c r="E54" i="23"/>
  <c r="B17" i="23"/>
  <c r="B34" i="23"/>
  <c r="D29" i="23"/>
  <c r="B18" i="23"/>
  <c r="E11" i="23"/>
  <c r="F9" i="23"/>
  <c r="F12" i="23"/>
  <c r="F50" i="23"/>
  <c r="E40" i="23"/>
  <c r="F49" i="23"/>
  <c r="F42" i="23"/>
  <c r="E55" i="23"/>
  <c r="E8" i="23"/>
  <c r="C42" i="23"/>
  <c r="D20" i="23"/>
  <c r="C15" i="23"/>
  <c r="C25" i="23"/>
  <c r="C10" i="23"/>
  <c r="D36" i="23"/>
  <c r="D8" i="23"/>
  <c r="B42" i="23"/>
  <c r="D15" i="23"/>
  <c r="C6" i="23"/>
  <c r="C37" i="23"/>
  <c r="D53" i="23"/>
  <c r="D32" i="23"/>
  <c r="D50" i="23"/>
  <c r="F15" i="23"/>
  <c r="E47" i="23"/>
  <c r="E46" i="23"/>
  <c r="D14" i="23"/>
  <c r="C43" i="23"/>
  <c r="B22" i="23"/>
  <c r="E53" i="23"/>
  <c r="C32" i="23"/>
  <c r="F33" i="23"/>
  <c r="C17" i="23"/>
  <c r="B7" i="23"/>
  <c r="D51" i="23"/>
  <c r="D37" i="23"/>
  <c r="E38" i="23"/>
  <c r="F13" i="23"/>
  <c r="F23" i="23"/>
  <c r="F18" i="23"/>
  <c r="E14" i="23"/>
  <c r="E17" i="23"/>
  <c r="C53" i="23"/>
  <c r="D48" i="23"/>
  <c r="F46" i="23"/>
  <c r="C33" i="23"/>
  <c r="D17" i="23"/>
  <c r="F32" i="23"/>
  <c r="F53" i="23"/>
  <c r="E37" i="23"/>
  <c r="D25" i="23"/>
  <c r="C36" i="23"/>
  <c r="B20" i="23"/>
  <c r="B55" i="23"/>
  <c r="C38" i="23"/>
  <c r="F48" i="23"/>
  <c r="E35" i="23"/>
  <c r="E44" i="23"/>
  <c r="E51" i="23"/>
  <c r="D39" i="23"/>
  <c r="F31" i="23"/>
  <c r="B41" i="23"/>
  <c r="F26" i="23"/>
  <c r="B15" i="23"/>
  <c r="F19" i="23"/>
  <c r="B53" i="23"/>
  <c r="B6" i="23"/>
  <c r="B43" i="23"/>
  <c r="D54" i="23"/>
  <c r="F47" i="23"/>
  <c r="E23" i="23"/>
  <c r="D33" i="23"/>
  <c r="D5" i="23" l="1"/>
  <c r="C5" i="23"/>
  <c r="C105" i="23" s="1"/>
  <c r="E5" i="23"/>
  <c r="B5" i="23"/>
  <c r="B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<sst xmlns="http://schemas.openxmlformats.org/spreadsheetml/2006/main" count="7259" uniqueCount="3189">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</sst>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3" fontId="48" fillId="0" borderId="1" xfId="0" quotePrefix="1" applyNumberFormat="1" applyFon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20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555</c:v>
                </c:pt>
                <c:pt idx="1">
                  <c:v>859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14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8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66" activePane="bottomLeft" state="frozen"/>
      <selection pane="bottomLeft" activeCell="E679" sqref="E679"/>
    </sheetView>
  </sheetViews>
  <sheetFormatPr defaultColWidth="9.140625" defaultRowHeight="22.5" customHeight="1" x14ac:dyDescent="0.25"/>
  <cols>
    <col min="1" max="1" width="8.7109375" style="3" bestFit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9.4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2697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12</v>
      </c>
      <c r="Q704" s="190">
        <v>0</v>
      </c>
      <c r="R704" s="190">
        <f t="shared" si="12"/>
        <v>14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2697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39</v>
      </c>
      <c r="Q706" s="190">
        <v>0</v>
      </c>
      <c r="R706" s="190">
        <f t="shared" si="12"/>
        <v>42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2697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41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2994</v>
      </c>
      <c r="H1" s="213" t="s">
        <v>2995</v>
      </c>
    </row>
    <row r="2" spans="1:8" x14ac:dyDescent="0.25">
      <c r="H2" s="212" t="s">
        <v>2996</v>
      </c>
    </row>
    <row r="3" spans="1:8" x14ac:dyDescent="0.25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 x14ac:dyDescent="0.25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 x14ac:dyDescent="0.25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 x14ac:dyDescent="0.25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 x14ac:dyDescent="0.25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25" activePane="bottomLeft" state="frozen"/>
      <selection pane="bottomLeft" activeCell="I38" sqref="I3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9.4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9.4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18.8</v>
      </c>
      <c r="J17" s="22">
        <f ca="1"/>
        <v>18.8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18.8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A realizar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A realizar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A realizar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3081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3082</v>
      </c>
      <c r="B4" s="230"/>
      <c r="D4" s="231" t="s">
        <v>3083</v>
      </c>
      <c r="E4" s="232"/>
      <c r="G4" s="45" t="s">
        <v>3084</v>
      </c>
    </row>
    <row r="5" spans="1:7" ht="54.95" customHeight="1" thickBot="1" x14ac:dyDescent="0.75">
      <c r="A5" s="35">
        <f>COUNTIF('Ações InCompany'!B:B,2026)</f>
        <v>81</v>
      </c>
      <c r="B5" s="36" t="s">
        <v>3085</v>
      </c>
      <c r="D5" s="43">
        <f>COUNTIFS('Ações InCompany'!B:B,2026,'Ações InCompany'!C:C,"Realizado")</f>
        <v>47</v>
      </c>
      <c r="E5" s="44" t="s">
        <v>3085</v>
      </c>
      <c r="G5" s="46">
        <f>COUNTIFS('Ações InCompany'!B:B,2026,'Ações InCompany'!C:C,"A realizar")</f>
        <v>31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3086</v>
      </c>
      <c r="B8" s="226"/>
      <c r="D8" s="226" t="s">
        <v>3087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555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20</v>
      </c>
      <c r="D12" s="31" t="s">
        <v>3092</v>
      </c>
      <c r="E12" s="32">
        <f>SUMIFS('Ações InCompany'!P:P,'Ações InCompany'!B:B,2026,'Ações InCompany'!C:C,"Realizado")</f>
        <v>859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3094</v>
      </c>
      <c r="B14" s="34">
        <f>SUM(B11:B13)</f>
        <v>45</v>
      </c>
      <c r="D14" s="33" t="s">
        <v>3095</v>
      </c>
      <c r="E14" s="34">
        <f>SUM(E11:E13)</f>
        <v>1904</v>
      </c>
    </row>
    <row r="30" spans="1:5" ht="17.25" x14ac:dyDescent="0.3">
      <c r="A30" s="226" t="s">
        <v>3096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14</v>
      </c>
      <c r="C33" s="47">
        <f>COUNTIFS('Ações InCompany'!B:B,2026,'Ações InCompany'!C:C,"A realizar",'Ações InCompany'!G:G,A33)</f>
        <v>8</v>
      </c>
      <c r="D33" s="37">
        <f t="shared" ref="D33:D44" si="0">B33+C33</f>
        <v>22</v>
      </c>
      <c r="E33" s="38">
        <f t="shared" ref="E33:E44" si="1">D33/$D$45</f>
        <v>0.28205128205128205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6.4102564102564097E-2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7.6923076923076927E-2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2.564102564102564E-2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7.6923076923076927E-2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0.28205128205128205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5.128205128205128E-2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2.564102564102564E-2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8.9743589743589744E-2</v>
      </c>
    </row>
    <row r="42" spans="1:5" ht="24" customHeight="1" x14ac:dyDescent="0.25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2.564102564102564E-2</v>
      </c>
    </row>
    <row r="44" spans="1:5" ht="24" customHeight="1" x14ac:dyDescent="0.25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3094</v>
      </c>
      <c r="B45" s="41">
        <f>SUM(B33:B44)</f>
        <v>47</v>
      </c>
      <c r="C45" s="41">
        <f>SUM(C33:C44)</f>
        <v>31</v>
      </c>
      <c r="D45" s="41">
        <f>SUM(D33:D44)</f>
        <v>78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 x14ac:dyDescent="0.25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 x14ac:dyDescent="0.25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 x14ac:dyDescent="0.25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 x14ac:dyDescent="0.25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 x14ac:dyDescent="0.25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 x14ac:dyDescent="0.25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 x14ac:dyDescent="0.25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 x14ac:dyDescent="0.25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 x14ac:dyDescent="0.25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 x14ac:dyDescent="0.25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 x14ac:dyDescent="0.25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 x14ac:dyDescent="0.25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 x14ac:dyDescent="0.25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 x14ac:dyDescent="0.25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 x14ac:dyDescent="0.25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 x14ac:dyDescent="0.25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3147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3148</v>
      </c>
    </row>
    <row r="4" spans="1:8" ht="21.95" customHeight="1" x14ac:dyDescent="0.25">
      <c r="A4" s="234" t="s">
        <v>3149</v>
      </c>
      <c r="B4" s="235"/>
      <c r="D4" s="234" t="s">
        <v>3150</v>
      </c>
      <c r="E4" s="235"/>
      <c r="G4" s="234" t="s">
        <v>3151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C56" sqref="C5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3157</v>
      </c>
      <c r="B1" s="239"/>
      <c r="C1" s="239"/>
      <c r="D1" s="239"/>
      <c r="E1" s="239"/>
      <c r="F1" s="239"/>
    </row>
    <row r="2" spans="1:7" x14ac:dyDescent="0.25">
      <c r="A2" s="240" t="s">
        <v>3158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23.599999999999998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39.6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3095</v>
      </c>
      <c r="B105" s="95">
        <f ca="1">SUM(B5:B100)</f>
        <v>704</v>
      </c>
      <c r="C105" s="95">
        <f ca="1">SUM(C5:C100)</f>
        <v>331.03999999999991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38" activePane="bottomLeft" state="frozen"/>
      <selection pane="bottomLeft" activeCell="H28" sqref="H28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18.8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2026-08-14T17:25:32Z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