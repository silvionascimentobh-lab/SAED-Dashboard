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26" documentId="13_ncr:1_{6A2CC3E2-FAFB-4D8F-B284-5E8FB5045DFE}" xr6:coauthVersionLast="47" xr6:coauthVersionMax="47" xr10:uidLastSave="{04E89778-940A-4ABF-B5D4-4C98A951C596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" i="20" l="1" a="1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E109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W7" i="3" a="1"/>
  <c r="W6" i="3" a="1"/>
  <c r="W5" i="3" a="1"/>
  <c r="W4" i="3"/>
  <c r="W3" i="3" a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6" i="29" l="1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AE33" i="20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D57" i="23" l="1"/>
  <c r="E57" i="23"/>
  <c r="F57" i="23"/>
  <c r="C57" i="23"/>
  <c r="B57" i="23"/>
  <c r="D56" i="23"/>
  <c r="F56" i="23"/>
  <c r="C56" i="23"/>
  <c r="E56" i="23"/>
  <c r="B56" i="23"/>
  <c r="B8" i="27" l="1"/>
  <c r="A8" i="27"/>
  <c r="L4" i="20"/>
  <c r="R4" i="20" s="1" a="1"/>
  <c r="R4" i="20" s="1"/>
  <c r="S4" i="20" s="1" a="1"/>
  <c r="S4" i="20" s="1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T4" i="20" l="1" a="1"/>
  <c r="T4" i="20" s="1"/>
  <c r="A2" i="20" l="1" a="1"/>
  <c r="A5" i="23" s="1" a="1"/>
  <c r="A2" i="20" l="1"/>
  <c r="E105" i="23"/>
  <c r="F6" i="23"/>
  <c r="F50" i="23"/>
  <c r="F39" i="23"/>
  <c r="E22" i="23"/>
  <c r="B36" i="23"/>
  <c r="C26" i="23"/>
  <c r="C25" i="23"/>
  <c r="D52" i="23"/>
  <c r="C35" i="23"/>
  <c r="E41" i="23"/>
  <c r="F10" i="23"/>
  <c r="E15" i="23"/>
  <c r="D44" i="23"/>
  <c r="E29" i="23"/>
  <c r="E38" i="23"/>
  <c r="C8" i="23"/>
  <c r="D29" i="23"/>
  <c r="B20" i="23"/>
  <c r="E10" i="23"/>
  <c r="E32" i="23"/>
  <c r="D31" i="23"/>
  <c r="E26" i="23"/>
  <c r="D26" i="23"/>
  <c r="D8" i="23"/>
  <c r="B26" i="23"/>
  <c r="E49" i="23"/>
  <c r="C50" i="23"/>
  <c r="D28" i="23"/>
  <c r="B10" i="23"/>
  <c r="B44" i="23"/>
  <c r="D12" i="23"/>
  <c r="E52" i="23"/>
  <c r="B8" i="23"/>
  <c r="B42" i="23"/>
  <c r="D23" i="23"/>
  <c r="D34" i="23"/>
  <c r="D18" i="23"/>
  <c r="B6" i="23"/>
  <c r="D20" i="23"/>
  <c r="B35" i="23"/>
  <c r="C6" i="23"/>
  <c r="F35" i="23"/>
  <c r="E43" i="23"/>
  <c r="D19" i="23"/>
  <c r="B21" i="23"/>
  <c r="D48" i="23"/>
  <c r="B41" i="23"/>
  <c r="C29" i="23"/>
  <c r="E35" i="23"/>
  <c r="D6" i="23"/>
  <c r="F28" i="23"/>
  <c r="C20" i="23"/>
  <c r="D35" i="23"/>
  <c r="C17" i="23"/>
  <c r="E19" i="23"/>
  <c r="E51" i="23"/>
  <c r="F32" i="23"/>
  <c r="E46" i="23"/>
  <c r="C44" i="23"/>
  <c r="B9" i="23"/>
  <c r="C52" i="23"/>
  <c r="E55" i="23"/>
  <c r="D21" i="23"/>
  <c r="C34" i="23"/>
  <c r="B38" i="23"/>
  <c r="C15" i="23"/>
  <c r="E7" i="23"/>
  <c r="C27" i="23"/>
  <c r="C36" i="23"/>
  <c r="C18" i="23"/>
  <c r="C7" i="23"/>
  <c r="F25" i="23"/>
  <c r="D33" i="23"/>
  <c r="F14" i="23"/>
  <c r="B28" i="23"/>
  <c r="E6" i="23"/>
  <c r="F24" i="23"/>
  <c r="F44" i="23"/>
  <c r="E11" i="23"/>
  <c r="B16" i="23"/>
  <c r="D14" i="23"/>
  <c r="F8" i="23"/>
  <c r="F17" i="23"/>
  <c r="B24" i="23"/>
  <c r="C33" i="23"/>
  <c r="E30" i="23"/>
  <c r="E21" i="23"/>
  <c r="C47" i="23"/>
  <c r="B15" i="23"/>
  <c r="B54" i="23"/>
  <c r="D36" i="23"/>
  <c r="B43" i="23"/>
  <c r="F9" i="23"/>
  <c r="D7" i="23"/>
  <c r="C37" i="23"/>
  <c r="B12" i="23"/>
  <c r="D40" i="23"/>
  <c r="B37" i="23"/>
  <c r="D41" i="23"/>
  <c r="B47" i="23"/>
  <c r="E50" i="23"/>
  <c r="B13" i="23"/>
  <c r="D37" i="23"/>
  <c r="F26" i="23"/>
  <c r="D46" i="23"/>
  <c r="C16" i="23"/>
  <c r="D13" i="23"/>
  <c r="D43" i="23"/>
  <c r="C38" i="23"/>
  <c r="F47" i="23"/>
  <c r="F18" i="23"/>
  <c r="F27" i="23"/>
  <c r="C12" i="23"/>
  <c r="E28" i="23"/>
  <c r="D11" i="23"/>
  <c r="E37" i="23"/>
  <c r="C14" i="23"/>
  <c r="C45" i="23"/>
  <c r="C41" i="23"/>
  <c r="C46" i="23"/>
  <c r="C51" i="23"/>
  <c r="D10" i="23"/>
  <c r="C9" i="23"/>
  <c r="D50" i="23"/>
  <c r="C53" i="23"/>
  <c r="B32" i="23"/>
  <c r="C48" i="23"/>
  <c r="F45" i="23"/>
  <c r="B14" i="23"/>
  <c r="F34" i="23"/>
  <c r="D51" i="23"/>
  <c r="B25" i="23"/>
  <c r="D39" i="23"/>
  <c r="B46" i="23"/>
  <c r="F33" i="23"/>
  <c r="D30" i="23"/>
  <c r="B50" i="23"/>
  <c r="C13" i="23"/>
  <c r="D17" i="23"/>
  <c r="B52" i="23"/>
  <c r="E20" i="23"/>
  <c r="C10" i="23"/>
  <c r="E44" i="23"/>
  <c r="F16" i="23"/>
  <c r="B22" i="23"/>
  <c r="F22" i="23"/>
  <c r="E9" i="23"/>
  <c r="B39" i="23"/>
  <c r="E40" i="23"/>
  <c r="F36" i="23"/>
  <c r="B30" i="23"/>
  <c r="E12" i="23"/>
  <c r="B34" i="23"/>
  <c r="B33" i="23"/>
  <c r="E13" i="23"/>
  <c r="B11" i="23"/>
  <c r="E24" i="23"/>
  <c r="E54" i="23"/>
  <c r="B31" i="23"/>
  <c r="F38" i="23"/>
  <c r="C21" i="23"/>
  <c r="F13" i="23"/>
  <c r="E14" i="23"/>
  <c r="C11" i="23"/>
  <c r="E34" i="23"/>
  <c r="E33" i="23"/>
  <c r="D42" i="23"/>
  <c r="B18" i="23"/>
  <c r="C22" i="23"/>
  <c r="F23" i="23"/>
  <c r="D25" i="23"/>
  <c r="F40" i="23"/>
  <c r="E36" i="23"/>
  <c r="C32" i="23"/>
  <c r="E48" i="23"/>
  <c r="B53" i="23"/>
  <c r="C54" i="23"/>
  <c r="E45" i="23"/>
  <c r="E39" i="23"/>
  <c r="F42" i="23"/>
  <c r="E23" i="23"/>
  <c r="D22" i="23"/>
  <c r="C28" i="23"/>
  <c r="B51" i="23"/>
  <c r="F49" i="23"/>
  <c r="D49" i="23"/>
  <c r="C23" i="23"/>
  <c r="D55" i="23"/>
  <c r="B48" i="23"/>
  <c r="D32" i="23"/>
  <c r="E31" i="23"/>
  <c r="B40" i="23"/>
  <c r="F29" i="23"/>
  <c r="B27" i="23"/>
  <c r="F12" i="23"/>
  <c r="E25" i="23"/>
  <c r="D54" i="23"/>
  <c r="D9" i="23"/>
  <c r="F51" i="23"/>
  <c r="F55" i="23"/>
  <c r="F46" i="23"/>
  <c r="F37" i="23"/>
  <c r="F54" i="23"/>
  <c r="F21" i="23"/>
  <c r="D45" i="23"/>
  <c r="F15" i="23"/>
  <c r="B19" i="23"/>
  <c r="F31" i="23"/>
  <c r="E53" i="23"/>
  <c r="D24" i="23"/>
  <c r="D53" i="23"/>
  <c r="E16" i="23"/>
  <c r="F41" i="23"/>
  <c r="B17" i="23"/>
  <c r="C24" i="23"/>
  <c r="E42" i="23"/>
  <c r="E47" i="23"/>
  <c r="B49" i="23"/>
  <c r="F53" i="23"/>
  <c r="D38" i="23"/>
  <c r="B7" i="23"/>
  <c r="C55" i="23"/>
  <c r="E8" i="23"/>
  <c r="E27" i="23"/>
  <c r="D47" i="23"/>
  <c r="E17" i="23"/>
  <c r="C30" i="23"/>
  <c r="C42" i="23"/>
  <c r="F20" i="23"/>
  <c r="F19" i="23"/>
  <c r="C31" i="23"/>
  <c r="F11" i="23"/>
  <c r="D27" i="23"/>
  <c r="F30" i="23"/>
  <c r="C19" i="23"/>
  <c r="B29" i="23"/>
  <c r="B55" i="23"/>
  <c r="C39" i="23"/>
  <c r="B45" i="23"/>
  <c r="F7" i="23"/>
  <c r="C43" i="23"/>
  <c r="C40" i="23"/>
  <c r="D15" i="23"/>
  <c r="D16" i="23"/>
  <c r="C49" i="23"/>
  <c r="F48" i="23"/>
  <c r="F43" i="23"/>
  <c r="B23" i="23"/>
  <c r="F52" i="23"/>
  <c r="E18" i="23"/>
  <c r="A5" i="23"/>
  <c r="C5" i="23" l="1"/>
  <c r="C105" i="23" s="1"/>
  <c r="B5" i="23"/>
  <c r="B105" i="23" s="1"/>
  <c r="F5" i="23"/>
  <c r="F105" i="23" s="1"/>
  <c r="E5" i="23"/>
  <c r="D5" i="23"/>
  <c r="G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<sst xmlns="http://schemas.openxmlformats.org/spreadsheetml/2006/main" count="7209" uniqueCount="3182">
  <si>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</si>
  <si>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</si>
  <si>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</si>
  <si>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</si>
  <si>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</si>
  <si>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</si>
  <si>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</si>
  <si>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</si>
  <si>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</si>
  <si>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</si>
  <si>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</si>
  <si>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</si>
  <si>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</si>
  <si>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</si>
  <si>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</si>
  <si>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</si>
  <si>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</si>
  <si>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</si>
  <si>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</si>
  <si>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</si>
  <si>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</si>
  <si>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</si>
  <si>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</si>
  <si>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</si>
  <si>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</si>
  <si>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</si>
  <si>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</si>
  <si>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</si>
  <si>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</si>
  <si>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</si>
  <si>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</si>
  <si>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</si>
  <si>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</si>
  <si>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</si>
  <si>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</si>
  <si>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</si>
  <si>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</si>
  <si>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</si>
  <si>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</si>
  <si>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</si>
  <si>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</si>
  <si>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</si>
  <si>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</si>
  <si>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</si>
  <si>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</si>
  <si>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</si>
  <si>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</si>
  <si>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</si>
  <si>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</si>
  <si>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</si>
  <si>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</si>
  <si>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</si>
  <si>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</si>
  <si>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</si>
  <si>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</si>
  <si>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</si>
  <si>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</si>
  <si>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</si>
  <si>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</si>
  <si>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</si>
  <si>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</si>
  <si>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</si>
  <si>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</si>
  <si>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</si>
  <si>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</si>
  <si>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</si>
  <si>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</si>
  <si>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</si>
  <si>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</si>
  <si>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</si>
  <si>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</si>
  <si>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</si>
  <si>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</si>
  <si>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</si>
  <si>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</si>
  <si>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</si>
  <si>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</si>
  <si>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</si>
  <si>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</si>
  <si>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</si>
  <si>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</si>
  <si>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</si>
  <si>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</si>
  <si>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</si>
  <si>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</si>
  <si>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</si>
  <si>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</si>
  <si>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</si>
  <si>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</si>
  <si>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</si>
  <si>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</si>
  <si>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</si>
  <si>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</si>
  <si>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</si>
  <si>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</si>
  <si>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</si>
  <si>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</si>
  <si>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</si>
  <si>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</si>
  <si>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</si>
  <si>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</si>
  <si>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</si>
  <si>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</si>
  <si>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</si>
  <si>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</si>
  <si>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</si>
  <si>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</si>
  <si>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</si>
  <si>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</si>
  <si>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</si>
  <si>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</si>
  <si>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</si>
  <si>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</si>
  <si>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</si>
  <si>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</si>
  <si>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</si>
  <si>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</si>
  <si>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</si>
  <si>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</si>
  <si>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</si>
  <si>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</si>
  <si>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</si>
  <si>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</si>
  <si>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</si>
  <si>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</si>
  <si>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</si>
  <si>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</si>
  <si>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</si>
  <si>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</si>
  <si>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</si>
  <si>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</si>
  <si>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</si>
  <si>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</si>
  <si>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</si>
  <si>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</si>
  <si>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</si>
  <si>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</si>
  <si>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</si>
  <si>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</si>
  <si>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</si>
  <si>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</si>
  <si>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</si>
  <si>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</si>
  <si>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</si>
  <si>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</si>
  <si>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</si>
  <si>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</si>
  <si>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</si>
  <si>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</si>
  <si>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</si>
  <si>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</si>
  <si>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</si>
  <si>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</si>
  <si>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</si>
  <si>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</si>
  <si>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</si>
  <si>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</si>
  <si>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</si>
  <si>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</si>
  <si>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</si>
  <si>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</si>
  <si>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</si>
  <si>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</si>
  <si>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</si>
  <si>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</si>
  <si>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</si>
  <si>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</si>
  <si>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</si>
  <si>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</si>
  <si>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</si>
  <si>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</si>
  <si>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</si>
  <si>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</si>
  <si>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</si>
  <si>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</si>
  <si>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</si>
  <si>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</si>
  <si>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</si>
  <si>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</si>
  <si>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</si>
  <si>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</si>
  <si>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</si>
  <si>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</si>
  <si>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</si>
  <si>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</si>
  <si>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</si>
  <si>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</si>
  <si>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</si>
  <si>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</si>
  <si>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</si>
  <si>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</si>
  <si>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</si>
  <si>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</si>
  <si>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</si>
  <si>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</si>
  <si>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</si>
  <si>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</si>
  <si>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</si>
  <si>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</si>
  <si>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</si>
  <si>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</si>
  <si>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</si>
  <si>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</si>
  <si>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</si>
  <si>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</si>
  <si>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</si>
  <si>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</si>
  <si>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</si>
  <si>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</si>
  <si>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</si>
  <si>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</si>
  <si>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</si>
  <si>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</si>
  <si>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</si>
  <si>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</si>
  <si>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</si>
  <si>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</si>
  <si>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</si>
  <si>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</si>
  <si>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</si>
  <si>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</si>
  <si>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</si>
  <si>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</si>
  <si>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</si>
  <si>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</si>
  <si>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</si>
  <si>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</si>
  <si>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</si>
  <si>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</si>
  <si>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</si>
  <si>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</si>
  <si>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</si>
  <si>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</si>
  <si>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</si>
  <si>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</si>
  <si>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</si>
  <si>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</si>
  <si>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</si>
  <si>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</si>
  <si>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</si>
  <si>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</si>
  <si>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</si>
  <si>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</si>
  <si>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</si>
  <si>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</si>
  <si>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</si>
  <si>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</si>
  <si>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</si>
  <si>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</si>
  <si>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</si>
  <si>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</si>
  <si>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</si>
  <si>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</si>
  <si>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</si>
  <si>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</si>
  <si>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</si>
  <si>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</si>
  <si>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</si>
  <si>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</si>
  <si>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</si>
  <si>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</si>
  <si>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</si>
  <si>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</si>
  <si>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</si>
  <si>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</si>
  <si>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</si>
  <si>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</si>
  <si>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</si>
  <si>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</si>
  <si>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</si>
  <si>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</si>
  <si>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</si>
  <si>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</si>
  <si>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</si>
  <si>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</si>
  <si>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</si>
  <si>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</si>
  <si>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</si>
  <si>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</si>
  <si>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</si>
  <si>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</si>
  <si>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</si>
  <si>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</si>
  <si>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</si>
  <si>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</si>
  <si>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</si>
  <si>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</si>
  <si>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</si>
  <si>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</si>
  <si>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</si>
  <si>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</si>
  <si>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</si>
  <si>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</si>
  <si>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</si>
  <si>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</si>
  <si>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</si>
  <si>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</si>
  <si>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</si>
  <si>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</si>
  <si>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</si>
  <si>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</si>
  <si>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</si>
  <si>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</si>
  <si>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</si>
  <si>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</si>
  <si>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</si>
  <si>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</si>
  <si>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</si>
  <si>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</si>
  <si>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</si>
  <si>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</si>
  <si>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</si>
  <si>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</si>
  <si>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</si>
  <si>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</si>
  <si>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</si>
  <si>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</si>
  <si>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</si>
  <si>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</si>
  <si>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</si>
  <si>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</si>
  <si>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</si>
  <si>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</si>
  <si>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</si>
  <si>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</si>
  <si>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</si>
  <si>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</si>
  <si>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</si>
  <si>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</si>
  <si>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</si>
  <si>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</si>
  <si>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</si>
  <si>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</si>
  <si>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</si>
  <si>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</si>
  <si>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</si>
  <si>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</si>
  <si>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</si>
  <si>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</si>
  <si>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</si>
  <si>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</si>
  <si>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</si>
  <si>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</si>
  <si>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</si>
  <si>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</si>
  <si>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</si>
  <si>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</si>
  <si>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</si>
  <si>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</si>
  <si>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</si>
  <si>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</si>
  <si>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</si>
  <si>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</si>
  <si>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</si>
  <si>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</si>
  <si>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</si>
  <si>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</si>
  <si>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</si>
  <si>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</si>
  <si>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</si>
  <si>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</si>
  <si>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</si>
  <si>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</si>
  <si>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</si>
  <si>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</si>
  <si>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</si>
  <si>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</si>
  <si>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</si>
  <si>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</si>
  <si>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</si>
  <si>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</si>
  <si>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</si>
  <si>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</si>
  <si>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</si>
  <si>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</si>
  <si>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</si>
  <si>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</si>
  <si>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</si>
  <si>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</si>
  <si>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</si>
  <si>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</si>
  <si>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</si>
  <si>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</si>
  <si>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</si>
  <si>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</si>
  <si>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</si>
  <si>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</si>
  <si>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</si>
  <si>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</si>
  <si>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</si>
  <si>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</si>
  <si>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</si>
  <si>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</si>
  <si>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</si>
  <si>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</si>
  <si>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</si>
  <si>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</si>
  <si>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</si>
  <si>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</si>
  <si>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</si>
  <si>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</si>
  <si>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</si>
  <si>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</si>
  <si>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</si>
  <si>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</si>
  <si>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</si>
  <si>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</si>
  <si>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</si>
  <si>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</si>
  <si>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</si>
  <si>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</si>
  <si>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</si>
  <si>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</si>
  <si>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</si>
  <si>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</si>
  <si>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</si>
  <si>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</si>
  <si>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</si>
  <si>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</si>
  <si>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</si>
  <si>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</si>
  <si>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</si>
  <si>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</si>
  <si>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</si>
  <si>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</si>
  <si>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</si>
  <si>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</si>
  <si>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</si>
  <si>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</si>
  <si>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</si>
  <si>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</si>
  <si>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</si>
  <si>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</si>
  <si>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</si>
  <si>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</si>
  <si>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</si>
  <si>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</si>
  <si>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</si>
  <si>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</si>
  <si>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</si>
  <si>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</si>
  <si>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</si>
  <si>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</si>
  <si>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</si>
  <si>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</si>
  <si>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</si>
  <si>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</si>
  <si>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</si>
  <si>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</si>
  <si>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</si>
  <si>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</si>
  <si>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</si>
  <si>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</si>
  <si>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</si>
  <si>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</si>
  <si>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</si>
  <si>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</si>
  <si>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</si>
  <si>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</si>
  <si>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</si>
  <si>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</si>
  <si>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</si>
  <si>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</si>
  <si>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</si>
  <si>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</si>
  <si>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</si>
  <si>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</si>
  <si>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</si>
  <si>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</si>
  <si>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</si>
  <si>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</si>
  <si>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</si>
  <si>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</si>
  <si>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</si>
  <si>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</si>
  <si>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</si>
  <si>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</si>
  <si>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</si>
  <si>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</si>
  <si>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</si>
  <si>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</si>
  <si>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</si>
  <si>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</si>
  <si>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</si>
  <si>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</si>
  <si>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</si>
  <si>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</si>
  <si>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</si>
  <si>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</si>
  <si>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</si>
  <si>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</si>
  <si>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</si>
  <si>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</si>
  <si>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</si>
  <si>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</si>
  <si>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</si>
  <si>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</si>
  <si>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</si>
  <si>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</si>
  <si>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</si>
  <si>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</si>
  <si>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</si>
  <si>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</si>
  <si>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</si>
  <si>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</si>
  <si>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</si>
  <si>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</si>
  <si>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</si>
  <si>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</si>
  <si>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</si>
  <si>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</si>
  <si>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</si>
  <si>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</si>
  <si>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</si>
  <si>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</si>
  <si>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</si>
  <si>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</si>
  <si>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</si>
  <si>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</si>
  <si>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</si>
  <si>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</si>
  <si>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</si>
  <si>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</si>
  <si>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</si>
  <si>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</si>
  <si>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</si>
  <si>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</si>
  <si>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</si>
  <si>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</si>
  <si>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</si>
  <si>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</si>
  <si>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</si>
  <si>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</si>
  <si>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</si>
  <si>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</si>
  <si>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</si>
  <si>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</si>
  <si>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</si>
  <si>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</si>
  <si>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</si>
  <si>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</si>
  <si>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</si>
  <si>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</si>
  <si>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</si>
  <si>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</si>
  <si>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</si>
  <si>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</si>
  <si>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</si>
  <si>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</si>
  <si>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</si>
  <si>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</si>
  <si>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</si>
  <si>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</si>
  <si>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</si>
  <si>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</si>
  <si>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</si>
  <si>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</si>
  <si>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</si>
  <si>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</si>
  <si>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</si>
  <si>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</si>
  <si>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</si>
  <si>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</si>
  <si>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</si>
  <si>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</si>
  <si>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</si>
  <si>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</si>
  <si>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</si>
  <si>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</si>
  <si>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</si>
  <si>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</si>
  <si>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</si>
  <si>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</si>
  <si>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</si>
  <si>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</si>
  <si>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</si>
  <si>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</si>
  <si>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</si>
  <si>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</si>
  <si>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</si>
  <si>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</si>
  <si>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</si>
  <si>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</si>
  <si>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</si>
  <si>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</si>
  <si>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</si>
  <si>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</si>
  <si>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</si>
  <si>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</si>
  <si>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</si>
  <si>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</si>
  <si>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</si>
  <si>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</si>
  <si>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</si>
  <si>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</si>
  <si>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</si>
  <si>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</si>
  <si>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</si>
  <si>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</si>
  <si>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</si>
  <si>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</si>
  <si>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</si>
  <si>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</si>
  <si>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</si>
  <si>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</si>
  <si>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</si>
  <si>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</si>
  <si>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</si>
  <si>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</si>
  <si>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</si>
  <si>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</si>
  <si>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</si>
  <si>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</si>
  <si>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</si>
  <si>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</si>
  <si>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</si>
  <si>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</si>
  <si>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</si>
  <si>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</si>
  <si>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</si>
  <si>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</si>
  <si>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</si>
  <si>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</si>
  <si>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</si>
  <si>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</si>
  <si>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</si>
  <si>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</si>
  <si>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</si>
  <si>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</si>
  <si>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</si>
  <si>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</si>
  <si>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</si>
  <si>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</si>
  <si>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</si>
  <si>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</si>
  <si>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</si>
  <si>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</si>
  <si>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</si>
  <si>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</si>
  <si>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</si>
  <si>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</si>
  <si>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</si>
  <si>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</si>
  <si>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</si>
  <si>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</si>
  <si>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</si>
  <si>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</si>
  <si>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</si>
  <si>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</si>
  <si>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</si>
  <si>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</si>
  <si>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</si>
  <si>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</si>
  <si>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</si>
  <si>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</si>
  <si>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</si>
  <si>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</si>
  <si>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</si>
  <si>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</si>
  <si>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</si>
  <si>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</si>
  <si>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</si>
  <si>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</si>
  <si>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</si>
  <si>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</si>
  <si>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</si>
  <si>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</si>
  <si>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</si>
  <si>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</si>
  <si>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</si>
  <si>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</si>
  <si>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</si>
  <si>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</si>
  <si>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</si>
  <si>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</si>
  <si>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</si>
  <si>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</si>
  <si>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</si>
  <si>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</si>
  <si>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</si>
  <si>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</si>
  <si>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</si>
  <si>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</si>
  <si>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</si>
  <si>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</si>
  <si>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</si>
  <si>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</si>
  <si>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</si>
  <si>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</si>
  <si>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</si>
  <si>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</si>
  <si>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</si>
  <si>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</si>
  <si>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</si>
  <si>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</si>
  <si>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</si>
  <si>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</si>
  <si>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</si>
  <si>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</si>
  <si>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</si>
  <si>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</si>
  <si>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</si>
  <si>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</si>
  <si>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</si>
  <si>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</si>
  <si>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</si>
  <si>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</si>
  <si>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</si>
  <si>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</si>
  <si>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</si>
  <si>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</si>
  <si>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</si>
  <si>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</si>
  <si>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</si>
  <si>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</si>
  <si>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</si>
  <si>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</si>
  <si>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</si>
  <si>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</si>
  <si>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</si>
  <si>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</si>
  <si>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</si>
  <si>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</si>
  <si>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</si>
  <si>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</si>
  <si>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</si>
  <si>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</si>
  <si>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</si>
  <si>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</si>
  <si>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</si>
  <si>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</si>
  <si>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</si>
  <si>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</si>
  <si>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</si>
  <si>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</si>
  <si>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</si>
  <si>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</si>
  <si>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</si>
  <si>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</si>
  <si>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</si>
  <si>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</si>
  <si>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</si>
  <si>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</si>
  <si>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</si>
  <si>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</si>
  <si>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</si>
  <si>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</si>
  <si>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</si>
  <si>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</si>
  <si>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</si>
  <si>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</si>
  <si>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</si>
  <si>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</si>
  <si>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</si>
  <si>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</si>
  <si>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</si>
  <si>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</si>
  <si>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</si>
  <si>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</si>
  <si>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</si>
  <si>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</si>
  <si>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</si>
  <si>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</si>
  <si>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</si>
  <si>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</si>
  <si>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</si>
  <si>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</si>
  <si>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</si>
  <si>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</si>
  <si>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</si>
  <si>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</si>
  <si>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</si>
  <si>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</si>
  <si>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</si>
  <si>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</si>
  <si>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</si>
  <si>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</si>
  <si>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</si>
  <si>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</si>
  <si>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</si>
  <si>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</si>
  <si>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</si>
  <si>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</si>
  <si>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</si>
  <si>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</si>
  <si>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</si>
  <si>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</si>
  <si>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</si>
  <si>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</si>
  <si>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</si>
  <si>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</si>
  <si>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</si>
  <si>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</si>
  <si>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</si>
  <si>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</si>
  <si>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</si>
  <si>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</si>
  <si>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</si>
  <si>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</si>
  <si>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</si>
  <si>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</si>
  <si>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</si>
  <si>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</si>
  <si>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</si>
  <si>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</si>
  <si>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</si>
  <si>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</si>
  <si>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</si>
  <si>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</si>
  <si>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</si>
  <si>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</si>
  <si>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</si>
  <si>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</si>
  <si>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</si>
  <si>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</si>
  <si>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</si>
  <si>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</si>
  <si>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</si>
  <si>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</si>
  <si>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</si>
  <si>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</si>
  <si>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</si>
  <si>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</si>
  <si>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</si>
  <si>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</si>
  <si>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</si>
  <si>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</si>
  <si>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</si>
  <si>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</si>
  <si>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</si>
  <si>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</si>
  <si>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</si>
  <si>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</si>
  <si>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</si>
  <si>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</si>
  <si>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</si>
  <si>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</si>
  <si>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</si>
  <si>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</si>
  <si>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</si>
  <si>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</si>
  <si>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</si>
  <si>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</si>
  <si>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</si>
  <si>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</si>
  <si>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</si>
  <si>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</si>
  <si>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</si>
  <si>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</si>
  <si>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</si>
  <si>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</si>
  <si>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</si>
  <si>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</si>
  <si>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</si>
  <si>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</si>
  <si>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</si>
  <si>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</si>
  <si>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</si>
  <si>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</si>
  <si>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</si>
  <si>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</si>
  <si>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</si>
  <si>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</si>
  <si>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</si>
  <si>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</si>
  <si>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</si>
  <si>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</si>
  <si>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</si>
  <si>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</si>
  <si>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</si>
  <si>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</si>
  <si>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</si>
  <si>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</si>
  <si>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</si>
  <si>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</si>
  <si>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</si>
  <si>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</si>
  <si>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</si>
  <si>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</si>
  <si>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</si>
  <si>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</si>
  <si>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</si>
  <si>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</si>
  <si>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</si>
  <si>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</si>
  <si>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</si>
  <si>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</si>
  <si>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</si>
  <si>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</si>
  <si>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</si>
  <si>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</si>
  <si>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</si>
  <si>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</si>
  <si>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</si>
  <si>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</si>
  <si>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</si>
  <si>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</si>
  <si>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</si>
  <si>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</si>
  <si>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</si>
  <si>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</si>
  <si>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</si>
  <si>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</si>
  <si>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</si>
  <si>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</si>
  <si>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</si>
  <si>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</si>
  <si>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</si>
  <si>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</si>
  <si>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</si>
  <si>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</si>
  <si>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</si>
  <si>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</si>
  <si>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</si>
  <si>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</si>
  <si>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</si>
  <si>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</si>
  <si>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</si>
  <si>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</si>
  <si>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</si>
  <si>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</si>
  <si>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</si>
  <si>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</si>
  <si>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</si>
  <si>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</si>
  <si>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</si>
  <si>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</si>
  <si>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</si>
  <si>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</si>
  <si>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</si>
  <si>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</si>
  <si>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</si>
  <si>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</si>
  <si>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</si>
  <si>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</si>
  <si>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</si>
  <si>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</si>
  <si>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</si>
  <si>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</si>
  <si>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</si>
  <si>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</si>
  <si>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</si>
  <si>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</si>
  <si>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</si>
  <si>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</si>
  <si>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</si>
  <si>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</si>
  <si>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</si>
  <si>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</si>
  <si>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</si>
  <si>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</si>
  <si>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</si>
  <si>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</si>
  <si>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</si>
  <si>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</si>
  <si>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</si>
  <si>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</si>
  <si>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</si>
  <si>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</si>
  <si>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</si>
  <si>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</si>
  <si>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</si>
  <si>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</si>
  <si>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</si>
  <si>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</si>
  <si>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</si>
  <si>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</si>
  <si>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</si>
  <si>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</si>
  <si>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</si>
  <si>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</si>
  <si>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</si>
  <si>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</si>
  <si>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</si>
  <si>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</si>
  <si>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</si>
  <si>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</si>
  <si>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</si>
  <si>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</si>
  <si>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</si>
  <si>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</si>
  <si>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</si>
  <si>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</si>
  <si>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</si>
  <si>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</si>
  <si>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</si>
  <si>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</si>
  <si>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</si>
  <si>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</si>
  <si>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</si>
  <si>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</si>
  <si>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</si>
  <si>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</si>
  <si>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</si>
  <si>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</si>
  <si>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</si>
  <si>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</si>
  <si>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</si>
  <si>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</si>
  <si>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</si>
  <si>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</si>
  <si>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</si>
  <si>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</si>
  <si>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</si>
  <si>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</si>
  <si>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</si>
  <si>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</si>
  <si>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</si>
  <si>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</si>
  <si>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</si>
  <si>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</si>
  <si>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</si>
  <si>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</si>
  <si>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</si>
  <si>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</si>
  <si>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</si>
  <si>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</si>
  <si>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</si>
  <si>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</si>
  <si>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</si>
  <si>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</si>
  <si>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</si>
  <si>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</si>
  <si>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</si>
  <si>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</si>
  <si>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</si>
  <si>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</si>
  <si>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</si>
  <si>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</si>
  <si>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</si>
  <si>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</si>
  <si>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</si>
  <si>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</si>
  <si>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</si>
  <si>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</si>
  <si>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</si>
  <si>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</si>
  <si>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</si>
  <si>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</si>
  <si>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</si>
  <si>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</si>
  <si>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</si>
  <si>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</si>
  <si>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</si>
  <si>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</si>
  <si>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</si>
  <si>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</si>
  <si>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</si>
  <si>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</si>
  <si>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</si>
  <si>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</si>
  <si>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</si>
  <si>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</si>
  <si>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</si>
  <si>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</si>
  <si>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</si>
  <si>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</si>
  <si>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</si>
  <si>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</si>
  <si>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</si>
  <si>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</si>
  <si>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</si>
  <si>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</si>
  <si>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</si>
  <si>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</si>
  <si>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</si>
  <si>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</si>
  <si>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</si>
  <si>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</si>
  <si>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</si>
  <si>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</si>
  <si>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</si>
  <si>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</si>
  <si>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</si>
  <si>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</si>
  <si>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</si>
  <si>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</si>
  <si>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</si>
  <si>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</si>
  <si>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</si>
  <si>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</si>
  <si>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</si>
  <si>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</si>
  <si>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</si>
  <si>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</si>
  <si>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</si>
  <si>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</si>
  <si>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</si>
  <si>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</si>
  <si>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</si>
  <si>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</si>
  <si>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</si>
  <si>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</si>
  <si>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</si>
  <si>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</si>
  <si>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</si>
  <si>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</si>
  <si>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</si>
  <si>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</si>
  <si>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</si>
  <si>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</si>
  <si>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</si>
  <si>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</si>
  <si>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</si>
  <si>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</si>
  <si>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</si>
  <si>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</si>
  <si>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</si>
  <si>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</si>
  <si>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</si>
  <si>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</si>
  <si>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</si>
  <si>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</si>
  <si>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</si>
  <si>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</si>
  <si>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</si>
  <si>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</si>
  <si>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</si>
  <si>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</si>
  <si>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</si>
  <si>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</si>
  <si>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</si>
  <si>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</si>
  <si>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</si>
  <si>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</si>
  <si>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</si>
  <si>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</si>
  <si>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</si>
  <si>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</si>
  <si>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</si>
  <si>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</si>
  <si>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</si>
  <si>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</si>
  <si>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</si>
  <si>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</si>
  <si>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</si>
  <si>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</si>
  <si>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</si>
  <si>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</si>
  <si>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</si>
  <si>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</si>
  <si>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</si>
  <si>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</si>
  <si>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</si>
  <si>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</si>
  <si>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</si>
  <si>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</si>
  <si>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</si>
  <si>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</si>
  <si>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</si>
  <si>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</si>
  <si>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</si>
  <si>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</si>
  <si>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</si>
  <si>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</si>
  <si>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</si>
  <si>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</si>
  <si>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</si>
  <si>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</si>
  <si>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</si>
  <si>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</si>
  <si>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</si>
  <si>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</si>
  <si>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</si>
  <si>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</si>
  <si>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</si>
  <si>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</si>
  <si>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</si>
  <si>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</si>
  <si>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</si>
  <si>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</si>
  <si>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</si>
  <si>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</si>
  <si>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</si>
  <si>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</si>
  <si>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</si>
  <si>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</si>
  <si>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</si>
  <si>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</si>
  <si>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</si>
  <si>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</si>
  <si>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</si>
  <si>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</si>
  <si>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</si>
  <si>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</si>
  <si>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</si>
  <si>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</si>
  <si>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</si>
  <si>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</si>
  <si>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</si>
  <si>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</si>
  <si>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</si>
  <si>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</si>
  <si>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</si>
  <si>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</si>
  <si>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</si>
  <si>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</si>
  <si>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</si>
  <si>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</si>
  <si>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</si>
  <si>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</si>
  <si>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</si>
  <si>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</si>
  <si>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</si>
  <si>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</si>
  <si>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</si>
  <si>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</si>
  <si>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</si>
  <si>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</si>
  <si>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</si>
  <si>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</si>
  <si>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</si>
  <si>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</si>
  <si>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</si>
  <si>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</si>
  <si>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</si>
  <si>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</si>
  <si>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</si>
  <si>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</si>
  <si>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</si>
  <si>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</si>
  <si>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</si>
  <si>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</si>
  <si>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</si>
  <si>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</si>
  <si>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</si>
  <si>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</si>
  <si>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</si>
  <si>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</si>
  <si>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</si>
  <si>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</si>
  <si>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</si>
  <si>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</si>
  <si>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</si>
  <si>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</si>
  <si>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</si>
  <si>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</si>
  <si>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</si>
  <si>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</si>
  <si>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</si>
  <si>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</si>
  <si>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</si>
  <si>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</si>
  <si>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</si>
  <si>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</si>
  <si>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</si>
  <si>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</si>
  <si>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</si>
  <si>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</si>
  <si>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</si>
  <si>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</si>
  <si>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</si>
  <si>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</si>
  <si>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</si>
  <si>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</si>
  <si>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</si>
  <si>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</si>
  <si>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</si>
  <si>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</si>
  <si>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</si>
  <si>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</si>
  <si>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</si>
  <si>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</si>
  <si>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</si>
  <si>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</si>
  <si>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</si>
  <si>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</si>
  <si>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</si>
  <si>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</si>
  <si>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</si>
  <si>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</si>
  <si>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</si>
  <si>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</si>
  <si>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</si>
  <si>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</si>
  <si>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</si>
  <si>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</si>
  <si>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</si>
  <si>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</si>
  <si>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</si>
  <si>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</si>
  <si>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</si>
  <si>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</si>
  <si>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</si>
  <si>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</si>
  <si>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</si>
  <si>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</si>
  <si>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</si>
  <si>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</si>
  <si>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</si>
  <si>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</si>
  <si>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</si>
  <si>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</si>
  <si>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</si>
  <si>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</si>
  <si>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</si>
  <si>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</si>
  <si>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</si>
  <si>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</si>
  <si>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</si>
  <si>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</si>
  <si>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</si>
  <si>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</si>
  <si>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</si>
  <si>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</si>
  <si>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</si>
  <si>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</si>
  <si>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</si>
  <si>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</si>
  <si>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</si>
  <si>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</si>
  <si>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</si>
  <si>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</si>
  <si>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</si>
  <si>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</si>
  <si>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</si>
  <si>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</si>
  <si>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</si>
  <si>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</si>
  <si>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</si>
  <si>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</si>
  <si>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</si>
  <si>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</si>
  <si>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</si>
  <si>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</si>
  <si>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</si>
  <si>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</si>
  <si>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</si>
  <si>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</si>
  <si>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</si>
  <si>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</si>
  <si>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</si>
  <si>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</si>
  <si>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</si>
  <si>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</si>
  <si>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</si>
  <si>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</si>
  <si>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</si>
  <si>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</si>
  <si>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</si>
  <si>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</si>
  <si>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</si>
  <si>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</si>
  <si>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</si>
  <si>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</si>
  <si>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</si>
  <si>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</si>
  <si>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</si>
  <si>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</si>
  <si>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</si>
  <si>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</si>
  <si>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</si>
  <si>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</si>
  <si>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</si>
  <si>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</si>
  <si>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</si>
  <si>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</si>
  <si>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</si>
  <si>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</si>
  <si>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</si>
  <si>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</si>
  <si>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</si>
  <si>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</si>
  <si>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</si>
  <si>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</si>
  <si>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</si>
  <si>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</si>
  <si>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</si>
  <si>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</si>
  <si>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</si>
  <si>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</si>
  <si>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</si>
  <si>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</si>
  <si>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</si>
  <si>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</si>
  <si>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</si>
  <si>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</si>
  <si>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</si>
  <si>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</si>
  <si>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</si>
  <si>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</si>
  <si>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</si>
  <si>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</si>
  <si>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</si>
  <si>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</si>
  <si>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</si>
  <si>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</si>
  <si>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</si>
  <si>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</si>
  <si>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</si>
  <si>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</si>
  <si>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</si>
  <si>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</si>
  <si>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</si>
  <si>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</si>
  <si>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</si>
  <si>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</si>
  <si>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</si>
  <si>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</si>
  <si>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</si>
  <si>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</si>
  <si>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</si>
  <si>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</si>
  <si>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</si>
  <si>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</si>
  <si>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</si>
  <si>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</si>
  <si>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</si>
  <si>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</si>
  <si>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</si>
  <si>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</si>
  <si>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</si>
  <si>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</si>
  <si>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</si>
  <si>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</si>
  <si>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</si>
  <si>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</si>
  <si>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</si>
  <si>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</si>
  <si>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</si>
  <si>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</si>
  <si>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</si>
  <si>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</si>
  <si>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</si>
  <si>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</si>
  <si>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</si>
  <si>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</si>
  <si>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</si>
  <si>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</si>
  <si>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</si>
  <si>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</si>
  <si>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</si>
  <si>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</si>
  <si>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</si>
  <si>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</si>
  <si>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</si>
  <si>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</si>
  <si>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</si>
  <si>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</si>
  <si>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</si>
  <si>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</si>
  <si>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</si>
  <si>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</si>
  <si>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</si>
  <si>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</si>
  <si>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</si>
  <si>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</si>
  <si>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</si>
  <si>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</si>
  <si>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</si>
  <si>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</si>
  <si>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</si>
  <si>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</si>
  <si>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</si>
  <si>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</si>
  <si>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</si>
  <si>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</si>
  <si>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</si>
  <si>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</si>
  <si>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</si>
  <si>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</si>
  <si>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</si>
  <si>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</si>
  <si>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</si>
  <si>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</si>
  <si>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</si>
  <si>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</si>
  <si>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</si>
  <si>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</si>
  <si>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</si>
  <si>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</si>
  <si>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</si>
  <si>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</si>
  <si>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</si>
  <si>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</si>
  <si>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</si>
  <si>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</si>
  <si>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</si>
  <si>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</si>
  <si>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</si>
  <si>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</si>
  <si>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</si>
  <si>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</si>
  <si>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</si>
  <si>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</si>
  <si>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</si>
  <si>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</si>
  <si>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</si>
  <si>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</si>
  <si>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</si>
  <si>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</si>
  <si>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</si>
  <si>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</si>
  <si>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</si>
  <si>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</si>
  <si>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</si>
  <si>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</si>
  <si>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</si>
  <si>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</si>
  <si>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</si>
  <si>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</si>
  <si>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</si>
  <si>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</si>
  <si>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</si>
  <si>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</si>
  <si>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</si>
  <si>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</si>
  <si>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</si>
  <si>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</si>
  <si>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</si>
  <si>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</si>
  <si>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</si>
  <si>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</si>
  <si>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</si>
  <si>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</si>
  <si>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</si>
  <si>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</si>
  <si>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</si>
  <si>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</si>
  <si>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</si>
  <si>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</si>
  <si>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</si>
  <si>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</si>
  <si>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</si>
  <si>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</si>
  <si>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</si>
  <si>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</si>
  <si>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</si>
  <si>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</si>
  <si>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</si>
  <si>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</si>
  <si>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</si>
  <si>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</si>
  <si>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</si>
  <si>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</si>
  <si>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</si>
  <si>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</si>
  <si>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</si>
  <si>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</si>
  <si>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</si>
  <si>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</si>
  <si>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</si>
  <si>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</si>
  <si>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</si>
  <si>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</si>
  <si>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</si>
  <si>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</si>
  <si>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</si>
  <si>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</si>
  <si>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</si>
  <si>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</si>
  <si>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</si>
  <si>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</si>
  <si>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</si>
  <si>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</si>
  <si>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</si>
  <si>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</si>
  <si>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</si>
  <si>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</si>
  <si>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</si>
  <si>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</si>
  <si>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</si>
  <si>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</si>
  <si>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</si>
  <si>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</si>
  <si>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</si>
  <si>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</si>
  <si>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</si>
  <si>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</si>
  <si>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</si>
  <si>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</si>
  <si>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</si>
  <si>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</si>
  <si>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</si>
  <si>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</si>
  <si>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</si>
  <si>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</si>
  <si>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</si>
  <si>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</si>
  <si>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</si>
  <si>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</si>
  <si>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</si>
  <si>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</si>
  <si>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</si>
  <si>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</si>
  <si>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</si>
  <si>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</si>
  <si>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</si>
  <si>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</si>
  <si>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</si>
  <si>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</si>
  <si>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</si>
  <si>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</si>
  <si>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</si>
  <si>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</si>
  <si>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</si>
  <si>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</si>
  <si>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</si>
  <si>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</si>
  <si>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</si>
  <si>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</si>
  <si>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</si>
  <si>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</si>
  <si>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</si>
  <si>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</si>
  <si>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</si>
  <si>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</si>
  <si>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</si>
  <si>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</si>
  <si>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</si>
  <si>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</si>
  <si>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</si>
  <si>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</si>
  <si>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</si>
  <si>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</si>
  <si>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</si>
  <si>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</si>
  <si>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</si>
  <si>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</si>
  <si>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</si>
  <si>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</si>
  <si>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</si>
  <si>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</si>
  <si>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</si>
  <si>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</si>
  <si>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</si>
  <si>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</si>
  <si>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</si>
  <si>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</si>
  <si>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</si>
  <si>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</si>
  <si>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</si>
  <si>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</si>
  <si>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</si>
  <si>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</si>
  <si>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</si>
  <si>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</si>
  <si>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</si>
  <si>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</si>
  <si>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</si>
  <si>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</si>
  <si>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</si>
  <si>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</si>
  <si>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</si>
  <si>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</si>
  <si>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</si>
  <si>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</si>
  <si>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</si>
  <si>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</si>
  <si>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</si>
  <si>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</si>
  <si>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</si>
  <si>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</si>
  <si>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</si>
  <si>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</si>
  <si>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</si>
  <si>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</si>
  <si>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</si>
  <si>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</si>
  <si>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</si>
  <si>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</si>
  <si>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</si>
  <si>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</si>
  <si>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</si>
  <si>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</si>
  <si>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</si>
  <si>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</si>
  <si>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</si>
  <si>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</si>
  <si>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</si>
  <si>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</si>
  <si>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</si>
  <si>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</si>
  <si>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</si>
  <si>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</si>
  <si>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</si>
  <si>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</si>
  <si>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</si>
  <si>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</si>
  <si>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</si>
  <si>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</si>
  <si>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</si>
  <si>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</si>
  <si>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</si>
  <si>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</si>
  <si>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</si>
  <si>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</si>
  <si>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</si>
  <si>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</si>
  <si>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</si>
  <si>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</si>
  <si>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</si>
  <si>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</si>
  <si>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</si>
  <si>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</si>
  <si>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</si>
  <si>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</si>
  <si>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</si>
  <si>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</si>
  <si>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</si>
  <si>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</si>
  <si>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</si>
  <si>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</si>
  <si>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</si>
  <si>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</si>
  <si>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</si>
  <si>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</si>
  <si>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</si>
  <si>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</si>
  <si>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</si>
  <si>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</si>
  <si>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</si>
  <si>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</si>
  <si>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</si>
  <si>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</si>
  <si>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</si>
  <si>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</si>
  <si>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</si>
  <si>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</si>
  <si>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</si>
  <si>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</si>
  <si>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</si>
  <si>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</si>
  <si>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</si>
  <si>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</si>
  <si>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</si>
  <si>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</si>
  <si>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</si>
  <si>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</si>
  <si>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</si>
  <si>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</si>
  <si>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</si>
  <si>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</si>
  <si>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</si>
  <si>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</si>
  <si>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</si>
  <si>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</si>
  <si>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</si>
  <si>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</si>
  <si>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</si>
  <si>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</si>
  <si>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</si>
  <si>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</si>
  <si>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</si>
  <si>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</si>
  <si>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</si>
  <si>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</si>
  <si>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</si>
  <si>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</si>
  <si>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</si>
  <si>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</si>
  <si>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</si>
  <si>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</si>
  <si>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</si>
  <si>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</si>
  <si>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</si>
  <si>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</si>
  <si>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</si>
  <si>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</si>
  <si>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</si>
  <si>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</si>
  <si>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</si>
  <si>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</si>
  <si>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</si>
  <si>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</si>
  <si>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</si>
  <si>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</si>
  <si>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</si>
  <si>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</si>
  <si>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</si>
  <si>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</si>
  <si>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</si>
  <si>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</si>
  <si>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</si>
  <si>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</si>
  <si>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</si>
  <si>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</si>
  <si>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</si>
  <si>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</si>
  <si>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</si>
  <si>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</si>
  <si>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</si>
  <si>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</si>
  <si>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</si>
  <si>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</si>
  <si>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</si>
  <si>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</si>
  <si>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</si>
  <si>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</si>
  <si>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</si>
  <si>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</si>
  <si>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</si>
  <si>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</si>
  <si>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</si>
  <si>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</si>
  <si>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</si>
  <si>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</si>
  <si>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</si>
  <si>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</si>
  <si>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</si>
  <si>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</si>
  <si>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</si>
  <si>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</si>
  <si>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</si>
  <si>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</si>
  <si>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</si>
  <si>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</si>
  <si>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</si>
  <si>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</si>
  <si>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</si>
  <si>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</si>
  <si>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</si>
  <si>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</si>
  <si>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</si>
  <si>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</si>
  <si>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</si>
  <si>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</si>
  <si>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</si>
  <si>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</si>
  <si>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</si>
  <si>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</si>
  <si>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</si>
  <si>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</si>
  <si>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</si>
  <si>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</si>
  <si>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</si>
  <si>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</si>
  <si>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</si>
  <si>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</si>
  <si>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</si>
  <si>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</si>
  <si>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</si>
  <si>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</si>
  <si>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</si>
  <si>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</si>
  <si>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</si>
  <si>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</si>
  <si>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</si>
  <si>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</si>
  <si>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</si>
  <si>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</si>
  <si>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</si>
  <si>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</si>
  <si>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</si>
  <si>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</si>
  <si>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</si>
  <si>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</si>
  <si>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</si>
  <si>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</si>
  <si>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</si>
  <si>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</si>
  <si>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</si>
  <si>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</si>
  <si>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</si>
  <si>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</si>
  <si>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</si>
  <si>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</si>
  <si>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</si>
  <si>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</si>
  <si>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</si>
  <si>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</si>
  <si>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</si>
  <si>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</si>
  <si>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</si>
  <si>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</si>
  <si>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</si>
  <si>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</si>
  <si>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</si>
  <si>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</si>
  <si>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</si>
  <si>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</si>
  <si>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</si>
  <si>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</si>
  <si>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</si>
  <si>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</si>
  <si>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</si>
  <si>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</si>
  <si>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</si>
  <si>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</si>
  <si>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</si>
  <si>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</si>
  <si>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</si>
  <si>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</si>
  <si>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</si>
  <si>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</si>
  <si>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</si>
  <si>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</si>
  <si>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</si>
  <si>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</si>
  <si>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</si>
  <si>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</si>
  <si>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</si>
  <si>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</si>
  <si>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</si>
  <si>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</si>
  <si>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</si>
  <si>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</si>
  <si>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</si>
  <si>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</si>
  <si>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</si>
  <si>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</si>
  <si>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</si>
  <si>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</si>
  <si>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</si>
  <si>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</si>
  <si>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</si>
  <si>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</si>
  <si>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</si>
  <si>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</si>
  <si>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</si>
  <si>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</si>
  <si>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</si>
  <si>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</si>
  <si>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</si>
  <si>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</si>
  <si>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</si>
  <si>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</si>
  <si>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</si>
  <si>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</si>
  <si>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</si>
  <si>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</si>
  <si>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</si>
  <si>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</si>
  <si>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</si>
  <si>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</si>
  <si>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</si>
  <si>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</si>
  <si>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</si>
  <si>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</si>
  <si>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</si>
  <si>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</si>
  <si>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</si>
  <si>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</si>
  <si>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</si>
  <si>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</si>
  <si>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</si>
  <si>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</si>
  <si>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</si>
  <si>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</si>
  <si>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</si>
  <si>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</si>
  <si>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</si>
  <si>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</si>
  <si>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</si>
  <si>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</si>
  <si>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</si>
  <si>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</si>
  <si>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</si>
  <si>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</si>
  <si>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</si>
  <si>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</si>
  <si>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</si>
  <si>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</si>
  <si>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</si>
  <si>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</si>
  <si>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</si>
  <si>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</si>
  <si>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</si>
  <si>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</si>
  <si>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</si>
  <si>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</si>
  <si>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</si>
  <si>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</si>
  <si>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</si>
  <si>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</si>
  <si>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</si>
  <si>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</si>
  <si>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</si>
  <si>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</si>
  <si>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</si>
  <si>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</si>
  <si>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</si>
  <si>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</si>
  <si>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</si>
  <si>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</si>
  <si>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</si>
  <si>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</si>
  <si>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</si>
  <si>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</si>
  <si>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</si>
  <si>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</si>
  <si>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</si>
  <si>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</si>
  <si>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</si>
  <si>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</si>
  <si>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</si>
  <si>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</si>
  <si>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</si>
  <si>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</si>
  <si>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</si>
  <si>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</si>
  <si>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</si>
  <si>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</si>
  <si>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</si>
  <si>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</si>
  <si>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</si>
  <si>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</si>
  <si>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</si>
  <si>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</si>
  <si>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</si>
  <si>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</si>
  <si>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</si>
  <si>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</si>
  <si>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</si>
  <si>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</si>
  <si>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</si>
  <si>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</si>
  <si>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</si>
  <si>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</si>
  <si>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</si>
  <si>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</si>
  <si>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</si>
  <si>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</si>
  <si>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</si>
  <si>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</si>
  <si>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</si>
  <si>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</si>
  <si>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</si>
  <si>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</si>
  <si>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</si>
  <si>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</si>
  <si>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</si>
  <si>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</si>
  <si>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</si>
  <si>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</si>
  <si>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</si>
  <si>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</si>
  <si>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</si>
  <si>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</si>
  <si>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</si>
  <si>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</si>
  <si>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</si>
  <si>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</si>
  <si>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</si>
  <si>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</si>
  <si>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</si>
  <si>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</si>
  <si>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</si>
  <si>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</si>
  <si>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</si>
  <si>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</si>
  <si>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</si>
  <si>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</si>
  <si>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</si>
  <si>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</si>
  <si>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</si>
  <si>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</si>
  <si>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</si>
  <si>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</si>
  <si>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</si>
  <si>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</si>
  <si>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</si>
  <si>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</si>
  <si>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</si>
  <si>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</si>
  <si>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</si>
  <si>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</si>
  <si>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</si>
  <si>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</si>
  <si>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</si>
  <si>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</si>
  <si>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</si>
  <si>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</si>
  <si>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</si>
  <si>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</si>
  <si>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</si>
  <si>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</si>
  <si>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</si>
  <si>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</si>
  <si>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</si>
  <si>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</si>
  <si>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</si>
  <si>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</si>
  <si>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</si>
  <si>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</si>
  <si>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</si>
  <si>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</si>
  <si>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</si>
  <si>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</si>
  <si>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</si>
  <si>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</si>
  <si>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</si>
  <si>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</si>
  <si>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</si>
  <si>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</si>
  <si>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</si>
  <si>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</si>
  <si>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</si>
  <si>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</si>
  <si>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</si>
  <si>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</si>
  <si>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</si>
  <si>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</si>
  <si>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</si>
  <si>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</si>
  <si>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</si>
  <si>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</si>
  <si>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</si>
  <si>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</si>
  <si>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</si>
  <si>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</si>
  <si>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</si>
  <si>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</si>
  <si>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</si>
  <si>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</si>
  <si>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</si>
  <si>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</si>
  <si>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</si>
  <si>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</si>
  <si>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</si>
  <si>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</si>
  <si>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</si>
  <si>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</si>
  <si>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</si>
  <si>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</si>
  <si>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</si>
  <si>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</si>
  <si>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</si>
  <si>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</si>
  <si>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</si>
  <si>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</si>
  <si>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</si>
  <si>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</si>
  <si>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</si>
  <si>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</si>
  <si>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</si>
  <si>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</si>
  <si>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</si>
  <si>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</si>
  <si>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</si>
  <si>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</si>
  <si>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</si>
  <si>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</si>
  <si>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</si>
  <si>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</si>
  <si>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</si>
  <si>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</si>
  <si>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</si>
  <si>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</si>
  <si>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</si>
  <si>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</si>
  <si>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</si>
  <si>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</si>
  <si>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</si>
  <si>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</si>
  <si>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</si>
  <si>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</si>
  <si>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</si>
  <si>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</si>
  <si>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</si>
  <si>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</si>
  <si>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</si>
  <si>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</si>
  <si>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</si>
  <si>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</si>
  <si>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</si>
  <si>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</si>
  <si>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</si>
  <si>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</si>
  <si>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</si>
  <si>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</si>
  <si>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</si>
  <si>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</si>
  <si>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</si>
  <si>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</si>
  <si>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</si>
  <si>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</si>
  <si>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</si>
  <si>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</si>
  <si>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</si>
  <si>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</si>
  <si>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</si>
  <si>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</si>
  <si>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</si>
  <si>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</si>
  <si>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</si>
  <si>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</si>
  <si>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</si>
  <si>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</si>
  <si>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</si>
  <si>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</si>
  <si>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</si>
  <si>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</si>
  <si>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</si>
  <si>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</si>
  <si>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</si>
  <si>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</si>
  <si>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</si>
  <si>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</si>
  <si>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</si>
  <si>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</si>
  <si>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</si>
  <si>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</si>
  <si>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</si>
  <si>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</si>
  <si>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</si>
  <si>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</si>
  <si>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</si>
  <si>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</si>
  <si>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</si>
  <si>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</si>
  <si>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</si>
  <si>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</si>
  <si>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</si>
  <si>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</si>
  <si>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</si>
  <si>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</si>
  <si>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</si>
  <si>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</si>
  <si>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</si>
  <si>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</si>
  <si>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</si>
  <si>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</si>
  <si>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</si>
  <si>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</si>
  <si>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</si>
  <si>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</si>
  <si>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</si>
  <si>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</si>
  <si>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</si>
  <si>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</si>
  <si>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</si>
  <si>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</si>
  <si>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</si>
  <si>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</si>
  <si>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</si>
  <si>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</si>
  <si>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</si>
  <si>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</si>
  <si>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</si>
  <si>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</si>
  <si>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</si>
  <si>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</si>
  <si>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</si>
  <si>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</si>
  <si>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</si>
  <si>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</si>
  <si>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</si>
  <si>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</si>
  <si>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</si>
  <si>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</si>
  <si>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</si>
  <si>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</si>
  <si>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</si>
  <si>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</si>
  <si>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</si>
  <si>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</si>
  <si>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</si>
  <si>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</si>
  <si>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</si>
  <si>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</si>
  <si>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</si>
  <si>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</si>
  <si>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</si>
  <si>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</si>
  <si>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</si>
  <si>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</si>
  <si>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</si>
  <si>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</si>
  <si>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</si>
  <si>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</si>
  <si>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</si>
  <si>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</si>
  <si>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</si>
  <si>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</si>
  <si>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</si>
  <si>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</si>
  <si>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</si>
  <si>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</si>
  <si>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</si>
  <si>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</si>
  <si>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</si>
  <si>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</si>
  <si>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</si>
  <si>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</si>
  <si>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</si>
  <si>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</si>
  <si>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</si>
  <si>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</si>
  <si>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</si>
  <si>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</si>
  <si>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</si>
  <si>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</si>
  <si>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</si>
  <si>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</si>
  <si>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</si>
  <si>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</si>
  <si>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</si>
  <si>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</si>
  <si>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</si>
  <si>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</si>
  <si>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</si>
  <si>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</si>
  <si>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</si>
  <si>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</si>
  <si>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</si>
  <si>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</si>
  <si>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</si>
  <si>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</si>
  <si>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</si>
  <si>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</si>
  <si>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</si>
  <si>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</si>
  <si>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</si>
  <si>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</si>
  <si>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</si>
  <si>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</si>
  <si>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</si>
  <si>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</si>
  <si>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</si>
  <si>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</si>
  <si>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</si>
  <si>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</si>
  <si>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</si>
  <si>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</si>
  <si>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</si>
  <si>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</si>
  <si>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</si>
  <si>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</si>
  <si>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</si>
  <si>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</si>
  <si>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</si>
  <si>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</si>
  <si>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</si>
  <si>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</si>
  <si>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</si>
  <si>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</si>
  <si>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</si>
  <si>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</si>
  <si>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</si>
  <si>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</si>
  <si>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</si>
  <si>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</si>
  <si>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</si>
  <si>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</si>
  <si>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</si>
  <si>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</si>
  <si>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</si>
  <si>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</si>
  <si>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</si>
  <si>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</si>
  <si>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</si>
  <si>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</si>
  <si>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</si>
  <si>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</si>
  <si>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</si>
  <si>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</si>
  <si>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</si>
  <si>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</si>
  <si>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</si>
  <si>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</si>
  <si>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</si>
  <si>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</si>
  <si>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</si>
  <si>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</si>
  <si>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</si>
  <si>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</si>
  <si>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</si>
  <si>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</si>
  <si>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</si>
  <si>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</si>
  <si>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</si>
  <si>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</si>
  <si>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</si>
  <si>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</si>
  <si>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</si>
  <si>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</si>
  <si>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</si>
  <si>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</si>
  <si>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</si>
  <si>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</si>
  <si>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</si>
  <si>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</si>
  <si>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</si>
  <si>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</si>
  <si>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</si>
  <si>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</si>
  <si>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</si>
  <si>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</si>
  <si>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</si>
  <si>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</si>
  <si>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</si>
  <si>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</si>
  <si>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</si>
  <si>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</si>
  <si>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</si>
  <si>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</si>
  <si>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</si>
  <si>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</si>
  <si>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</si>
  <si>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</si>
  <si>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</si>
  <si>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</si>
  <si>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</si>
  <si>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</si>
  <si>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</si>
  <si>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</si>
  <si>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</si>
  <si>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</si>
  <si>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</si>
  <si>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</si>
  <si>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</si>
  <si>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</si>
  <si>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</si>
  <si>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</si>
  <si>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</si>
  <si>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</si>
  <si>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</si>
  <si>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</si>
  <si>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</si>
  <si>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</si>
  <si>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</si>
  <si>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</si>
  <si>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</si>
  <si>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</si>
  <si>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</si>
  <si>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</si>
  <si>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</si>
  <si>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</si>
  <si>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</si>
  <si>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</si>
  <si>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</si>
  <si>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</si>
  <si>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</si>
  <si>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</si>
  <si>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</si>
  <si>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</si>
  <si>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</si>
  <si>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</si>
  <si>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</si>
  <si>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</si>
  <si>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</si>
  <si>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</si>
  <si>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</si>
  <si>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</si>
  <si>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</si>
  <si>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</si>
  <si>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</si>
  <si>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</si>
  <si>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</si>
  <si>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</si>
  <si>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</si>
  <si>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</si>
  <si>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</si>
  <si>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</si>
  <si>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</si>
  <si>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</si>
  <si>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</si>
  <si>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</si>
  <si>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</si>
  <si>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</si>
  <si>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</si>
  <si>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</si>
  <si>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</si>
  <si>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</si>
  <si>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</si>
  <si>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</si>
  <si>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</si>
  <si>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</si>
  <si>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</si>
  <si>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</si>
  <si>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</si>
  <si>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</si>
  <si>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</si>
  <si>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</si>
  <si>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</si>
  <si>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</si>
  <si>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</si>
  <si>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</si>
  <si>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</si>
  <si>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</si>
  <si>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</si>
  <si>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</si>
  <si>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</si>
  <si>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</si>
  <si>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</si>
  <si>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</si>
  <si>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</si>
  <si>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</si>
  <si>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</si>
  <si>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</si>
  <si>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</si>
  <si>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</si>
  <si>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</si>
  <si>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</si>
  <si>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</si>
  <si>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</si>
  <si>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</si>
  <si>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</si>
  <si>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</si>
  <si>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</si>
  <si>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</si>
  <si>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</si>
  <si>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</si>
  <si>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</si>
  <si>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</si>
  <si>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</si>
  <si>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</si>
  <si>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</si>
  <si>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</si>
  <si>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</si>
  <si>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</si>
  <si>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</si>
  <si>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</si>
  <si>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</si>
  <si>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</si>
  <si>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</si>
  <si>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</si>
  <si>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</si>
  <si>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</si>
  <si>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</si>
  <si>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</si>
  <si>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</si>
  <si>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</si>
  <si>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</si>
  <si>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</si>
  <si>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</si>
  <si>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</si>
  <si>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</si>
  <si>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</si>
  <si>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</si>
  <si>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</si>
  <si>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</si>
  <si>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</si>
  <si>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</si>
  <si>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</si>
  <si>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</si>
  <si>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</si>
  <si>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</si>
  <si>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</si>
  <si>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</si>
  <si>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</si>
  <si>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</si>
  <si>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</si>
  <si>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</si>
  <si>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</si>
  <si>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</si>
  <si>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</si>
  <si>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</si>
  <si>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</si>
  <si>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</si>
  <si>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</si>
  <si>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</si>
  <si>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</si>
  <si>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</si>
  <si>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</si>
  <si>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</si>
  <si>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</si>
  <si>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</si>
  <si>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</si>
  <si>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</si>
  <si>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</si>
  <si>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</si>
  <si>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</si>
  <si>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</si>
  <si>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</si>
  <si>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</si>
  <si>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</si>
  <si>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</si>
  <si>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</si>
  <si>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</si>
  <si>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</si>
  <si>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</si>
  <si>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</si>
  <si>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</si>
  <si>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</si>
  <si>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</si>
  <si>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</si>
  <si>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</si>
  <si>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</si>
  <si>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</si>
  <si>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</si>
  <si>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</si>
  <si>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</si>
  <si>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</si>
  <si>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</si>
  <si>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</si>
  <si>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</si>
  <si>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</si>
  <si>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</si>
  <si>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</si>
  <si>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</si>
  <si>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</si>
  <si>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</si>
  <si>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</si>
  <si>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</si>
  <si>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</si>
  <si>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</si>
  <si>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</si>
  <si>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</si>
  <si>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</si>
  <si>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</si>
  <si>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</si>
  <si>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</si>
  <si>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</si>
  <si>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</si>
  <si>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</si>
  <si>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</si>
  <si>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</si>
  <si>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</si>
  <si>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</si>
  <si>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</si>
  <si>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</si>
  <si>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</si>
  <si>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</si>
  <si>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</si>
  <si>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</si>
  <si>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</si>
  <si>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</si>
  <si>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</si>
  <si>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</si>
  <si>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</si>
  <si>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</si>
  <si>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</si>
  <si>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</si>
  <si>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</si>
  <si>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</si>
  <si>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</si>
  <si>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</si>
  <si>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</si>
  <si>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</si>
  <si>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</si>
  <si>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</si>
  <si>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</si>
  <si>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</si>
  <si>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</si>
  <si>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</si>
  <si>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</si>
  <si>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</si>
  <si>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</si>
  <si>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</si>
  <si>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</si>
  <si>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</si>
  <si>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</si>
  <si>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</si>
  <si>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</si>
  <si>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</si>
  <si>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</si>
  <si>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</si>
  <si>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</si>
  <si>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</si>
  <si>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</si>
  <si>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</si>
  <si>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</si>
  <si>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</si>
  <si>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</si>
  <si>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</si>
  <si>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</si>
  <si>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</si>
  <si>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</si>
  <si>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</si>
  <si>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</si>
  <si>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</si>
  <si>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</si>
  <si>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</si>
  <si>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</si>
  <si>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</si>
  <si>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</si>
  <si>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</si>
  <si>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</si>
  <si>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</si>
  <si>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</si>
  <si>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</si>
  <si>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</si>
  <si>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</si>
  <si>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</si>
  <si>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</si>
  <si>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</si>
  <si>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</si>
  <si>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</si>
  <si>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</si>
  <si>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</si>
  <si>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</si>
  <si>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</si>
  <si>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</si>
  <si>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</si>
  <si>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</si>
  <si>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</si>
  <si>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</si>
  <si>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</si>
  <si>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</si>
  <si>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</si>
  <si>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</si>
  <si>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</si>
  <si>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</si>
  <si>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</si>
  <si>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2026-001</t>
  </si>
  <si>
    <t>14319/2025</t>
  </si>
  <si>
    <t>20 e 22/01/2026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</si>
  <si>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</si>
  <si>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</si>
  <si>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</si>
  <si>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</si>
  <si>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</si>
  <si>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2026-003</t>
  </si>
  <si>
    <t>4926/2025</t>
  </si>
  <si>
    <t>Estruturação de Inovações Disruptivas no TCDF</t>
  </si>
  <si>
    <t>26/01 a 10/02/2026</t>
  </si>
  <si>
    <t>Caio Castelliano</t>
  </si>
  <si>
    <t>2026-004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</si>
  <si>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</si>
  <si>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</si>
  <si>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</si>
  <si>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</si>
  <si>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</si>
  <si>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2026-005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</si>
  <si>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</si>
  <si>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</si>
  <si>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</si>
  <si>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</si>
  <si>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</si>
  <si>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</si>
  <si>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</si>
  <si>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</si>
  <si>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</si>
  <si>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</si>
  <si>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2026-007</t>
  </si>
  <si>
    <t>10/2026</t>
  </si>
  <si>
    <t>Planilhas de Terceirização de Mão de Obra, de acordo com a Lei nº 14.133/2021 - T1</t>
  </si>
  <si>
    <t>09 a 13/03/2026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</si>
  <si>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</si>
  <si>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</si>
  <si>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</si>
  <si>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</si>
  <si>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</si>
  <si>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2026-009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</si>
  <si>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</si>
  <si>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</si>
  <si>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</si>
  <si>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</si>
  <si>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</si>
  <si>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2026-010</t>
  </si>
  <si>
    <t>Planilhas de Terceirização de Mão de Obra, de acordo com a Lei nº 14.133/2021 - T2</t>
  </si>
  <si>
    <t>23 a 27/03/2026</t>
  </si>
  <si>
    <t>2026-011</t>
  </si>
  <si>
    <t>2111/2026</t>
  </si>
  <si>
    <t>Dia do Ouvidor</t>
  </si>
  <si>
    <t>24/03/2026</t>
  </si>
  <si>
    <t>2026-012</t>
  </si>
  <si>
    <t>49/2026</t>
  </si>
  <si>
    <t>Maratona Temática: Transparência Pública</t>
  </si>
  <si>
    <t>30 a 31/03/2026</t>
  </si>
  <si>
    <t>2026-013</t>
  </si>
  <si>
    <t>1984/2026</t>
  </si>
  <si>
    <t>Curso para gestores e fiscais de contratos de serviços assistenciais complementares – SES/DF - T2</t>
  </si>
  <si>
    <t>08 a 10/04/2026</t>
  </si>
  <si>
    <t>2026-014</t>
  </si>
  <si>
    <t>3976/2025</t>
  </si>
  <si>
    <t>Curso de Formação para Conselheiros de Cultura</t>
  </si>
  <si>
    <t>Formação de Controladores sociais e cidadãos</t>
  </si>
  <si>
    <t>13 a 16/04/2026</t>
  </si>
  <si>
    <t>2026-015</t>
  </si>
  <si>
    <t>Introdução à Engenharia de Prompt - t2</t>
  </si>
  <si>
    <t>15 e 17/04/2026</t>
  </si>
  <si>
    <t>Arthur Wú; Gustavo Takahashi</t>
  </si>
  <si>
    <t>2026-016</t>
  </si>
  <si>
    <t>3669/2026</t>
  </si>
  <si>
    <t>Mentoria de introdução à Engenharia de Prompt</t>
  </si>
  <si>
    <t>16/04/2026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</si>
  <si>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</si>
  <si>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</si>
  <si>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</si>
  <si>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</si>
  <si>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</si>
  <si>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2026-018</t>
  </si>
  <si>
    <t>1900/2026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</si>
  <si>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</si>
  <si>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</si>
  <si>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</si>
  <si>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2026-019</t>
  </si>
  <si>
    <t>4663/2026</t>
  </si>
  <si>
    <t>Curso de Ambientação para os novos Auditores de Controle Externo - Área Auditoria</t>
  </si>
  <si>
    <t>28, 29 e 30/04; 04 e 05/05/2026</t>
  </si>
  <si>
    <t>2026-020</t>
  </si>
  <si>
    <t>A realizar</t>
  </si>
  <si>
    <t>7377/2026</t>
  </si>
  <si>
    <t xml:space="preserve">Alura </t>
  </si>
  <si>
    <t>2026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</si>
  <si>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</si>
  <si>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</si>
  <si>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</si>
  <si>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</si>
  <si>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</si>
  <si>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2026-022</t>
  </si>
  <si>
    <t>4135/2026</t>
  </si>
  <si>
    <t>UniTCDF: Ciências Contábeis</t>
  </si>
  <si>
    <t>06/05/2026</t>
  </si>
  <si>
    <t>2026-023</t>
  </si>
  <si>
    <t>Tcendo o Futuro 2</t>
  </si>
  <si>
    <t>08/05/2026</t>
  </si>
  <si>
    <t>2026-024</t>
  </si>
  <si>
    <t>3741/2026</t>
  </si>
  <si>
    <t>Introdução à Engenharia de Prompt - T3</t>
  </si>
  <si>
    <t>12 e 14/05/2026</t>
  </si>
  <si>
    <t>2026-025</t>
  </si>
  <si>
    <t>4652/2026</t>
  </si>
  <si>
    <t>Elaboração da Cartilha "Gestão e Fiscalização de Contratos em Saúde"</t>
  </si>
  <si>
    <t>2026-026</t>
  </si>
  <si>
    <t xml:space="preserve">Cancelado </t>
  </si>
  <si>
    <t>3103/2026</t>
  </si>
  <si>
    <t>Escola de Instrutores - Curso "Fundamentos em TD&amp;E"</t>
  </si>
  <si>
    <t>18 a 21/05/2026</t>
  </si>
  <si>
    <t>2026-027</t>
  </si>
  <si>
    <t>4728/2026</t>
  </si>
  <si>
    <t>18, 20, 22 e 25/05/2026</t>
  </si>
  <si>
    <t>2026-028</t>
  </si>
  <si>
    <t>2151/2026</t>
  </si>
  <si>
    <t>II Fórum de Educação para a Aposentadoria e Longevidade</t>
  </si>
  <si>
    <t>21 e 22/05/2026</t>
  </si>
  <si>
    <t>2026-029</t>
  </si>
  <si>
    <t>5897/2026</t>
  </si>
  <si>
    <t>UniTCDF: TCDF e a Fiscalização de Obras</t>
  </si>
  <si>
    <t>25/05/2026 e 29/05/2026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</si>
  <si>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</si>
  <si>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</si>
  <si>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</si>
  <si>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</si>
  <si>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</si>
  <si>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2026-031</t>
  </si>
  <si>
    <t>4141/2026</t>
  </si>
  <si>
    <t>Fiscalizações Baseadas em Risco</t>
  </si>
  <si>
    <t>08 a 12/06/2026</t>
  </si>
  <si>
    <t>Reinaldo Alencar; Rogério Ribeiro</t>
  </si>
  <si>
    <t>2026-032</t>
  </si>
  <si>
    <t>3685/2026</t>
  </si>
  <si>
    <t>Curso de formação para gestores e fiscais de Contrato em equipamentos nas unidades hospitalares - T2</t>
  </si>
  <si>
    <t>09 a 11/06/2026</t>
  </si>
  <si>
    <t>2026-033</t>
  </si>
  <si>
    <t>Curso de formação para gestores e fiscais de Contrato em equipamentos nas unidades hospitalares - T3</t>
  </si>
  <si>
    <t>16, 17 e 18/06/2026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</si>
  <si>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</si>
  <si>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</si>
  <si>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</si>
  <si>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</si>
  <si>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</si>
  <si>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2026-035</t>
  </si>
  <si>
    <t>3502/2026</t>
  </si>
  <si>
    <t>3ª Maratona Temática em Saúde Pública - Boas Práticas</t>
  </si>
  <si>
    <t>22 e 23/06/2026</t>
  </si>
  <si>
    <t>2026-036</t>
  </si>
  <si>
    <t>Introdução à Engenharia de Prompt - T4</t>
  </si>
  <si>
    <t>23 e 25/06/2026</t>
  </si>
  <si>
    <t>2026-037</t>
  </si>
  <si>
    <t>6761/2026</t>
  </si>
  <si>
    <t>Introdução à Engenharia de Prompt - SEE</t>
  </si>
  <si>
    <t>30/06/2026 e 02/07/2026</t>
  </si>
  <si>
    <t>2026-038</t>
  </si>
  <si>
    <t>6107/2026</t>
  </si>
  <si>
    <t>Introdução ao processo de controle externo - EAD</t>
  </si>
  <si>
    <t>2026-039</t>
  </si>
  <si>
    <t>4583/2026</t>
  </si>
  <si>
    <t>MROSC para os gestores das Organizações da Sociedade Civil – OSCs</t>
  </si>
  <si>
    <t>01, 02 e 03/07/2026</t>
  </si>
  <si>
    <t>2026-040</t>
  </si>
  <si>
    <t>Escola de Instrutores - Design Instrucional</t>
  </si>
  <si>
    <t>07 a 09/07/2026</t>
  </si>
  <si>
    <t>2026-041</t>
  </si>
  <si>
    <t>4392/2026</t>
  </si>
  <si>
    <t>O novo olhar sobre as políticas públicas para o Controle Externo</t>
  </si>
  <si>
    <t>20, 21, 23, 27, 28 e 30/07/2026</t>
  </si>
  <si>
    <t>2026-042</t>
  </si>
  <si>
    <t>3483/2026</t>
  </si>
  <si>
    <t>Curso de Formação para Conselheiros de Saúde do DF</t>
  </si>
  <si>
    <t>20 a 24/07/2026</t>
  </si>
  <si>
    <t>2026-043</t>
  </si>
  <si>
    <t>6371/2026</t>
  </si>
  <si>
    <t>Painel MROSC</t>
  </si>
  <si>
    <t>20/07/2026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</si>
  <si>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</si>
  <si>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</si>
  <si>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</si>
  <si>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</si>
  <si>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</si>
  <si>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2026-045</t>
  </si>
  <si>
    <t>3 a 5/08/2026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</si>
  <si>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</si>
  <si>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</si>
  <si>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</si>
  <si>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</si>
  <si>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</si>
  <si>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2026-047</t>
  </si>
  <si>
    <t>8268/2026</t>
  </si>
  <si>
    <t>Oficina Temática - SEMAT: MROSC para servidores do GDF</t>
  </si>
  <si>
    <t>10/08/2026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</si>
  <si>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</si>
  <si>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</si>
  <si>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</si>
  <si>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</si>
  <si>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2026-049</t>
  </si>
  <si>
    <t>8450/2026</t>
  </si>
  <si>
    <t>Oficina Temática - SEMAT: Pesquisa de Preços em contratos de obras e serviços de engenharia</t>
  </si>
  <si>
    <t>11/08/2026</t>
  </si>
  <si>
    <t>2026-050</t>
  </si>
  <si>
    <t>8449/2026</t>
  </si>
  <si>
    <t>Encontro Técnico - SEMAT: Concursos públicos e registro de admissões</t>
  </si>
  <si>
    <t>12/08/2026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</si>
  <si>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</si>
  <si>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</si>
  <si>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</si>
  <si>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</si>
  <si>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</si>
  <si>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</si>
  <si>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</si>
  <si>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</si>
  <si>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</si>
  <si>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</si>
  <si>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</si>
  <si>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</si>
  <si>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</si>
  <si>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</si>
  <si>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</si>
  <si>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</si>
  <si>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</si>
  <si>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</si>
  <si>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2026-055</t>
  </si>
  <si>
    <t>TCendo o Futuro</t>
  </si>
  <si>
    <t>20/08/2026</t>
  </si>
  <si>
    <t>2026-056</t>
  </si>
  <si>
    <t>21/08/2026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</si>
  <si>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</si>
  <si>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</si>
  <si>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</si>
  <si>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</si>
  <si>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</si>
  <si>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2026-058</t>
  </si>
  <si>
    <t>12314/2025</t>
  </si>
  <si>
    <t>Curso “Gestão Estratégica do Fundo dos Direitos da Criança e do Adolescente do DF: Formação para Conselheiros</t>
  </si>
  <si>
    <t>08 a 18/09/2026</t>
  </si>
  <si>
    <t>Karine Tomaz Veiga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</si>
  <si>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</si>
  <si>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</si>
  <si>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</si>
  <si>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</si>
  <si>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</si>
  <si>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</si>
  <si>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</si>
  <si>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</si>
  <si>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2026-063</t>
  </si>
  <si>
    <t>4369/2026</t>
  </si>
  <si>
    <t>Maratona Temática - Obras Públicas</t>
  </si>
  <si>
    <t>26 e 27/10/2026</t>
  </si>
  <si>
    <t>2026-064</t>
  </si>
  <si>
    <t>4346/2026</t>
  </si>
  <si>
    <t>Maratona Temática - Mobilidade Urbana</t>
  </si>
  <si>
    <t>09 e 10/11/2026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</si>
  <si>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</si>
  <si>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</si>
  <si>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</si>
  <si>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</si>
  <si>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</si>
  <si>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2026-066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</si>
  <si>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</si>
  <si>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</si>
  <si>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</si>
  <si>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</si>
  <si>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</si>
  <si>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2026-067</t>
  </si>
  <si>
    <t>8913/2026</t>
  </si>
  <si>
    <t>Palestra “De Mãos Dadas: a saúde que nasce dos vínculos”</t>
  </si>
  <si>
    <t>Adriana Fittipaldi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</si>
  <si>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</si>
  <si>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</si>
  <si>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</si>
  <si>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</si>
  <si>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2026-069</t>
  </si>
  <si>
    <t>2026-070</t>
  </si>
  <si>
    <t>2026-071</t>
  </si>
  <si>
    <t>2026-072</t>
  </si>
  <si>
    <t>2026-073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</si>
  <si>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</si>
  <si>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</si>
  <si>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</si>
  <si>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</si>
  <si>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</si>
  <si>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</si>
  <si>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</si>
  <si>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</si>
  <si>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</si>
  <si>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</si>
  <si>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</si>
  <si>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</si>
  <si>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</si>
  <si>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</si>
  <si>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</si>
  <si>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</si>
  <si>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</si>
  <si>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</si>
  <si>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</si>
  <si>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</si>
  <si>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</si>
  <si>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</si>
  <si>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</si>
  <si>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</si>
  <si>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</si>
  <si>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</si>
  <si>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</si>
  <si>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</si>
  <si>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</si>
  <si>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</si>
  <si>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</si>
  <si>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</si>
  <si>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</si>
  <si>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</si>
  <si>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</si>
  <si>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</si>
  <si>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</si>
  <si>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</si>
  <si>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</si>
  <si>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</si>
  <si>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</si>
  <si>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</si>
  <si>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</si>
  <si>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</si>
  <si>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</si>
  <si>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</si>
  <si>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</si>
  <si>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</si>
  <si>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</si>
  <si>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</si>
  <si>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</si>
  <si>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</si>
  <si>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</si>
  <si>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</si>
  <si>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</si>
  <si>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</si>
  <si>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</si>
  <si>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</si>
  <si>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</si>
  <si>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</si>
  <si>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</si>
  <si>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</si>
  <si>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</si>
  <si>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</si>
  <si>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</si>
  <si>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</si>
  <si>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</si>
  <si>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</si>
  <si>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</si>
  <si>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</si>
  <si>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</si>
  <si>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</si>
  <si>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</si>
  <si>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</si>
  <si>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</si>
  <si>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</si>
  <si>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</si>
  <si>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</si>
  <si>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</si>
  <si>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</si>
  <si>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</si>
  <si>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</si>
  <si>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</si>
  <si>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</si>
  <si>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</si>
  <si>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</si>
  <si>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</si>
  <si>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</si>
  <si>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</si>
  <si>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</si>
  <si>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</si>
  <si>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</si>
  <si>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</si>
  <si>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</si>
  <si>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</si>
  <si>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</si>
  <si>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</si>
  <si>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</si>
  <si>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</si>
  <si>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</si>
  <si>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</si>
  <si>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</si>
  <si>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</si>
  <si>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</si>
  <si>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</si>
  <si>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</si>
  <si>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</si>
  <si>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</si>
  <si>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</si>
  <si>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</si>
  <si>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</si>
  <si>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</si>
  <si>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</si>
  <si>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</si>
  <si>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</si>
  <si>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</si>
  <si>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</si>
  <si>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</si>
  <si>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</si>
  <si>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</si>
  <si>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</si>
  <si>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</si>
  <si>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</si>
  <si>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</si>
  <si>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</si>
  <si>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</si>
  <si>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</si>
  <si>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</si>
  <si>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</si>
  <si>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</si>
  <si>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</si>
  <si>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</si>
  <si>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</si>
  <si>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</si>
  <si>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</si>
  <si>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</si>
  <si>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</si>
  <si>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</si>
  <si>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</si>
  <si>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</si>
  <si>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</si>
  <si>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</si>
  <si>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</si>
  <si>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</si>
  <si>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</si>
  <si>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</si>
  <si>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</si>
  <si>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</si>
  <si>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</si>
  <si>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</si>
  <si>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</si>
  <si>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</si>
  <si>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</si>
  <si>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</si>
  <si>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</si>
  <si>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</si>
  <si>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</si>
  <si>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</si>
  <si>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</si>
  <si>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</si>
  <si>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</si>
  <si>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</si>
  <si>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</si>
  <si>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</si>
  <si>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</si>
  <si>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</si>
  <si>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</si>
  <si>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</si>
  <si>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</si>
  <si>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</si>
  <si>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</si>
  <si>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</si>
  <si>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</si>
  <si>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</si>
  <si>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</si>
  <si>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</si>
  <si>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</si>
  <si>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</si>
  <si>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</si>
  <si>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</si>
  <si>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</si>
  <si>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</si>
  <si>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</si>
  <si>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</si>
  <si>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</si>
  <si>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</si>
  <si>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</si>
  <si>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</si>
  <si>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</si>
  <si>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</si>
  <si>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</si>
  <si>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</si>
  <si>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</si>
  <si>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</si>
  <si>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</si>
  <si>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UniTCDF: Gestão Pública (Fernanda e Túlio)</t>
  </si>
  <si>
    <t>UniTCDF: Gestão Pública (Passou)</t>
  </si>
  <si>
    <t>UniTCDF: Engenharia civil (Seinfra)</t>
  </si>
  <si>
    <t>UniTCDF: Engenharia civil (Adriana)</t>
  </si>
  <si>
    <t>UniTCDF: Gestão Pública (Novos)</t>
  </si>
  <si>
    <t>UniTCDF: Direito (Novos)</t>
  </si>
  <si>
    <t>Visita dos Filhos ao trabalho</t>
  </si>
  <si>
    <t>UniTCDF: Visita da FGV</t>
  </si>
  <si>
    <t>Exibição de filme: Consciência Negra</t>
  </si>
  <si>
    <t>Hackaton</t>
  </si>
  <si>
    <t>2026-074</t>
  </si>
  <si>
    <t>2026-075</t>
  </si>
  <si>
    <t>2026-076</t>
  </si>
  <si>
    <t>2026-077</t>
  </si>
  <si>
    <t>2026-078</t>
  </si>
  <si>
    <t>2026-079</t>
  </si>
  <si>
    <t>Café e Tertúlia (Passou)</t>
  </si>
  <si>
    <t>Painel Felipe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</si>
</sst>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8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</font>
    <font>
      <sz val="11"/>
      <color rgb="FF242424"/>
      <name val="Aptos Narrow"/>
      <family val="2"/>
    </font>
    <font>
      <b/>
      <sz val="11"/>
      <color theme="1"/>
      <name val="Calibri"/>
      <family val="2"/>
      <scheme val="minor"/>
    </font>
    <font>
      <sz val="11"/>
      <color rgb="FF0000FF"/>
      <name val="Calibri"/>
      <family val="2"/>
      <scheme val="minor"/>
    </font>
    <font>
      <u/>
      <sz val="11"/>
      <color rgb="FF00000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61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5" fillId="7" borderId="0" xfId="0" applyFont="1" applyFill="1"/>
    <xf numFmtId="0" fontId="15" fillId="7" borderId="0" xfId="0" applyFont="1" applyFill="1"/>
    <xf numFmtId="0" fontId="55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4" fillId="0" borderId="1" xfId="0" applyFont="1" applyBorder="1" applyAlignment="1">
      <alignment horizontal="center" vertical="center"/>
    </xf>
    <xf numFmtId="0" fontId="56" fillId="0" borderId="0" xfId="0" applyFont="1"/>
    <xf numFmtId="0" fontId="57" fillId="0" borderId="0" xfId="0" applyFont="1"/>
    <xf numFmtId="0" fontId="0" fillId="0" borderId="0" xfId="0" applyAlignment="1">
      <alignment horizontal="left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  <xf numFmtId="0" fontId="8" fillId="0" borderId="0" xfId="0" applyFont="1" applyBorder="1" applyAlignment="1">
      <alignment horizontal="center" vertical="center"/>
    </xf>
    <xf numFmtId="0" fontId="48" fillId="0" borderId="0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Border="1" applyAlignment="1">
      <alignment horizontal="center" vertical="center"/>
    </xf>
    <xf numFmtId="49" fontId="4" fillId="0" borderId="1" xfId="0" applyNumberFormat="1" applyFont="1" applyFill="1" applyBorder="1" applyAlignment="1">
      <alignment vertical="center"/>
    </xf>
    <xf numFmtId="1" fontId="31" fillId="0" borderId="1" xfId="0" applyNumberFormat="1" applyFont="1" applyFill="1" applyBorder="1" applyAlignment="1">
      <alignment horizontal="center" vertical="center"/>
    </xf>
    <xf numFmtId="170" fontId="31" fillId="0" borderId="1" xfId="0" applyNumberFormat="1" applyFont="1" applyFill="1" applyBorder="1" applyAlignment="1">
      <alignment horizontal="center" vertical="center"/>
    </xf>
    <xf numFmtId="0" fontId="31" fillId="0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31" fillId="0" borderId="1" xfId="0" applyFont="1" applyFill="1" applyBorder="1" applyAlignment="1">
      <alignment vertical="center"/>
    </xf>
    <xf numFmtId="49" fontId="31" fillId="0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Fill="1" applyBorder="1" applyAlignment="1">
      <alignment horizontal="center" vertical="center"/>
    </xf>
    <xf numFmtId="169" fontId="31" fillId="0" borderId="1" xfId="2" applyNumberFormat="1" applyFont="1" applyFill="1" applyBorder="1" applyAlignment="1">
      <alignment horizontal="center" vertical="center"/>
    </xf>
    <xf numFmtId="165" fontId="31" fillId="0" borderId="1" xfId="2" applyNumberFormat="1" applyFont="1" applyFill="1" applyBorder="1" applyAlignment="1">
      <alignment vertical="center"/>
    </xf>
    <xf numFmtId="164" fontId="31" fillId="0" borderId="1" xfId="0" applyNumberFormat="1" applyFont="1" applyFill="1" applyBorder="1" applyAlignment="1">
      <alignment horizontal="center" vertical="center"/>
    </xf>
    <xf numFmtId="3" fontId="31" fillId="0" borderId="1" xfId="0" applyNumberFormat="1" applyFont="1" applyFill="1" applyBorder="1" applyAlignment="1">
      <alignment horizontal="center" vertical="center"/>
    </xf>
    <xf numFmtId="1" fontId="31" fillId="0" borderId="2" xfId="0" applyNumberFormat="1" applyFont="1" applyFill="1" applyBorder="1" applyAlignment="1">
      <alignment horizontal="center" vertical="center"/>
    </xf>
    <xf numFmtId="170" fontId="31" fillId="0" borderId="2" xfId="0" applyNumberFormat="1" applyFont="1" applyFill="1" applyBorder="1" applyAlignment="1">
      <alignment horizontal="center" vertical="center"/>
    </xf>
    <xf numFmtId="0" fontId="31" fillId="0" borderId="2" xfId="0" applyFont="1" applyFill="1" applyBorder="1" applyAlignment="1">
      <alignment horizontal="center" vertical="center"/>
    </xf>
    <xf numFmtId="49" fontId="4" fillId="0" borderId="2" xfId="0" applyNumberFormat="1" applyFont="1" applyFill="1" applyBorder="1" applyAlignment="1">
      <alignment vertical="center"/>
    </xf>
    <xf numFmtId="0" fontId="4" fillId="0" borderId="2" xfId="0" applyFont="1" applyFill="1" applyBorder="1" applyAlignment="1">
      <alignment horizontal="center" vertical="center"/>
    </xf>
    <xf numFmtId="0" fontId="31" fillId="0" borderId="2" xfId="0" applyFont="1" applyFill="1" applyBorder="1" applyAlignment="1">
      <alignment vertical="center"/>
    </xf>
    <xf numFmtId="49" fontId="31" fillId="0" borderId="2" xfId="0" applyNumberFormat="1" applyFont="1" applyFill="1" applyBorder="1" applyAlignment="1">
      <alignment horizontal="center" vertical="center"/>
    </xf>
    <xf numFmtId="14" fontId="31" fillId="0" borderId="2" xfId="0" applyNumberFormat="1" applyFont="1" applyFill="1" applyBorder="1" applyAlignment="1">
      <alignment horizontal="center" vertical="center"/>
    </xf>
    <xf numFmtId="169" fontId="31" fillId="0" borderId="2" xfId="2" applyNumberFormat="1" applyFont="1" applyFill="1" applyBorder="1" applyAlignment="1">
      <alignment horizontal="center" vertical="center"/>
    </xf>
    <xf numFmtId="165" fontId="31" fillId="0" borderId="2" xfId="2" applyNumberFormat="1" applyFont="1" applyFill="1" applyBorder="1" applyAlignment="1">
      <alignment vertical="center"/>
    </xf>
    <xf numFmtId="164" fontId="31" fillId="0" borderId="2" xfId="0" applyNumberFormat="1" applyFont="1" applyFill="1" applyBorder="1" applyAlignment="1">
      <alignment horizontal="center" vertical="center"/>
    </xf>
    <xf numFmtId="3" fontId="31" fillId="0" borderId="2" xfId="0" applyNumberFormat="1" applyFont="1" applyFill="1" applyBorder="1" applyAlignment="1">
      <alignment horizontal="center" vertical="center"/>
    </xf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alignment horizontal="left"/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18</c:v>
                </c:pt>
                <c:pt idx="1">
                  <c:v>13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550</c:v>
                </c:pt>
                <c:pt idx="1">
                  <c:v>808</c:v>
                </c:pt>
                <c:pt idx="2">
                  <c:v>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7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7" dataDxfId="56" totalsRowDxfId="55" totalsRowBorderDxfId="54">
  <autoFilter ref="A1:T2007" xr:uid="{D1BD5F14-CD6F-4B62-85D2-128A9D3B5FF1}">
    <filterColumn colId="1">
      <filters>
        <filter val="2026"/>
      </filters>
    </filterColumn>
    <filterColumn colId="2">
      <filters>
        <filter val="Realizado"/>
      </filters>
    </filterColumn>
  </autoFilter>
  <tableColumns count="20">
    <tableColumn id="1" xr3:uid="{022FA08A-515E-453B-85A4-E200B40364EE}" name="ID" dataDxfId="52" totalsRowDxfId="53"/>
    <tableColumn id="2" xr3:uid="{19532738-24D5-4BD5-BE04-C19DCC5894A1}" name="Ano" dataDxfId="50" totalsRowDxfId="51"/>
    <tableColumn id="3" xr3:uid="{8DE0B36A-F0DC-47A1-A74E-F4BE63A4FB1D}" name="Status Evento" dataDxfId="48" totalsRowDxfId="49"/>
    <tableColumn id="4" xr3:uid="{C1159FBD-CCD0-4CA2-BB8C-598E3AB5DDD8}" name="Processo" dataDxfId="46" totalsRowDxfId="47"/>
    <tableColumn id="5" xr3:uid="{A32670A4-BE4F-480D-8DE9-8FF18024C829}" name="Curso" dataDxfId="44" totalsRowDxfId="45"/>
    <tableColumn id="8" xr3:uid="{905DEA0A-D099-47EA-972D-1012D71C7792}" name="Público-Alvo" dataDxfId="42" totalsRowDxfId="43"/>
    <tableColumn id="9" xr3:uid="{7DC0A0BE-8030-47CA-AF56-2C13C9FF7AE5}" name="Programa" dataDxfId="40" totalsRowDxfId="41"/>
    <tableColumn id="11" xr3:uid="{2B799ACD-69E4-46A5-9A4F-F7E3D7A47CE9}" name="Data TXT" dataDxfId="38" totalsRowDxfId="39"/>
    <tableColumn id="12" xr3:uid="{62016C67-3729-4C41-B72D-09D6616B7474}" name="Início" dataDxfId="36" totalsRowDxfId="37"/>
    <tableColumn id="13" xr3:uid="{E4F20518-0042-40C0-B590-B7616F2843A5}" name="Término" dataDxfId="34" totalsRowDxfId="35"/>
    <tableColumn id="14" xr3:uid="{4D6C4412-CFEE-4506-830E-F79FD008371B}" name="Modalidade" dataDxfId="32" totalsRowDxfId="33"/>
    <tableColumn id="15" xr3:uid="{12EC931A-E71B-4AEB-B20B-0F9EA63D0C71}" name="Valor instrutoria" dataDxfId="30" totalsRowDxfId="31" dataCellStyle="Moeda"/>
    <tableColumn id="17" xr3:uid="{8FCDFADA-4FA3-41E0-86FF-E623116BAFEB}" name="Nota Av. Reação" dataDxfId="28" totalsRowDxfId="29"/>
    <tableColumn id="19" xr3:uid="{316EB379-BB97-4F60-9566-576B25A26B0E}" name="Qtd Vagas" dataDxfId="26" totalsRowDxfId="27"/>
    <tableColumn id="20" xr3:uid="{59A9FB16-6726-411C-88B5-8165DD520DA3}" name="P. Servidores" dataDxfId="24" totalsRowDxfId="25"/>
    <tableColumn id="21" xr3:uid="{0246E091-ADCD-4F62-8F95-84B21E8A7BE1}" name="P. Jurisdicionados" dataDxfId="22" totalsRowDxfId="23"/>
    <tableColumn id="22" xr3:uid="{1B6DBD6D-C072-4600-81C1-69D6F4422D7D}" name="P. Sociedade" dataDxfId="20" totalsRowDxfId="21"/>
    <tableColumn id="23" xr3:uid="{109F7E4E-776C-4249-88BE-FEC3A375D7D9}" name="Total Part." dataDxfId="18" totalsRowDxfId="19"/>
    <tableColumn id="24" xr3:uid="{C67AA4C6-834C-4EBB-839B-EF0CDD50F649}" name="C.H." dataDxfId="16" totalsRowDxfId="17"/>
    <tableColumn id="26" xr3:uid="{973608F6-3E97-493C-AC61-980F73C13CD6}" name="Instrutor" dataDxfId="14" totalsRowDxfId="15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8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topLeftCell="B1" zoomScale="120" zoomScaleNormal="120" workbookViewId="0">
      <pane ySplit="1" topLeftCell="A676" activePane="bottomLeft" state="frozen"/>
      <selection pane="bottomLeft" activeCell="C658" sqref="C658:C724"/>
    </sheetView>
  </sheetViews>
  <sheetFormatPr defaultColWidth="9.140625" defaultRowHeight="22.5" customHeight="1" x14ac:dyDescent="0.25"/>
  <cols>
    <col min="1" max="1" width="11.5703125" style="3" bestFit="1" customWidth="1"/>
    <col min="2" max="2" width="17.710937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customWidth="1"/>
    <col min="8" max="8" width="33.42578125" style="1" customWidth="1"/>
    <col min="9" max="9" width="11.28515625" style="1" bestFit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255.7109375" style="2" bestFit="1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hidden="1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hidden="1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ref="W3">TEXT(W2,"0")&amp;"-"&amp;TEXT(MAX(IFERROR((LEFT(Tabela2[ID],4)=TEXT(W2,"0"))*VALUE(RIGHT(Tabela2[ID],3)),0))+1,"000")</f>
        <v>2026-080</v>
      </c>
    </row>
    <row r="4" spans="1:23" ht="15" hidden="1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>COUNTA(Tabela2[ID])</f>
        <v>734</v>
      </c>
    </row>
    <row r="5" spans="1:23" ht="15" hidden="1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ref="W5">SUMPRODUCT((Tabela2[ID]&lt;&gt;"")*(COUNTIF(Tabela2[ID],Tabela2[ID]&amp;"")&gt;1))</f>
        <v>0</v>
      </c>
    </row>
    <row r="6" spans="1:23" ht="15" hidden="1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ref="W6">SUMPRODUCT((Tabela2[Ano]&lt;&gt;"")*(Tabela2[ID]=""))</f>
        <v>0</v>
      </c>
    </row>
    <row r="7" spans="1:23" ht="15" hidden="1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ref="W7">SUMPRODUCT((Tabela2[ID]&lt;&gt;"")*(1-((LEN(Tabela2[ID])=8)*(MID(Tabela2[ID]&amp;"        ",5,1)="-")*ISNUMBER(VALUE(LEFT(Tabela2[ID]&amp;"0000",4))))))</f>
        <v>0</v>
      </c>
    </row>
    <row r="8" spans="1:23" ht="15" hidden="1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hidden="1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hidden="1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hidden="1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hidden="1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hidden="1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hidden="1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hidden="1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hidden="1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hidden="1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hidden="1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hidden="1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hidden="1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hidden="1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hidden="1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hidden="1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hidden="1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hidden="1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hidden="1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hidden="1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hidden="1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hidden="1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hidden="1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hidden="1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hidden="1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hidden="1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hidden="1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hidden="1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hidden="1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hidden="1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hidden="1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hidden="1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hidden="1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hidden="1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hidden="1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hidden="1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hidden="1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hidden="1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hidden="1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hidden="1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hidden="1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hidden="1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hidden="1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hidden="1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hidden="1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hidden="1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hidden="1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hidden="1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hidden="1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hidden="1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hidden="1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hidden="1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hidden="1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hidden="1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hidden="1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hidden="1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hidden="1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hidden="1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hidden="1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hidden="1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hidden="1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hidden="1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hidden="1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hidden="1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hidden="1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hidden="1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hidden="1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hidden="1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hidden="1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hidden="1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hidden="1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hidden="1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hidden="1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hidden="1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hidden="1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hidden="1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hidden="1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hidden="1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hidden="1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hidden="1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hidden="1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hidden="1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hidden="1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hidden="1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hidden="1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hidden="1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hidden="1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hidden="1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hidden="1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hidden="1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hidden="1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hidden="1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hidden="1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hidden="1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hidden="1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hidden="1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hidden="1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hidden="1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hidden="1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hidden="1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hidden="1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hidden="1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hidden="1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hidden="1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hidden="1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hidden="1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hidden="1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hidden="1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hidden="1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hidden="1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hidden="1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hidden="1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hidden="1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hidden="1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hidden="1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hidden="1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hidden="1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hidden="1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hidden="1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hidden="1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hidden="1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hidden="1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hidden="1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hidden="1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hidden="1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hidden="1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hidden="1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hidden="1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hidden="1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hidden="1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hidden="1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hidden="1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hidden="1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hidden="1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hidden="1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hidden="1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hidden="1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hidden="1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hidden="1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hidden="1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hidden="1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hidden="1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hidden="1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hidden="1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hidden="1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hidden="1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hidden="1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hidden="1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hidden="1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hidden="1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hidden="1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hidden="1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hidden="1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hidden="1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hidden="1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hidden="1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hidden="1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hidden="1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hidden="1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hidden="1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hidden="1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hidden="1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hidden="1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hidden="1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hidden="1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hidden="1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hidden="1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hidden="1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hidden="1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hidden="1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hidden="1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hidden="1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hidden="1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hidden="1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hidden="1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hidden="1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hidden="1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hidden="1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hidden="1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hidden="1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hidden="1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hidden="1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hidden="1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hidden="1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hidden="1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hidden="1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hidden="1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hidden="1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hidden="1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hidden="1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hidden="1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hidden="1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hidden="1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hidden="1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hidden="1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hidden="1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hidden="1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hidden="1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hidden="1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hidden="1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hidden="1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hidden="1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hidden="1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hidden="1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hidden="1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hidden="1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hidden="1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hidden="1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hidden="1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hidden="1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hidden="1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hidden="1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hidden="1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hidden="1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hidden="1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hidden="1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hidden="1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hidden="1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hidden="1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hidden="1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hidden="1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hidden="1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hidden="1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hidden="1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hidden="1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hidden="1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hidden="1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hidden="1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hidden="1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hidden="1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hidden="1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hidden="1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hidden="1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hidden="1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hidden="1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hidden="1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hidden="1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hidden="1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hidden="1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hidden="1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hidden="1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hidden="1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hidden="1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hidden="1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hidden="1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hidden="1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hidden="1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hidden="1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hidden="1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hidden="1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hidden="1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hidden="1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hidden="1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hidden="1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hidden="1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hidden="1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hidden="1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hidden="1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hidden="1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hidden="1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hidden="1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hidden="1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hidden="1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hidden="1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hidden="1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hidden="1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hidden="1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hidden="1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hidden="1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hidden="1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15" hidden="1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hidden="1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hidden="1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hidden="1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hidden="1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hidden="1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hidden="1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hidden="1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hidden="1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hidden="1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hidden="1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hidden="1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hidden="1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hidden="1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hidden="1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hidden="1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hidden="1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hidden="1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hidden="1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hidden="1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hidden="1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hidden="1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hidden="1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hidden="1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hidden="1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hidden="1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hidden="1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hidden="1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hidden="1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hidden="1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hidden="1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hidden="1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hidden="1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hidden="1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45" hidden="1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hidden="1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hidden="1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hidden="1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hidden="1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hidden="1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hidden="1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hidden="1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hidden="1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hidden="1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hidden="1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hidden="1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hidden="1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hidden="1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hidden="1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hidden="1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30" hidden="1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hidden="1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hidden="1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hidden="1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hidden="1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hidden="1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hidden="1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hidden="1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hidden="1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hidden="1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hidden="1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hidden="1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hidden="1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hidden="1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hidden="1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hidden="1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hidden="1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hidden="1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hidden="1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hidden="1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hidden="1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hidden="1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hidden="1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hidden="1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hidden="1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hidden="1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hidden="1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hidden="1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hidden="1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hidden="1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hidden="1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hidden="1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hidden="1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hidden="1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hidden="1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hidden="1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hidden="1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hidden="1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hidden="1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hidden="1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hidden="1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hidden="1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hidden="1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hidden="1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hidden="1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hidden="1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hidden="1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hidden="1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hidden="1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hidden="1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hidden="1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hidden="1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hidden="1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hidden="1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hidden="1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hidden="1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hidden="1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hidden="1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hidden="1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hidden="1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hidden="1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hidden="1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hidden="1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hidden="1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hidden="1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hidden="1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hidden="1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hidden="1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hidden="1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hidden="1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hidden="1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hidden="1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hidden="1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hidden="1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hidden="1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hidden="1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hidden="1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hidden="1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hidden="1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hidden="1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hidden="1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hidden="1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hidden="1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hidden="1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hidden="1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hidden="1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hidden="1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hidden="1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hidden="1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hidden="1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hidden="1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hidden="1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hidden="1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hidden="1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hidden="1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hidden="1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hidden="1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hidden="1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hidden="1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hidden="1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hidden="1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hidden="1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hidden="1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hidden="1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hidden="1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hidden="1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hidden="1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hidden="1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hidden="1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hidden="1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hidden="1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hidden="1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hidden="1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hidden="1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hidden="1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hidden="1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hidden="1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hidden="1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hidden="1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hidden="1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hidden="1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hidden="1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hidden="1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hidden="1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hidden="1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hidden="1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hidden="1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hidden="1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hidden="1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hidden="1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hidden="1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hidden="1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hidden="1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hidden="1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hidden="1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hidden="1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hidden="1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hidden="1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hidden="1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hidden="1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hidden="1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hidden="1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hidden="1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hidden="1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hidden="1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hidden="1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hidden="1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hidden="1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hidden="1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hidden="1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hidden="1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hidden="1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hidden="1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hidden="1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hidden="1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hidden="1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hidden="1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hidden="1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hidden="1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hidden="1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hidden="1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hidden="1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hidden="1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hidden="1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hidden="1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hidden="1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hidden="1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hidden="1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hidden="1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hidden="1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hidden="1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hidden="1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hidden="1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hidden="1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hidden="1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hidden="1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hidden="1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hidden="1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hidden="1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hidden="1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hidden="1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hidden="1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hidden="1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hidden="1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hidden="1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hidden="1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hidden="1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hidden="1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hidden="1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hidden="1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hidden="1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hidden="1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hidden="1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hidden="1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hidden="1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hidden="1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hidden="1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hidden="1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hidden="1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hidden="1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hidden="1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hidden="1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hidden="1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hidden="1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hidden="1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hidden="1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hidden="1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hidden="1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hidden="1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hidden="1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hidden="1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hidden="1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hidden="1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hidden="1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hidden="1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hidden="1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hidden="1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hidden="1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hidden="1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hidden="1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hidden="1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hidden="1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hidden="1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hidden="1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hidden="1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hidden="1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hidden="1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hidden="1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hidden="1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hidden="1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hidden="1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hidden="1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hidden="1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hidden="1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hidden="1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hidden="1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hidden="1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hidden="1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hidden="1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hidden="1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hidden="1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hidden="1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hidden="1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hidden="1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hidden="1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hidden="1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hidden="1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hidden="1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hidden="1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hidden="1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15" hidden="1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15" hidden="1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hidden="1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hidden="1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hidden="1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hidden="1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hidden="1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hidden="1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hidden="1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hidden="1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hidden="1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hidden="1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hidden="1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hidden="1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hidden="1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hidden="1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hidden="1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hidden="1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hidden="1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hidden="1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hidden="1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hidden="1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hidden="1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hidden="1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hidden="1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hidden="1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hidden="1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hidden="1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hidden="1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15" hidden="1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hidden="1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hidden="1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hidden="1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hidden="1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hidden="1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hidden="1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hidden="1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hidden="1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hidden="1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hidden="1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hidden="1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hidden="1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hidden="1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hidden="1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hidden="1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hidden="1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15" hidden="1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hidden="1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15" hidden="1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hidden="1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hidden="1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hidden="1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hidden="1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hidden="1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hidden="1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hidden="1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hidden="1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hidden="1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hidden="1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hidden="1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hidden="1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hidden="1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hidden="1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hidden="1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hidden="1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hidden="1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15" hidden="1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15" hidden="1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hidden="1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hidden="1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hidden="1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hidden="1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hidden="1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hidden="1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hidden="1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hidden="1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hidden="1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hidden="1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/>
      <c r="N655" s="135"/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hidden="1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hidden="1" x14ac:dyDescent="0.25">
      <c r="A657" s="191" t="s">
        <v>2868</v>
      </c>
      <c r="B657" s="127">
        <v>2026</v>
      </c>
      <c r="C657" s="183" t="s">
        <v>2774</v>
      </c>
      <c r="D657" s="183" t="s">
        <v>2869</v>
      </c>
      <c r="E657" s="184" t="s">
        <v>2870</v>
      </c>
      <c r="F657" s="185" t="s">
        <v>69</v>
      </c>
      <c r="G657" s="186" t="s">
        <v>79</v>
      </c>
      <c r="H657" s="191" t="s">
        <v>2871</v>
      </c>
      <c r="I657" s="192">
        <v>46237</v>
      </c>
      <c r="J657" s="192">
        <v>46238</v>
      </c>
      <c r="K657" s="183" t="s">
        <v>38</v>
      </c>
      <c r="L657" s="187"/>
      <c r="M657" s="188"/>
      <c r="N657" s="189">
        <v>400</v>
      </c>
      <c r="O657" s="190"/>
      <c r="P657" s="190"/>
      <c r="Q657" s="190"/>
      <c r="R657" s="190">
        <f>IF(B657="","",SUM(O657:Q657))</f>
        <v>0</v>
      </c>
      <c r="S657" s="183">
        <v>8</v>
      </c>
      <c r="T657" s="186" t="s">
        <v>2872</v>
      </c>
    </row>
    <row r="658" spans="1:20" ht="15" x14ac:dyDescent="0.25">
      <c r="A658" s="191" t="s">
        <v>2835</v>
      </c>
      <c r="B658" s="127">
        <v>2026</v>
      </c>
      <c r="C658" s="127" t="s">
        <v>22</v>
      </c>
      <c r="D658" s="173" t="s">
        <v>2836</v>
      </c>
      <c r="E658" s="162" t="s">
        <v>2837</v>
      </c>
      <c r="F658" s="129" t="s">
        <v>69</v>
      </c>
      <c r="G658" s="174" t="s">
        <v>2702</v>
      </c>
      <c r="H658" s="175" t="s">
        <v>2838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hidden="1" x14ac:dyDescent="0.25">
      <c r="A659" s="137" t="s">
        <v>2773</v>
      </c>
      <c r="B659" s="127">
        <v>2026</v>
      </c>
      <c r="C659" s="183" t="s">
        <v>2774</v>
      </c>
      <c r="D659" s="183" t="s">
        <v>2775</v>
      </c>
      <c r="E659" s="184" t="s">
        <v>2776</v>
      </c>
      <c r="F659" s="185" t="s">
        <v>24</v>
      </c>
      <c r="G659" s="186" t="s">
        <v>2728</v>
      </c>
      <c r="H659" s="191" t="s">
        <v>2777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hidden="1" x14ac:dyDescent="0.25">
      <c r="A660" s="191" t="s">
        <v>2909</v>
      </c>
      <c r="B660" s="127">
        <v>2026</v>
      </c>
      <c r="C660" s="183" t="s">
        <v>2774</v>
      </c>
      <c r="D660" s="183" t="s">
        <v>2910</v>
      </c>
      <c r="E660" s="184" t="s">
        <v>2911</v>
      </c>
      <c r="F660" s="185" t="s">
        <v>24</v>
      </c>
      <c r="G660" s="186" t="s">
        <v>206</v>
      </c>
      <c r="H660" s="191" t="s">
        <v>2912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2913</v>
      </c>
    </row>
    <row r="661" spans="1:20" ht="15" x14ac:dyDescent="0.25">
      <c r="A661" s="137" t="s">
        <v>2686</v>
      </c>
      <c r="B661" s="127">
        <v>2026</v>
      </c>
      <c r="C661" s="127" t="s">
        <v>22</v>
      </c>
      <c r="D661" s="127" t="s">
        <v>2687</v>
      </c>
      <c r="E661" s="128" t="s">
        <v>2138</v>
      </c>
      <c r="F661" s="129" t="s">
        <v>69</v>
      </c>
      <c r="G661" s="130" t="s">
        <v>79</v>
      </c>
      <c r="H661" s="131" t="s">
        <v>2688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hidden="1" x14ac:dyDescent="0.25">
      <c r="A662" s="191" t="s">
        <v>2950</v>
      </c>
      <c r="B662" s="127">
        <v>2026</v>
      </c>
      <c r="C662" s="183" t="s">
        <v>2774</v>
      </c>
      <c r="D662" s="183" t="s">
        <v>2951</v>
      </c>
      <c r="E662" s="184" t="s">
        <v>2952</v>
      </c>
      <c r="F662" s="185" t="s">
        <v>69</v>
      </c>
      <c r="G662" s="186" t="s">
        <v>79</v>
      </c>
      <c r="H662" s="191" t="s">
        <v>2777</v>
      </c>
      <c r="I662" s="192" t="s">
        <v>2953</v>
      </c>
      <c r="J662" s="192" t="s">
        <v>2954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17.45</v>
      </c>
      <c r="T662" s="186" t="s">
        <v>2955</v>
      </c>
    </row>
    <row r="663" spans="1:20" ht="15" hidden="1" x14ac:dyDescent="0.25">
      <c r="A663" s="191" t="s">
        <v>2924</v>
      </c>
      <c r="B663" s="127">
        <v>2026</v>
      </c>
      <c r="C663" s="164" t="s">
        <v>2774</v>
      </c>
      <c r="D663" s="127" t="s">
        <v>2925</v>
      </c>
      <c r="E663" s="162" t="s">
        <v>2926</v>
      </c>
      <c r="F663" s="129" t="s">
        <v>88</v>
      </c>
      <c r="G663" s="130" t="s">
        <v>2749</v>
      </c>
      <c r="H663" s="131" t="s">
        <v>2927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2928</v>
      </c>
    </row>
    <row r="664" spans="1:20" ht="15" x14ac:dyDescent="0.25">
      <c r="A664" s="191" t="s">
        <v>2830</v>
      </c>
      <c r="B664" s="127">
        <v>2026</v>
      </c>
      <c r="C664" s="183" t="s">
        <v>22</v>
      </c>
      <c r="D664" s="183" t="s">
        <v>2831</v>
      </c>
      <c r="E664" s="184" t="s">
        <v>2832</v>
      </c>
      <c r="F664" s="185" t="s">
        <v>24</v>
      </c>
      <c r="G664" s="186" t="s">
        <v>25</v>
      </c>
      <c r="H664" s="191" t="s">
        <v>2833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2834</v>
      </c>
    </row>
    <row r="665" spans="1:20" ht="15" x14ac:dyDescent="0.25">
      <c r="A665" s="137" t="s">
        <v>2802</v>
      </c>
      <c r="B665" s="127">
        <v>2026</v>
      </c>
      <c r="C665" s="183" t="s">
        <v>22</v>
      </c>
      <c r="D665" s="183" t="s">
        <v>2803</v>
      </c>
      <c r="E665" s="184" t="s">
        <v>2676</v>
      </c>
      <c r="F665" s="185" t="s">
        <v>24</v>
      </c>
      <c r="G665" s="186" t="s">
        <v>42</v>
      </c>
      <c r="H665" s="191" t="s">
        <v>2804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x14ac:dyDescent="0.25">
      <c r="A666" s="137" t="s">
        <v>2769</v>
      </c>
      <c r="B666" s="127">
        <v>2026</v>
      </c>
      <c r="C666" s="183" t="s">
        <v>22</v>
      </c>
      <c r="D666" s="183" t="s">
        <v>2770</v>
      </c>
      <c r="E666" s="184" t="s">
        <v>2771</v>
      </c>
      <c r="F666" s="185" t="s">
        <v>24</v>
      </c>
      <c r="G666" s="186" t="s">
        <v>371</v>
      </c>
      <c r="H666" s="191" t="s">
        <v>2772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x14ac:dyDescent="0.25">
      <c r="A667" s="137" t="s">
        <v>2746</v>
      </c>
      <c r="B667" s="127">
        <v>2026</v>
      </c>
      <c r="C667" s="127" t="s">
        <v>22</v>
      </c>
      <c r="D667" s="173" t="s">
        <v>2747</v>
      </c>
      <c r="E667" s="180" t="s">
        <v>2748</v>
      </c>
      <c r="F667" s="129" t="s">
        <v>88</v>
      </c>
      <c r="G667" s="130" t="s">
        <v>2749</v>
      </c>
      <c r="H667" s="175" t="s">
        <v>2750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x14ac:dyDescent="0.25">
      <c r="A668" s="191" t="s">
        <v>2860</v>
      </c>
      <c r="B668" s="127">
        <v>2026</v>
      </c>
      <c r="C668" s="232" t="s">
        <v>22</v>
      </c>
      <c r="D668" s="183" t="s">
        <v>2861</v>
      </c>
      <c r="E668" s="184" t="s">
        <v>2862</v>
      </c>
      <c r="F668" s="185" t="s">
        <v>88</v>
      </c>
      <c r="G668" s="186" t="s">
        <v>2749</v>
      </c>
      <c r="H668" s="191" t="s">
        <v>2863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x14ac:dyDescent="0.25">
      <c r="A669" s="191" t="s">
        <v>2823</v>
      </c>
      <c r="B669" s="127">
        <v>2026</v>
      </c>
      <c r="C669" s="127" t="s">
        <v>22</v>
      </c>
      <c r="D669" s="173" t="s">
        <v>2824</v>
      </c>
      <c r="E669" s="180" t="s">
        <v>2825</v>
      </c>
      <c r="F669" s="129" t="s">
        <v>69</v>
      </c>
      <c r="G669" s="174" t="s">
        <v>2702</v>
      </c>
      <c r="H669" s="175" t="s">
        <v>2826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2704</v>
      </c>
    </row>
    <row r="670" spans="1:20" ht="15" x14ac:dyDescent="0.25">
      <c r="A670" s="191" t="s">
        <v>2827</v>
      </c>
      <c r="B670" s="127">
        <v>2026</v>
      </c>
      <c r="C670" s="127" t="s">
        <v>22</v>
      </c>
      <c r="D670" s="173" t="s">
        <v>2824</v>
      </c>
      <c r="E670" s="208" t="s">
        <v>2828</v>
      </c>
      <c r="F670" s="129" t="s">
        <v>69</v>
      </c>
      <c r="G670" s="174" t="s">
        <v>2702</v>
      </c>
      <c r="H670" s="175" t="s">
        <v>2829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2704</v>
      </c>
    </row>
    <row r="671" spans="1:20" ht="15" hidden="1" x14ac:dyDescent="0.25">
      <c r="A671" s="191" t="s">
        <v>2919</v>
      </c>
      <c r="B671" s="127">
        <v>2026</v>
      </c>
      <c r="C671" s="183" t="s">
        <v>2774</v>
      </c>
      <c r="D671" s="183" t="s">
        <v>2920</v>
      </c>
      <c r="E671" s="184" t="s">
        <v>2921</v>
      </c>
      <c r="F671" s="185" t="s">
        <v>69</v>
      </c>
      <c r="G671" s="186" t="s">
        <v>79</v>
      </c>
      <c r="H671" s="209" t="s">
        <v>2922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2923</v>
      </c>
    </row>
    <row r="672" spans="1:20" ht="15" x14ac:dyDescent="0.25">
      <c r="A672" s="137" t="s">
        <v>2778</v>
      </c>
      <c r="B672" s="127">
        <v>2026</v>
      </c>
      <c r="C672" s="183" t="s">
        <v>22</v>
      </c>
      <c r="D672" s="183" t="s">
        <v>2779</v>
      </c>
      <c r="E672" s="184" t="s">
        <v>2780</v>
      </c>
      <c r="F672" s="185" t="s">
        <v>24</v>
      </c>
      <c r="G672" s="186" t="s">
        <v>25</v>
      </c>
      <c r="H672" s="191" t="s">
        <v>2781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2782</v>
      </c>
    </row>
    <row r="673" spans="1:20" ht="15" x14ac:dyDescent="0.25">
      <c r="A673" s="137" t="s">
        <v>2720</v>
      </c>
      <c r="B673" s="127">
        <v>2026</v>
      </c>
      <c r="C673" s="127" t="s">
        <v>22</v>
      </c>
      <c r="D673" s="127" t="s">
        <v>2721</v>
      </c>
      <c r="E673" s="128" t="s">
        <v>2722</v>
      </c>
      <c r="F673" s="129" t="s">
        <v>24</v>
      </c>
      <c r="G673" s="144" t="s">
        <v>371</v>
      </c>
      <c r="H673" s="155" t="s">
        <v>2723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2724</v>
      </c>
    </row>
    <row r="674" spans="1:20" ht="15" x14ac:dyDescent="0.25">
      <c r="A674" s="137" t="s">
        <v>2711</v>
      </c>
      <c r="B674" s="127">
        <v>2026</v>
      </c>
      <c r="C674" s="127" t="s">
        <v>22</v>
      </c>
      <c r="D674" s="127" t="s">
        <v>2712</v>
      </c>
      <c r="E674" s="128" t="s">
        <v>2713</v>
      </c>
      <c r="F674" s="129" t="s">
        <v>69</v>
      </c>
      <c r="G674" s="130" t="s">
        <v>2702</v>
      </c>
      <c r="H674" s="172" t="s">
        <v>2714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2715</v>
      </c>
    </row>
    <row r="675" spans="1:20" ht="15" x14ac:dyDescent="0.25">
      <c r="A675" s="137" t="s">
        <v>2742</v>
      </c>
      <c r="B675" s="127">
        <v>2026</v>
      </c>
      <c r="C675" s="127" t="s">
        <v>22</v>
      </c>
      <c r="D675" s="173" t="s">
        <v>2743</v>
      </c>
      <c r="E675" s="128" t="s">
        <v>2744</v>
      </c>
      <c r="F675" s="129" t="s">
        <v>69</v>
      </c>
      <c r="G675" s="174" t="s">
        <v>2702</v>
      </c>
      <c r="H675" s="234" t="s">
        <v>2745</v>
      </c>
      <c r="I675" s="236">
        <v>46120</v>
      </c>
      <c r="J675" s="236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2715</v>
      </c>
    </row>
    <row r="676" spans="1:20" ht="15" x14ac:dyDescent="0.25">
      <c r="A676" s="137" t="s">
        <v>2734</v>
      </c>
      <c r="B676" s="127">
        <v>2026</v>
      </c>
      <c r="C676" s="127" t="s">
        <v>22</v>
      </c>
      <c r="D676" s="127" t="s">
        <v>2735</v>
      </c>
      <c r="E676" s="128" t="s">
        <v>2736</v>
      </c>
      <c r="F676" s="129" t="s">
        <v>69</v>
      </c>
      <c r="G676" s="130" t="s">
        <v>79</v>
      </c>
      <c r="H676" s="127" t="s">
        <v>2737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hidden="1" x14ac:dyDescent="0.25">
      <c r="A677" s="137" t="s">
        <v>2794</v>
      </c>
      <c r="B677" s="127">
        <v>2026</v>
      </c>
      <c r="C677" s="193" t="s">
        <v>2774</v>
      </c>
      <c r="D677" s="193" t="s">
        <v>2795</v>
      </c>
      <c r="E677" s="184" t="s">
        <v>2796</v>
      </c>
      <c r="F677" s="185" t="s">
        <v>69</v>
      </c>
      <c r="G677" s="194" t="s">
        <v>2702</v>
      </c>
      <c r="H677" s="195" t="s">
        <v>2777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2704</v>
      </c>
    </row>
    <row r="678" spans="1:20" ht="15" hidden="1" x14ac:dyDescent="0.25">
      <c r="A678" s="191" t="s">
        <v>2892</v>
      </c>
      <c r="B678" s="127">
        <v>2026</v>
      </c>
      <c r="C678" s="193" t="s">
        <v>2774</v>
      </c>
      <c r="D678" s="193" t="s">
        <v>2893</v>
      </c>
      <c r="E678" s="184" t="s">
        <v>2894</v>
      </c>
      <c r="F678" s="185" t="s">
        <v>69</v>
      </c>
      <c r="G678" s="194" t="s">
        <v>79</v>
      </c>
      <c r="H678" s="195" t="s">
        <v>2895</v>
      </c>
      <c r="I678" s="196">
        <v>46246</v>
      </c>
      <c r="J678" s="196">
        <v>46246</v>
      </c>
      <c r="K678" s="183" t="s">
        <v>38</v>
      </c>
      <c r="L678" s="187">
        <v>2347</v>
      </c>
      <c r="M678" s="198"/>
      <c r="N678" s="199">
        <v>50</v>
      </c>
      <c r="O678" s="200"/>
      <c r="P678" s="200"/>
      <c r="Q678" s="200"/>
      <c r="R678" s="200">
        <f>IF(B678="","",SUM(O678:Q678))</f>
        <v>0</v>
      </c>
      <c r="S678" s="193">
        <v>4</v>
      </c>
      <c r="T678" s="186" t="s">
        <v>1958</v>
      </c>
    </row>
    <row r="679" spans="1:20" ht="15" hidden="1" x14ac:dyDescent="0.25">
      <c r="A679" s="191" t="s">
        <v>2900</v>
      </c>
      <c r="B679" s="127">
        <v>2026</v>
      </c>
      <c r="C679" s="193" t="s">
        <v>2774</v>
      </c>
      <c r="D679" s="193" t="s">
        <v>2901</v>
      </c>
      <c r="E679" s="203" t="s">
        <v>2902</v>
      </c>
      <c r="F679" s="185" t="s">
        <v>69</v>
      </c>
      <c r="G679" s="186" t="s">
        <v>79</v>
      </c>
      <c r="H679" s="195" t="s">
        <v>2903</v>
      </c>
      <c r="I679" s="196">
        <v>46247</v>
      </c>
      <c r="J679" s="196">
        <v>46247</v>
      </c>
      <c r="K679" s="183" t="s">
        <v>38</v>
      </c>
      <c r="L679" s="197">
        <v>1770</v>
      </c>
      <c r="M679" s="198"/>
      <c r="N679" s="199">
        <v>50</v>
      </c>
      <c r="O679" s="200"/>
      <c r="P679" s="200"/>
      <c r="Q679" s="200"/>
      <c r="R679" s="200">
        <f>IF(B679="","",SUM(O679:Q679))</f>
        <v>0</v>
      </c>
      <c r="S679" s="193">
        <v>4</v>
      </c>
      <c r="T679" s="194" t="s">
        <v>2904</v>
      </c>
    </row>
    <row r="680" spans="1:20" ht="15" hidden="1" x14ac:dyDescent="0.25">
      <c r="A680" s="137" t="s">
        <v>2797</v>
      </c>
      <c r="B680" s="127">
        <v>2026</v>
      </c>
      <c r="C680" s="168" t="s">
        <v>2798</v>
      </c>
      <c r="D680" s="152" t="s">
        <v>2799</v>
      </c>
      <c r="E680" s="153" t="s">
        <v>2800</v>
      </c>
      <c r="F680" s="129" t="s">
        <v>24</v>
      </c>
      <c r="G680" s="130" t="s">
        <v>2708</v>
      </c>
      <c r="H680" s="155" t="s">
        <v>2801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2710</v>
      </c>
    </row>
    <row r="681" spans="1:20" ht="15" x14ac:dyDescent="0.25">
      <c r="A681" s="191" t="s">
        <v>2853</v>
      </c>
      <c r="B681" s="127">
        <v>2026</v>
      </c>
      <c r="C681" s="168" t="s">
        <v>22</v>
      </c>
      <c r="D681" s="152" t="s">
        <v>2799</v>
      </c>
      <c r="E681" s="153" t="s">
        <v>2854</v>
      </c>
      <c r="F681" s="129" t="s">
        <v>24</v>
      </c>
      <c r="G681" s="154" t="s">
        <v>2708</v>
      </c>
      <c r="H681" s="155" t="s">
        <v>2855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2710</v>
      </c>
    </row>
    <row r="682" spans="1:20" ht="15" hidden="1" x14ac:dyDescent="0.25">
      <c r="A682" s="191" t="s">
        <v>2873</v>
      </c>
      <c r="B682" s="127">
        <v>2026</v>
      </c>
      <c r="C682" s="193" t="s">
        <v>2798</v>
      </c>
      <c r="D682" s="152" t="s">
        <v>2799</v>
      </c>
      <c r="E682" s="153" t="s">
        <v>2854</v>
      </c>
      <c r="F682" s="185" t="s">
        <v>24</v>
      </c>
      <c r="G682" s="194" t="s">
        <v>2708</v>
      </c>
      <c r="H682" s="195" t="s">
        <v>2874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2710</v>
      </c>
    </row>
    <row r="683" spans="1:20" ht="15" x14ac:dyDescent="0.25">
      <c r="A683" s="137" t="s">
        <v>2694</v>
      </c>
      <c r="B683" s="127">
        <v>2026</v>
      </c>
      <c r="C683" s="152" t="s">
        <v>22</v>
      </c>
      <c r="D683" s="152" t="s">
        <v>2695</v>
      </c>
      <c r="E683" s="153" t="s">
        <v>2696</v>
      </c>
      <c r="F683" s="129" t="s">
        <v>24</v>
      </c>
      <c r="G683" s="130" t="s">
        <v>42</v>
      </c>
      <c r="H683" s="235" t="s">
        <v>2697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2698</v>
      </c>
    </row>
    <row r="684" spans="1:20" ht="15" x14ac:dyDescent="0.25">
      <c r="A684" s="191" t="s">
        <v>2818</v>
      </c>
      <c r="B684" s="152">
        <v>2026</v>
      </c>
      <c r="C684" s="168" t="s">
        <v>22</v>
      </c>
      <c r="D684" s="152" t="s">
        <v>2819</v>
      </c>
      <c r="E684" s="153" t="s">
        <v>2820</v>
      </c>
      <c r="F684" s="161" t="s">
        <v>24</v>
      </c>
      <c r="G684" s="154" t="s">
        <v>25</v>
      </c>
      <c r="H684" s="207" t="s">
        <v>2821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2822</v>
      </c>
    </row>
    <row r="685" spans="1:20" ht="15" x14ac:dyDescent="0.25">
      <c r="A685" s="137" t="s">
        <v>2705</v>
      </c>
      <c r="B685" s="152">
        <v>2026</v>
      </c>
      <c r="C685" s="127" t="s">
        <v>22</v>
      </c>
      <c r="D685" s="131" t="s">
        <v>2706</v>
      </c>
      <c r="E685" s="128" t="s">
        <v>2707</v>
      </c>
      <c r="F685" s="129" t="s">
        <v>24</v>
      </c>
      <c r="G685" s="144" t="s">
        <v>2708</v>
      </c>
      <c r="H685" s="131" t="s">
        <v>2709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2710</v>
      </c>
    </row>
    <row r="686" spans="1:20" ht="15" x14ac:dyDescent="0.25">
      <c r="A686" s="137" t="s">
        <v>2699</v>
      </c>
      <c r="B686" s="152">
        <v>2026</v>
      </c>
      <c r="C686" s="127" t="s">
        <v>22</v>
      </c>
      <c r="D686" s="127" t="s">
        <v>2700</v>
      </c>
      <c r="E686" s="128" t="s">
        <v>2701</v>
      </c>
      <c r="F686" s="129" t="s">
        <v>69</v>
      </c>
      <c r="G686" s="130" t="s">
        <v>2702</v>
      </c>
      <c r="H686" s="131" t="s">
        <v>2703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2704</v>
      </c>
    </row>
    <row r="687" spans="1:20" ht="15" x14ac:dyDescent="0.25">
      <c r="A687" s="191" t="s">
        <v>2805</v>
      </c>
      <c r="B687" s="152">
        <v>2026</v>
      </c>
      <c r="C687" s="127" t="s">
        <v>22</v>
      </c>
      <c r="D687" s="173" t="s">
        <v>2806</v>
      </c>
      <c r="E687" s="180" t="s">
        <v>2807</v>
      </c>
      <c r="F687" s="233" t="s">
        <v>24</v>
      </c>
      <c r="G687" s="174" t="s">
        <v>42</v>
      </c>
      <c r="H687" s="175" t="s">
        <v>2808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/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x14ac:dyDescent="0.25">
      <c r="A688" s="191" t="s">
        <v>2842</v>
      </c>
      <c r="B688" s="152">
        <v>2026</v>
      </c>
      <c r="C688" s="183" t="s">
        <v>22</v>
      </c>
      <c r="D688" s="183" t="s">
        <v>2843</v>
      </c>
      <c r="E688" s="184" t="s">
        <v>2844</v>
      </c>
      <c r="F688" s="185" t="s">
        <v>69</v>
      </c>
      <c r="G688" s="186" t="s">
        <v>79</v>
      </c>
      <c r="H688" s="191" t="s">
        <v>2845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2754</v>
      </c>
    </row>
    <row r="689" spans="1:20" ht="30" x14ac:dyDescent="0.25">
      <c r="A689" s="137" t="s">
        <v>2725</v>
      </c>
      <c r="B689" s="152">
        <v>2026</v>
      </c>
      <c r="C689" s="127" t="s">
        <v>22</v>
      </c>
      <c r="D689" s="127" t="s">
        <v>2726</v>
      </c>
      <c r="E689" s="128" t="s">
        <v>2727</v>
      </c>
      <c r="F689" s="129" t="s">
        <v>24</v>
      </c>
      <c r="G689" s="144" t="s">
        <v>2728</v>
      </c>
      <c r="H689" s="131" t="s">
        <v>2729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2730</v>
      </c>
    </row>
    <row r="690" spans="1:20" ht="15" x14ac:dyDescent="0.25">
      <c r="A690" s="137" t="s">
        <v>2751</v>
      </c>
      <c r="B690" s="152">
        <v>2026</v>
      </c>
      <c r="C690" s="127" t="s">
        <v>22</v>
      </c>
      <c r="D690" s="127" t="s">
        <v>2726</v>
      </c>
      <c r="E690" s="128" t="s">
        <v>2752</v>
      </c>
      <c r="F690" s="129" t="s">
        <v>24</v>
      </c>
      <c r="G690" s="144" t="s">
        <v>2728</v>
      </c>
      <c r="H690" s="131" t="s">
        <v>2753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2754</v>
      </c>
    </row>
    <row r="691" spans="1:20" ht="15" x14ac:dyDescent="0.25">
      <c r="A691" s="137" t="s">
        <v>2790</v>
      </c>
      <c r="B691" s="152">
        <v>2026</v>
      </c>
      <c r="C691" s="183" t="s">
        <v>22</v>
      </c>
      <c r="D691" s="183" t="s">
        <v>2791</v>
      </c>
      <c r="E691" s="184" t="s">
        <v>2792</v>
      </c>
      <c r="F691" s="185" t="s">
        <v>24</v>
      </c>
      <c r="G691" s="186" t="s">
        <v>2728</v>
      </c>
      <c r="H691" s="191" t="s">
        <v>2793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2754</v>
      </c>
    </row>
    <row r="692" spans="1:20" ht="15" x14ac:dyDescent="0.25">
      <c r="A692" s="191" t="s">
        <v>2839</v>
      </c>
      <c r="B692" s="152">
        <v>2026</v>
      </c>
      <c r="C692" s="183" t="s">
        <v>22</v>
      </c>
      <c r="D692" s="183" t="s">
        <v>2791</v>
      </c>
      <c r="E692" s="184" t="s">
        <v>2840</v>
      </c>
      <c r="F692" s="185" t="s">
        <v>24</v>
      </c>
      <c r="G692" s="186" t="s">
        <v>2728</v>
      </c>
      <c r="H692" s="191" t="s">
        <v>2841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2754</v>
      </c>
    </row>
    <row r="693" spans="1:20" ht="15" hidden="1" x14ac:dyDescent="0.25">
      <c r="A693" s="191" t="s">
        <v>2846</v>
      </c>
      <c r="B693" s="152">
        <v>2026</v>
      </c>
      <c r="C693" s="183" t="s">
        <v>2774</v>
      </c>
      <c r="D693" s="183" t="s">
        <v>2847</v>
      </c>
      <c r="E693" s="184" t="s">
        <v>2848</v>
      </c>
      <c r="F693" s="185" t="s">
        <v>24</v>
      </c>
      <c r="G693" s="186" t="s">
        <v>25</v>
      </c>
      <c r="H693" s="191" t="s">
        <v>2777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hidden="1" x14ac:dyDescent="0.25">
      <c r="A694" s="191" t="s">
        <v>2941</v>
      </c>
      <c r="B694" s="152">
        <v>2026</v>
      </c>
      <c r="C694" s="127" t="s">
        <v>2774</v>
      </c>
      <c r="D694" s="173" t="s">
        <v>2942</v>
      </c>
      <c r="E694" s="180" t="s">
        <v>2943</v>
      </c>
      <c r="F694" s="129" t="s">
        <v>69</v>
      </c>
      <c r="G694" s="130" t="s">
        <v>79</v>
      </c>
      <c r="H694" s="175" t="s">
        <v>2944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hidden="1" x14ac:dyDescent="0.25">
      <c r="A695" s="191" t="s">
        <v>2937</v>
      </c>
      <c r="B695" s="152">
        <v>2026</v>
      </c>
      <c r="C695" s="183" t="s">
        <v>2774</v>
      </c>
      <c r="D695" s="183" t="s">
        <v>2938</v>
      </c>
      <c r="E695" s="184" t="s">
        <v>2939</v>
      </c>
      <c r="F695" s="185" t="s">
        <v>69</v>
      </c>
      <c r="G695" s="186" t="s">
        <v>79</v>
      </c>
      <c r="H695" s="191" t="s">
        <v>2940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x14ac:dyDescent="0.25">
      <c r="A696" s="137" t="s">
        <v>2738</v>
      </c>
      <c r="B696" s="152">
        <v>2026</v>
      </c>
      <c r="C696" s="127" t="s">
        <v>22</v>
      </c>
      <c r="D696" s="127" t="s">
        <v>2739</v>
      </c>
      <c r="E696" s="128" t="s">
        <v>2740</v>
      </c>
      <c r="F696" s="129" t="s">
        <v>69</v>
      </c>
      <c r="G696" s="130" t="s">
        <v>79</v>
      </c>
      <c r="H696" s="131" t="s">
        <v>2741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x14ac:dyDescent="0.25">
      <c r="A697" s="137" t="s">
        <v>2755</v>
      </c>
      <c r="B697" s="152">
        <v>2026</v>
      </c>
      <c r="C697" s="127" t="s">
        <v>22</v>
      </c>
      <c r="D697" s="173" t="s">
        <v>2756</v>
      </c>
      <c r="E697" s="180" t="s">
        <v>2757</v>
      </c>
      <c r="F697" s="129" t="s">
        <v>24</v>
      </c>
      <c r="G697" s="144" t="s">
        <v>2728</v>
      </c>
      <c r="H697" s="175" t="s">
        <v>2758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2754</v>
      </c>
    </row>
    <row r="698" spans="1:20" ht="15" hidden="1" x14ac:dyDescent="0.25">
      <c r="A698" s="191" t="s">
        <v>2813</v>
      </c>
      <c r="B698" s="152">
        <v>2026</v>
      </c>
      <c r="C698" s="183" t="s">
        <v>2798</v>
      </c>
      <c r="D698" s="183" t="s">
        <v>2814</v>
      </c>
      <c r="E698" s="184" t="s">
        <v>2815</v>
      </c>
      <c r="F698" s="185" t="s">
        <v>24</v>
      </c>
      <c r="G698" s="186" t="s">
        <v>75</v>
      </c>
      <c r="H698" s="191" t="s">
        <v>2816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2817</v>
      </c>
    </row>
    <row r="699" spans="1:20" ht="15" x14ac:dyDescent="0.25">
      <c r="A699" s="137" t="s">
        <v>2759</v>
      </c>
      <c r="B699" s="152">
        <v>2026</v>
      </c>
      <c r="C699" s="127" t="s">
        <v>22</v>
      </c>
      <c r="D699" s="127" t="s">
        <v>2760</v>
      </c>
      <c r="E699" s="128" t="s">
        <v>2761</v>
      </c>
      <c r="F699" s="129" t="s">
        <v>24</v>
      </c>
      <c r="G699" s="130" t="s">
        <v>206</v>
      </c>
      <c r="H699" s="131" t="s">
        <v>2762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2763</v>
      </c>
    </row>
    <row r="700" spans="1:20" ht="15" x14ac:dyDescent="0.25">
      <c r="A700" s="191" t="s">
        <v>2849</v>
      </c>
      <c r="B700" s="152">
        <v>2026</v>
      </c>
      <c r="C700" s="183" t="s">
        <v>22</v>
      </c>
      <c r="D700" s="183" t="s">
        <v>2850</v>
      </c>
      <c r="E700" s="184" t="s">
        <v>2851</v>
      </c>
      <c r="F700" s="185" t="s">
        <v>88</v>
      </c>
      <c r="G700" s="186" t="s">
        <v>2749</v>
      </c>
      <c r="H700" s="191" t="s">
        <v>2852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>IF(B700="","",SUM(O700:Q700))</f>
        <v>42</v>
      </c>
      <c r="S700" s="183">
        <v>12</v>
      </c>
      <c r="T700" s="186" t="s">
        <v>2452</v>
      </c>
    </row>
    <row r="701" spans="1:20" ht="15" x14ac:dyDescent="0.25">
      <c r="A701" s="191" t="s">
        <v>2856</v>
      </c>
      <c r="B701" s="152">
        <v>2026</v>
      </c>
      <c r="C701" s="183" t="s">
        <v>22</v>
      </c>
      <c r="D701" s="183" t="s">
        <v>2857</v>
      </c>
      <c r="E701" s="184" t="s">
        <v>2858</v>
      </c>
      <c r="F701" s="185" t="s">
        <v>24</v>
      </c>
      <c r="G701" s="186" t="s">
        <v>75</v>
      </c>
      <c r="H701" s="191" t="s">
        <v>2859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>IF(B701="","",SUM(O701:Q701))</f>
        <v>15</v>
      </c>
      <c r="S701" s="183">
        <v>24</v>
      </c>
      <c r="T701" s="186" t="s">
        <v>2822</v>
      </c>
    </row>
    <row r="702" spans="1:20" ht="15" hidden="1" x14ac:dyDescent="0.25">
      <c r="A702" s="191" t="s">
        <v>2905</v>
      </c>
      <c r="B702" s="152">
        <v>2026</v>
      </c>
      <c r="C702" s="183" t="s">
        <v>2774</v>
      </c>
      <c r="D702" s="183" t="s">
        <v>2906</v>
      </c>
      <c r="E702" s="184" t="s">
        <v>2907</v>
      </c>
      <c r="F702" s="185" t="s">
        <v>69</v>
      </c>
      <c r="G702" s="186" t="s">
        <v>79</v>
      </c>
      <c r="H702" s="191" t="s">
        <v>2903</v>
      </c>
      <c r="I702" s="192">
        <v>46247</v>
      </c>
      <c r="J702" s="192">
        <v>46247</v>
      </c>
      <c r="K702" s="183" t="s">
        <v>38</v>
      </c>
      <c r="L702" s="187">
        <v>3520</v>
      </c>
      <c r="M702" s="188"/>
      <c r="N702" s="189">
        <v>30</v>
      </c>
      <c r="O702" s="190"/>
      <c r="P702" s="190"/>
      <c r="Q702" s="190"/>
      <c r="R702" s="190">
        <f>IF(B702="","",SUM(O702:Q702))</f>
        <v>0</v>
      </c>
      <c r="S702" s="183">
        <v>4</v>
      </c>
      <c r="T702" s="186" t="s">
        <v>2908</v>
      </c>
    </row>
    <row r="703" spans="1:20" ht="15" hidden="1" x14ac:dyDescent="0.25">
      <c r="A703" s="191" t="s">
        <v>2896</v>
      </c>
      <c r="B703" s="152">
        <v>2026</v>
      </c>
      <c r="C703" s="183" t="s">
        <v>2774</v>
      </c>
      <c r="D703" s="183" t="s">
        <v>2897</v>
      </c>
      <c r="E703" s="184" t="s">
        <v>2898</v>
      </c>
      <c r="F703" s="185" t="s">
        <v>69</v>
      </c>
      <c r="G703" s="186" t="s">
        <v>79</v>
      </c>
      <c r="H703" s="191" t="s">
        <v>2895</v>
      </c>
      <c r="I703" s="192">
        <v>46246</v>
      </c>
      <c r="J703" s="192">
        <v>46246</v>
      </c>
      <c r="K703" s="183" t="s">
        <v>38</v>
      </c>
      <c r="L703" s="187">
        <v>3520</v>
      </c>
      <c r="M703" s="188"/>
      <c r="N703" s="189">
        <v>30</v>
      </c>
      <c r="O703" s="190"/>
      <c r="P703" s="190"/>
      <c r="Q703" s="190"/>
      <c r="R703" s="190">
        <f>IF(B703="","",SUM(O703:Q703))</f>
        <v>0</v>
      </c>
      <c r="S703" s="183">
        <v>4</v>
      </c>
      <c r="T703" s="186" t="s">
        <v>2899</v>
      </c>
    </row>
    <row r="704" spans="1:20" ht="15" hidden="1" x14ac:dyDescent="0.25">
      <c r="A704" s="191" t="s">
        <v>2875</v>
      </c>
      <c r="B704" s="152">
        <v>2026</v>
      </c>
      <c r="C704" s="183" t="s">
        <v>2774</v>
      </c>
      <c r="D704" s="183" t="s">
        <v>2876</v>
      </c>
      <c r="E704" s="184" t="s">
        <v>2877</v>
      </c>
      <c r="F704" s="185" t="s">
        <v>69</v>
      </c>
      <c r="G704" s="186" t="s">
        <v>79</v>
      </c>
      <c r="H704" s="191" t="s">
        <v>2878</v>
      </c>
      <c r="I704" s="192">
        <v>46244</v>
      </c>
      <c r="J704" s="192">
        <v>46245</v>
      </c>
      <c r="K704" s="183" t="s">
        <v>38</v>
      </c>
      <c r="L704" s="187"/>
      <c r="M704" s="188"/>
      <c r="N704" s="189">
        <v>40</v>
      </c>
      <c r="O704" s="190"/>
      <c r="P704" s="190"/>
      <c r="Q704" s="190"/>
      <c r="R704" s="190">
        <f>IF(B704="","",SUM(O704:Q704))</f>
        <v>0</v>
      </c>
      <c r="S704" s="183">
        <v>8</v>
      </c>
      <c r="T704" s="205" t="s">
        <v>2879</v>
      </c>
    </row>
    <row r="705" spans="1:21" ht="15" hidden="1" x14ac:dyDescent="0.25">
      <c r="A705" s="191" t="s">
        <v>2960</v>
      </c>
      <c r="B705" s="152">
        <v>2026</v>
      </c>
      <c r="C705" s="183" t="s">
        <v>2774</v>
      </c>
      <c r="D705" s="183" t="s">
        <v>2961</v>
      </c>
      <c r="E705" s="184" t="s">
        <v>2962</v>
      </c>
      <c r="F705" s="185" t="s">
        <v>69</v>
      </c>
      <c r="G705" s="186" t="s">
        <v>79</v>
      </c>
      <c r="H705" s="191" t="s">
        <v>2912</v>
      </c>
      <c r="I705" s="192" t="s">
        <v>2912</v>
      </c>
      <c r="J705" s="192" t="s">
        <v>2912</v>
      </c>
      <c r="K705" s="183" t="s">
        <v>38</v>
      </c>
      <c r="L705" s="187">
        <v>3520</v>
      </c>
      <c r="M705" s="188"/>
      <c r="N705" s="189">
        <v>30</v>
      </c>
      <c r="O705" s="190"/>
      <c r="P705" s="190"/>
      <c r="Q705" s="190"/>
      <c r="R705" s="190">
        <f>IF(B705="","",SUM(O705:Q705))</f>
        <v>0</v>
      </c>
      <c r="S705" s="183">
        <v>4</v>
      </c>
      <c r="T705" s="186" t="s">
        <v>2963</v>
      </c>
    </row>
    <row r="706" spans="1:21" ht="15" hidden="1" x14ac:dyDescent="0.25">
      <c r="A706" s="191" t="s">
        <v>2880</v>
      </c>
      <c r="B706" s="152">
        <v>2026</v>
      </c>
      <c r="C706" s="183" t="s">
        <v>2774</v>
      </c>
      <c r="D706" s="183" t="s">
        <v>2881</v>
      </c>
      <c r="E706" s="184" t="s">
        <v>2882</v>
      </c>
      <c r="F706" s="185" t="s">
        <v>69</v>
      </c>
      <c r="G706" s="186" t="s">
        <v>79</v>
      </c>
      <c r="H706" s="191" t="s">
        <v>2883</v>
      </c>
      <c r="I706" s="192">
        <v>46244</v>
      </c>
      <c r="J706" s="192">
        <v>46244</v>
      </c>
      <c r="K706" s="183" t="s">
        <v>38</v>
      </c>
      <c r="L706" s="187">
        <v>1990</v>
      </c>
      <c r="M706" s="188"/>
      <c r="N706" s="189">
        <v>20</v>
      </c>
      <c r="O706" s="190"/>
      <c r="P706" s="190"/>
      <c r="Q706" s="190"/>
      <c r="R706" s="190">
        <f>IF(B706="","",SUM(O706:Q706))</f>
        <v>0</v>
      </c>
      <c r="S706" s="183">
        <v>4</v>
      </c>
      <c r="T706" s="186" t="s">
        <v>2452</v>
      </c>
    </row>
    <row r="707" spans="1:21" ht="15" hidden="1" x14ac:dyDescent="0.25">
      <c r="A707" s="191" t="s">
        <v>2888</v>
      </c>
      <c r="B707" s="152">
        <v>2026</v>
      </c>
      <c r="C707" s="183" t="s">
        <v>2774</v>
      </c>
      <c r="D707" s="183" t="s">
        <v>2889</v>
      </c>
      <c r="E707" s="184" t="s">
        <v>2890</v>
      </c>
      <c r="F707" s="185" t="s">
        <v>69</v>
      </c>
      <c r="G707" s="186" t="s">
        <v>79</v>
      </c>
      <c r="H707" s="191" t="s">
        <v>2891</v>
      </c>
      <c r="I707" s="192">
        <v>46245</v>
      </c>
      <c r="J707" s="192">
        <v>46245</v>
      </c>
      <c r="K707" s="183" t="s">
        <v>38</v>
      </c>
      <c r="L707" s="187">
        <v>3520</v>
      </c>
      <c r="M707" s="188"/>
      <c r="N707" s="189">
        <v>30</v>
      </c>
      <c r="O707" s="190"/>
      <c r="P707" s="190"/>
      <c r="Q707" s="190"/>
      <c r="R707" s="190">
        <f>IF(B707="","",SUM(O707:Q707))</f>
        <v>0</v>
      </c>
      <c r="S707" s="183">
        <v>4</v>
      </c>
      <c r="T707" s="186" t="s">
        <v>2462</v>
      </c>
    </row>
    <row r="708" spans="1:21" ht="15" hidden="1" x14ac:dyDescent="0.25">
      <c r="A708" s="191" t="s">
        <v>2884</v>
      </c>
      <c r="B708" s="152">
        <v>2026</v>
      </c>
      <c r="C708" s="183" t="s">
        <v>2774</v>
      </c>
      <c r="D708" s="183" t="s">
        <v>2885</v>
      </c>
      <c r="E708" s="184" t="s">
        <v>2886</v>
      </c>
      <c r="F708" s="185" t="s">
        <v>69</v>
      </c>
      <c r="G708" s="186" t="s">
        <v>79</v>
      </c>
      <c r="H708" s="191" t="s">
        <v>2883</v>
      </c>
      <c r="I708" s="192">
        <v>46244</v>
      </c>
      <c r="J708" s="192">
        <v>46244</v>
      </c>
      <c r="K708" s="183" t="s">
        <v>38</v>
      </c>
      <c r="L708" s="187">
        <v>3520</v>
      </c>
      <c r="M708" s="188"/>
      <c r="N708" s="189">
        <v>30</v>
      </c>
      <c r="O708" s="190"/>
      <c r="P708" s="190"/>
      <c r="Q708" s="190"/>
      <c r="R708" s="190">
        <f>IF(B708="","",SUM(O708:Q708))</f>
        <v>0</v>
      </c>
      <c r="S708" s="183">
        <v>4</v>
      </c>
      <c r="T708" s="186" t="s">
        <v>2887</v>
      </c>
    </row>
    <row r="709" spans="1:21" ht="15" hidden="1" x14ac:dyDescent="0.25">
      <c r="A709" s="191" t="s">
        <v>2945</v>
      </c>
      <c r="B709" s="152">
        <v>2026</v>
      </c>
      <c r="C709" s="183" t="s">
        <v>2774</v>
      </c>
      <c r="D709" s="183" t="s">
        <v>2946</v>
      </c>
      <c r="E709" s="184" t="s">
        <v>2947</v>
      </c>
      <c r="F709" s="185" t="s">
        <v>24</v>
      </c>
      <c r="G709" s="186" t="s">
        <v>75</v>
      </c>
      <c r="H709" s="191" t="s">
        <v>2948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>IF(B709="","",SUM(O709:Q709))</f>
        <v>0</v>
      </c>
      <c r="S709" s="183">
        <v>10</v>
      </c>
      <c r="T709" s="186" t="s">
        <v>2949</v>
      </c>
      <c r="U709" s="106"/>
    </row>
    <row r="710" spans="1:21" ht="15" x14ac:dyDescent="0.25">
      <c r="A710" s="191" t="s">
        <v>2864</v>
      </c>
      <c r="B710" s="152">
        <v>2026</v>
      </c>
      <c r="C710" s="183" t="s">
        <v>22</v>
      </c>
      <c r="D710" s="183" t="s">
        <v>2865</v>
      </c>
      <c r="E710" s="184" t="s">
        <v>2866</v>
      </c>
      <c r="F710" s="185" t="s">
        <v>69</v>
      </c>
      <c r="G710" s="186" t="s">
        <v>79</v>
      </c>
      <c r="H710" s="191" t="s">
        <v>2867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>IF(B710="","",SUM(O710:Q710))</f>
        <v>220</v>
      </c>
      <c r="S710" s="183">
        <v>4</v>
      </c>
      <c r="T710" s="186" t="s">
        <v>479</v>
      </c>
    </row>
    <row r="711" spans="1:21" ht="15" hidden="1" x14ac:dyDescent="0.25">
      <c r="A711" s="191" t="s">
        <v>2956</v>
      </c>
      <c r="B711" s="152">
        <v>2026</v>
      </c>
      <c r="C711" s="183" t="s">
        <v>2774</v>
      </c>
      <c r="D711" s="183" t="s">
        <v>2957</v>
      </c>
      <c r="E711" s="184" t="s">
        <v>2958</v>
      </c>
      <c r="F711" s="185" t="s">
        <v>24</v>
      </c>
      <c r="G711" s="186" t="s">
        <v>206</v>
      </c>
      <c r="H711" s="191" t="s">
        <v>2883</v>
      </c>
      <c r="I711" s="191" t="s">
        <v>2883</v>
      </c>
      <c r="J711" s="191" t="s">
        <v>2883</v>
      </c>
      <c r="K711" s="183" t="s">
        <v>27</v>
      </c>
      <c r="L711" s="187">
        <v>2000</v>
      </c>
      <c r="M711" s="188"/>
      <c r="N711" s="189">
        <v>170</v>
      </c>
      <c r="O711" s="190"/>
      <c r="P711" s="190"/>
      <c r="Q711" s="190"/>
      <c r="R711" s="190">
        <f>IF(B711="","",SUM(O711:Q711))</f>
        <v>0</v>
      </c>
      <c r="S711" s="183">
        <v>1</v>
      </c>
      <c r="T711" s="186" t="s">
        <v>2959</v>
      </c>
    </row>
    <row r="712" spans="1:21" ht="15" x14ac:dyDescent="0.25">
      <c r="A712" s="137" t="s">
        <v>2716</v>
      </c>
      <c r="B712" s="152">
        <v>2026</v>
      </c>
      <c r="C712" s="127" t="s">
        <v>22</v>
      </c>
      <c r="D712" s="131" t="s">
        <v>2717</v>
      </c>
      <c r="E712" s="128" t="s">
        <v>2718</v>
      </c>
      <c r="F712" s="129" t="s">
        <v>69</v>
      </c>
      <c r="G712" s="130" t="s">
        <v>79</v>
      </c>
      <c r="H712" s="131" t="s">
        <v>2719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x14ac:dyDescent="0.25">
      <c r="A713" s="137" t="s">
        <v>2731</v>
      </c>
      <c r="B713" s="152">
        <v>2026</v>
      </c>
      <c r="C713" s="127" t="s">
        <v>22</v>
      </c>
      <c r="D713" s="131" t="s">
        <v>2717</v>
      </c>
      <c r="E713" s="128" t="s">
        <v>2732</v>
      </c>
      <c r="F713" s="129" t="s">
        <v>69</v>
      </c>
      <c r="G713" s="130" t="s">
        <v>79</v>
      </c>
      <c r="H713" s="131" t="s">
        <v>2733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30" hidden="1" x14ac:dyDescent="0.25">
      <c r="A714" s="191" t="s">
        <v>2914</v>
      </c>
      <c r="B714" s="152">
        <v>2026</v>
      </c>
      <c r="C714" s="183" t="s">
        <v>2774</v>
      </c>
      <c r="D714" s="183" t="s">
        <v>2765</v>
      </c>
      <c r="E714" s="184" t="s">
        <v>2915</v>
      </c>
      <c r="F714" s="185" t="s">
        <v>88</v>
      </c>
      <c r="G714" s="186" t="s">
        <v>2749</v>
      </c>
      <c r="H714" s="191" t="s">
        <v>2916</v>
      </c>
      <c r="I714" s="192">
        <v>46254</v>
      </c>
      <c r="J714" s="192">
        <v>46254</v>
      </c>
      <c r="K714" s="183" t="s">
        <v>38</v>
      </c>
      <c r="L714" s="187"/>
      <c r="M714" s="188"/>
      <c r="N714" s="189">
        <v>80</v>
      </c>
      <c r="O714" s="190"/>
      <c r="P714" s="190"/>
      <c r="Q714" s="190"/>
      <c r="R714" s="190">
        <f>IF(B714="","",SUM(O714:Q714))</f>
        <v>0</v>
      </c>
      <c r="S714" s="183">
        <v>4</v>
      </c>
      <c r="T714" s="205"/>
    </row>
    <row r="715" spans="1:21" ht="15" hidden="1" x14ac:dyDescent="0.25">
      <c r="A715" s="191" t="s">
        <v>2917</v>
      </c>
      <c r="B715" s="152">
        <v>2026</v>
      </c>
      <c r="C715" s="183" t="s">
        <v>2774</v>
      </c>
      <c r="D715" s="183" t="s">
        <v>2765</v>
      </c>
      <c r="E715" s="184" t="s">
        <v>2915</v>
      </c>
      <c r="F715" s="185" t="s">
        <v>88</v>
      </c>
      <c r="G715" s="186" t="s">
        <v>2749</v>
      </c>
      <c r="H715" s="191" t="s">
        <v>2918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>IF(B715="","",SUM(O715:Q715))</f>
        <v>0</v>
      </c>
      <c r="S715" s="183">
        <v>4</v>
      </c>
      <c r="T715" s="205"/>
    </row>
    <row r="716" spans="1:21" ht="15" hidden="1" x14ac:dyDescent="0.25">
      <c r="A716" s="191" t="s">
        <v>2929</v>
      </c>
      <c r="B716" s="152">
        <v>2026</v>
      </c>
      <c r="C716" s="183" t="s">
        <v>2774</v>
      </c>
      <c r="D716" s="183" t="s">
        <v>2765</v>
      </c>
      <c r="E716" s="184" t="s">
        <v>2915</v>
      </c>
      <c r="F716" s="185" t="s">
        <v>88</v>
      </c>
      <c r="G716" s="186" t="s">
        <v>2749</v>
      </c>
      <c r="H716" s="191" t="s">
        <v>2930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>IF(B716="","",SUM(O716:Q716))</f>
        <v>0</v>
      </c>
      <c r="S716" s="183">
        <v>4</v>
      </c>
      <c r="T716" s="205"/>
    </row>
    <row r="717" spans="1:21" ht="15" hidden="1" x14ac:dyDescent="0.25">
      <c r="A717" s="191" t="s">
        <v>2931</v>
      </c>
      <c r="B717" s="152">
        <v>2026</v>
      </c>
      <c r="C717" s="183" t="s">
        <v>2774</v>
      </c>
      <c r="D717" s="183" t="s">
        <v>2765</v>
      </c>
      <c r="E717" s="184" t="s">
        <v>2915</v>
      </c>
      <c r="F717" s="185" t="s">
        <v>88</v>
      </c>
      <c r="G717" s="186" t="s">
        <v>2749</v>
      </c>
      <c r="H717" s="191" t="s">
        <v>2932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>IF(B717="","",SUM(O717:Q717))</f>
        <v>0</v>
      </c>
      <c r="S717" s="183">
        <v>4</v>
      </c>
      <c r="T717" s="205"/>
    </row>
    <row r="718" spans="1:21" ht="15" hidden="1" x14ac:dyDescent="0.25">
      <c r="A718" s="191" t="s">
        <v>2933</v>
      </c>
      <c r="B718" s="152">
        <v>2026</v>
      </c>
      <c r="C718" s="183" t="s">
        <v>2774</v>
      </c>
      <c r="D718" s="183" t="s">
        <v>2765</v>
      </c>
      <c r="E718" s="184" t="s">
        <v>2915</v>
      </c>
      <c r="F718" s="185" t="s">
        <v>88</v>
      </c>
      <c r="G718" s="186" t="s">
        <v>2749</v>
      </c>
      <c r="H718" s="191" t="s">
        <v>2934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>IF(B718="","",SUM(O718:Q718))</f>
        <v>0</v>
      </c>
      <c r="S718" s="183">
        <v>4</v>
      </c>
      <c r="T718" s="205"/>
    </row>
    <row r="719" spans="1:21" ht="15" hidden="1" x14ac:dyDescent="0.25">
      <c r="A719" s="191" t="s">
        <v>2935</v>
      </c>
      <c r="B719" s="152">
        <v>2026</v>
      </c>
      <c r="C719" s="183" t="s">
        <v>2774</v>
      </c>
      <c r="D719" s="183" t="s">
        <v>2765</v>
      </c>
      <c r="E719" s="184" t="s">
        <v>2915</v>
      </c>
      <c r="F719" s="185" t="s">
        <v>88</v>
      </c>
      <c r="G719" s="186" t="s">
        <v>2749</v>
      </c>
      <c r="H719" s="191" t="s">
        <v>2936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>IF(B719="","",SUM(O719:Q719))</f>
        <v>0</v>
      </c>
      <c r="S719" s="183">
        <v>4</v>
      </c>
      <c r="T719" s="205"/>
    </row>
    <row r="720" spans="1:21" ht="15" x14ac:dyDescent="0.25">
      <c r="A720" s="137" t="s">
        <v>2689</v>
      </c>
      <c r="B720" s="152">
        <v>2026</v>
      </c>
      <c r="C720" s="127" t="s">
        <v>22</v>
      </c>
      <c r="D720" s="127" t="s">
        <v>2690</v>
      </c>
      <c r="E720" s="128" t="s">
        <v>2691</v>
      </c>
      <c r="F720" s="129" t="s">
        <v>24</v>
      </c>
      <c r="G720" s="130" t="s">
        <v>206</v>
      </c>
      <c r="H720" s="131" t="s">
        <v>2692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2693</v>
      </c>
    </row>
    <row r="721" spans="1:20" ht="15" x14ac:dyDescent="0.25">
      <c r="A721" s="137" t="s">
        <v>2764</v>
      </c>
      <c r="B721" s="152">
        <v>2026</v>
      </c>
      <c r="C721" s="152" t="s">
        <v>22</v>
      </c>
      <c r="D721" s="152" t="s">
        <v>2765</v>
      </c>
      <c r="E721" s="153" t="s">
        <v>2766</v>
      </c>
      <c r="F721" s="161" t="s">
        <v>88</v>
      </c>
      <c r="G721" s="168" t="s">
        <v>2749</v>
      </c>
      <c r="H721" s="155" t="s">
        <v>2767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2768</v>
      </c>
    </row>
    <row r="722" spans="1:20" ht="15" x14ac:dyDescent="0.25">
      <c r="A722" s="137" t="s">
        <v>2787</v>
      </c>
      <c r="B722" s="127">
        <v>2026</v>
      </c>
      <c r="C722" s="127" t="s">
        <v>22</v>
      </c>
      <c r="D722" s="127" t="s">
        <v>2765</v>
      </c>
      <c r="E722" s="128" t="s">
        <v>2788</v>
      </c>
      <c r="F722" s="129" t="s">
        <v>88</v>
      </c>
      <c r="G722" s="164" t="s">
        <v>2749</v>
      </c>
      <c r="H722" s="131" t="s">
        <v>2789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2768</v>
      </c>
    </row>
    <row r="723" spans="1:20" ht="15" x14ac:dyDescent="0.25">
      <c r="A723" s="137" t="s">
        <v>2783</v>
      </c>
      <c r="B723" s="152">
        <v>2026</v>
      </c>
      <c r="C723" s="183" t="s">
        <v>22</v>
      </c>
      <c r="D723" s="183" t="s">
        <v>2784</v>
      </c>
      <c r="E723" s="184" t="s">
        <v>2785</v>
      </c>
      <c r="F723" s="185" t="s">
        <v>88</v>
      </c>
      <c r="G723" s="186" t="s">
        <v>2749</v>
      </c>
      <c r="H723" s="191" t="s">
        <v>2786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x14ac:dyDescent="0.25">
      <c r="A724" s="191" t="s">
        <v>2809</v>
      </c>
      <c r="B724" s="231">
        <v>2026</v>
      </c>
      <c r="C724" s="183" t="s">
        <v>22</v>
      </c>
      <c r="D724" s="183" t="s">
        <v>2810</v>
      </c>
      <c r="E724" s="184" t="s">
        <v>2811</v>
      </c>
      <c r="F724" s="185" t="s">
        <v>88</v>
      </c>
      <c r="G724" s="186" t="s">
        <v>2749</v>
      </c>
      <c r="H724" s="191" t="s">
        <v>2812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hidden="1" x14ac:dyDescent="0.25">
      <c r="A725" s="191" t="s">
        <v>2964</v>
      </c>
      <c r="B725" s="183">
        <v>2026</v>
      </c>
      <c r="C725" s="183"/>
      <c r="D725" s="183"/>
      <c r="E725" s="180" t="s">
        <v>3165</v>
      </c>
      <c r="F725" s="185"/>
      <c r="G725" s="186"/>
      <c r="H725" s="191"/>
      <c r="I725" s="192"/>
      <c r="J725" s="192"/>
      <c r="K725" s="183"/>
      <c r="L725" s="187"/>
      <c r="M725" s="188"/>
      <c r="N725" s="189"/>
      <c r="O725" s="190"/>
      <c r="P725" s="190"/>
      <c r="Q725" s="190"/>
      <c r="R725" s="190"/>
      <c r="S725" s="183"/>
      <c r="T725" s="186"/>
    </row>
    <row r="726" spans="1:20" ht="15" hidden="1" x14ac:dyDescent="0.25">
      <c r="A726" s="191" t="s">
        <v>2965</v>
      </c>
      <c r="B726" s="183">
        <v>2026</v>
      </c>
      <c r="C726" s="183"/>
      <c r="D726" s="212"/>
      <c r="E726" s="180" t="s">
        <v>3166</v>
      </c>
      <c r="F726" s="185"/>
      <c r="G726" s="186"/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hidden="1" x14ac:dyDescent="0.25">
      <c r="A727" s="191" t="s">
        <v>2966</v>
      </c>
      <c r="B727" s="183">
        <v>2026</v>
      </c>
      <c r="C727" s="183"/>
      <c r="D727" s="183"/>
      <c r="E727" s="180" t="s">
        <v>3167</v>
      </c>
      <c r="F727" s="185"/>
      <c r="G727" s="186"/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hidden="1" x14ac:dyDescent="0.25">
      <c r="A728" s="191" t="s">
        <v>2967</v>
      </c>
      <c r="B728" s="183">
        <v>2026</v>
      </c>
      <c r="C728" s="183"/>
      <c r="D728" s="183"/>
      <c r="E728" s="180" t="s">
        <v>3164</v>
      </c>
      <c r="F728" s="185"/>
      <c r="G728" s="186"/>
      <c r="H728" s="191"/>
      <c r="I728" s="192"/>
      <c r="J728" s="192"/>
      <c r="K728" s="183"/>
      <c r="L728" s="187"/>
      <c r="M728" s="188"/>
      <c r="N728" s="189"/>
      <c r="O728" s="190"/>
      <c r="P728" s="190"/>
      <c r="Q728" s="190"/>
      <c r="R728" s="190">
        <f>IF(B728="","",SUM(O728:Q728))</f>
        <v>0</v>
      </c>
      <c r="S728" s="183"/>
      <c r="T728" s="186"/>
    </row>
    <row r="729" spans="1:20" ht="15" hidden="1" x14ac:dyDescent="0.25">
      <c r="A729" s="191" t="s">
        <v>2968</v>
      </c>
      <c r="B729" s="183">
        <v>2026</v>
      </c>
      <c r="C729" s="183"/>
      <c r="D729" s="183"/>
      <c r="E729" s="180" t="s">
        <v>3168</v>
      </c>
      <c r="F729" s="185"/>
      <c r="G729" s="186"/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hidden="1" x14ac:dyDescent="0.25">
      <c r="A730" s="175" t="s">
        <v>3174</v>
      </c>
      <c r="B730" s="183">
        <v>2026</v>
      </c>
      <c r="C730" s="183"/>
      <c r="D730" s="183"/>
      <c r="E730" s="252" t="s">
        <v>3169</v>
      </c>
      <c r="F730" s="185"/>
      <c r="G730" s="186"/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21:R749" si="12">IF(B730="","",SUM(O730:Q730))</f>
        <v>0</v>
      </c>
      <c r="S730" s="183"/>
      <c r="T730" s="186"/>
    </row>
    <row r="731" spans="1:20" ht="15" hidden="1" x14ac:dyDescent="0.25">
      <c r="A731" s="191" t="s">
        <v>3175</v>
      </c>
      <c r="B731" s="183">
        <v>2026</v>
      </c>
      <c r="C731" s="183"/>
      <c r="D731" s="183"/>
      <c r="E731" s="252" t="s">
        <v>3171</v>
      </c>
      <c r="F731" s="185"/>
      <c r="G731" s="186"/>
      <c r="H731" s="191"/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2"/>
        <v>0</v>
      </c>
      <c r="S731" s="183"/>
      <c r="T731" s="186"/>
    </row>
    <row r="732" spans="1:20" ht="15" hidden="1" x14ac:dyDescent="0.25">
      <c r="A732" s="191" t="s">
        <v>3176</v>
      </c>
      <c r="B732" s="183">
        <v>2026</v>
      </c>
      <c r="C732" s="183"/>
      <c r="D732" s="183"/>
      <c r="E732" s="237" t="s">
        <v>3170</v>
      </c>
      <c r="F732" s="185"/>
      <c r="G732" s="186"/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2"/>
        <v>0</v>
      </c>
      <c r="S732" s="183"/>
      <c r="T732" s="186"/>
    </row>
    <row r="733" spans="1:20" ht="15" hidden="1" x14ac:dyDescent="0.25">
      <c r="A733" s="191" t="s">
        <v>3177</v>
      </c>
      <c r="B733" s="183">
        <v>2026</v>
      </c>
      <c r="C733" s="183"/>
      <c r="D733" s="183"/>
      <c r="E733" s="252" t="s">
        <v>3172</v>
      </c>
      <c r="F733" s="185"/>
      <c r="G733" s="186"/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2"/>
        <v>0</v>
      </c>
      <c r="S733" s="183"/>
      <c r="T733" s="186"/>
    </row>
    <row r="734" spans="1:20" ht="15" hidden="1" x14ac:dyDescent="0.25">
      <c r="A734" s="191" t="s">
        <v>3178</v>
      </c>
      <c r="B734" s="183">
        <v>2026</v>
      </c>
      <c r="C734" s="183"/>
      <c r="D734" s="183"/>
      <c r="E734" s="237" t="s">
        <v>3173</v>
      </c>
      <c r="F734" s="185"/>
      <c r="G734" s="186"/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2"/>
        <v>0</v>
      </c>
      <c r="S734" s="183"/>
      <c r="T734" s="186"/>
    </row>
    <row r="735" spans="1:20" ht="15" hidden="1" x14ac:dyDescent="0.25">
      <c r="A735" s="191" t="s">
        <v>3179</v>
      </c>
      <c r="B735" s="183">
        <v>2026</v>
      </c>
      <c r="C735" s="183"/>
      <c r="D735" s="183"/>
      <c r="E735" s="180" t="s">
        <v>3180</v>
      </c>
      <c r="F735" s="185"/>
      <c r="G735" s="186"/>
      <c r="H735" s="191"/>
      <c r="I735" s="192"/>
      <c r="J735" s="192"/>
      <c r="K735" s="183"/>
      <c r="L735" s="187"/>
      <c r="M735" s="188"/>
      <c r="N735" s="189"/>
      <c r="O735" s="190"/>
      <c r="P735" s="190"/>
      <c r="Q735" s="190"/>
      <c r="R735" s="190">
        <f t="shared" si="12"/>
        <v>0</v>
      </c>
      <c r="S735" s="183"/>
      <c r="T735" s="186"/>
    </row>
    <row r="736" spans="1:20" ht="15" hidden="1" x14ac:dyDescent="0.25">
      <c r="A736" s="191"/>
      <c r="B736" s="183"/>
      <c r="C736" s="183"/>
      <c r="D736" s="183"/>
      <c r="E736" s="180" t="s">
        <v>3181</v>
      </c>
      <c r="F736" s="185"/>
      <c r="G736" s="186"/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 t="str">
        <f t="shared" si="12"/>
        <v/>
      </c>
      <c r="S736" s="183"/>
      <c r="T736" s="186"/>
    </row>
    <row r="737" spans="1:20" ht="15" hidden="1" x14ac:dyDescent="0.25">
      <c r="A737" s="191"/>
      <c r="B737" s="183"/>
      <c r="C737" s="183"/>
      <c r="D737" s="183"/>
      <c r="E737" s="184"/>
      <c r="F737" s="185"/>
      <c r="G737" s="186"/>
      <c r="H737" s="191"/>
      <c r="I737" s="192"/>
      <c r="J737" s="192"/>
      <c r="K737" s="183"/>
      <c r="L737" s="187"/>
      <c r="M737" s="188"/>
      <c r="N737" s="189"/>
      <c r="O737" s="190"/>
      <c r="P737" s="190"/>
      <c r="Q737" s="190"/>
      <c r="R737" s="190" t="str">
        <f t="shared" si="12"/>
        <v/>
      </c>
      <c r="S737" s="183"/>
      <c r="T737" s="186"/>
    </row>
    <row r="738" spans="1:20" ht="15" hidden="1" x14ac:dyDescent="0.25">
      <c r="A738" s="191"/>
      <c r="B738" s="183"/>
      <c r="C738" s="183"/>
      <c r="D738" s="183"/>
      <c r="E738" s="184"/>
      <c r="F738" s="185"/>
      <c r="G738" s="186"/>
      <c r="H738" s="191"/>
      <c r="I738" s="192"/>
      <c r="J738" s="192"/>
      <c r="K738" s="183"/>
      <c r="L738" s="187"/>
      <c r="M738" s="188"/>
      <c r="N738" s="189"/>
      <c r="O738" s="190"/>
      <c r="P738" s="190"/>
      <c r="Q738" s="190"/>
      <c r="R738" s="190" t="str">
        <f t="shared" si="12"/>
        <v/>
      </c>
      <c r="S738" s="183"/>
      <c r="T738" s="186"/>
    </row>
    <row r="739" spans="1:20" ht="15" hidden="1" x14ac:dyDescent="0.25">
      <c r="A739" s="191"/>
      <c r="B739" s="183"/>
      <c r="C739" s="183"/>
      <c r="D739" s="183"/>
      <c r="E739" s="184"/>
      <c r="F739" s="185"/>
      <c r="G739" s="186"/>
      <c r="H739" s="191"/>
      <c r="I739" s="192"/>
      <c r="J739" s="192"/>
      <c r="K739" s="183"/>
      <c r="L739" s="187"/>
      <c r="M739" s="188"/>
      <c r="N739" s="189"/>
      <c r="O739" s="190"/>
      <c r="P739" s="190"/>
      <c r="Q739" s="190"/>
      <c r="R739" s="190" t="str">
        <f t="shared" si="12"/>
        <v/>
      </c>
      <c r="S739" s="183"/>
      <c r="T739" s="186"/>
    </row>
    <row r="740" spans="1:20" ht="15" hidden="1" x14ac:dyDescent="0.25">
      <c r="A740" s="191"/>
      <c r="B740" s="183"/>
      <c r="C740" s="183"/>
      <c r="D740" s="183"/>
      <c r="E740" s="184"/>
      <c r="F740" s="185"/>
      <c r="G740" s="186"/>
      <c r="H740" s="191"/>
      <c r="I740" s="192"/>
      <c r="J740" s="192"/>
      <c r="K740" s="183"/>
      <c r="L740" s="187"/>
      <c r="M740" s="188"/>
      <c r="N740" s="189"/>
      <c r="O740" s="190"/>
      <c r="P740" s="190"/>
      <c r="Q740" s="190"/>
      <c r="R740" s="190" t="str">
        <f t="shared" si="12"/>
        <v/>
      </c>
      <c r="S740" s="183"/>
      <c r="T740" s="186"/>
    </row>
    <row r="741" spans="1:20" ht="15" hidden="1" x14ac:dyDescent="0.25">
      <c r="A741" s="191"/>
      <c r="B741" s="183"/>
      <c r="C741" s="183"/>
      <c r="D741" s="183"/>
      <c r="E741" s="184"/>
      <c r="F741" s="185"/>
      <c r="G741" s="186"/>
      <c r="H741" s="191"/>
      <c r="I741" s="192"/>
      <c r="J741" s="192"/>
      <c r="K741" s="183"/>
      <c r="L741" s="187"/>
      <c r="M741" s="188"/>
      <c r="N741" s="189"/>
      <c r="O741" s="190"/>
      <c r="P741" s="190"/>
      <c r="Q741" s="190"/>
      <c r="R741" s="190" t="str">
        <f t="shared" si="12"/>
        <v/>
      </c>
      <c r="S741" s="183"/>
      <c r="T741" s="186"/>
    </row>
    <row r="742" spans="1:20" ht="15" hidden="1" x14ac:dyDescent="0.25">
      <c r="A742" s="191"/>
      <c r="B742" s="183"/>
      <c r="C742" s="183"/>
      <c r="D742" s="183"/>
      <c r="E742" s="184"/>
      <c r="F742" s="185"/>
      <c r="G742" s="186"/>
      <c r="H742" s="191"/>
      <c r="I742" s="192"/>
      <c r="J742" s="192"/>
      <c r="K742" s="183"/>
      <c r="L742" s="187"/>
      <c r="M742" s="188"/>
      <c r="N742" s="189"/>
      <c r="O742" s="190"/>
      <c r="P742" s="190"/>
      <c r="Q742" s="190"/>
      <c r="R742" s="190" t="str">
        <f t="shared" si="12"/>
        <v/>
      </c>
      <c r="S742" s="183"/>
      <c r="T742" s="186"/>
    </row>
    <row r="743" spans="1:20" ht="15" hidden="1" x14ac:dyDescent="0.25">
      <c r="A743" s="191"/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2"/>
        <v/>
      </c>
      <c r="S743" s="183"/>
      <c r="T743" s="186"/>
    </row>
    <row r="744" spans="1:20" ht="15" hidden="1" x14ac:dyDescent="0.25">
      <c r="A744" s="191"/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2"/>
        <v/>
      </c>
      <c r="S744" s="183"/>
      <c r="T744" s="186"/>
    </row>
    <row r="745" spans="1:20" ht="15" hidden="1" x14ac:dyDescent="0.25">
      <c r="A745" s="191"/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2"/>
        <v/>
      </c>
      <c r="S745" s="183"/>
      <c r="T745" s="186"/>
    </row>
    <row r="746" spans="1:20" ht="15" hidden="1" x14ac:dyDescent="0.25">
      <c r="A746" s="191"/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2"/>
        <v/>
      </c>
      <c r="S746" s="183"/>
      <c r="T746" s="186"/>
    </row>
    <row r="747" spans="1:20" ht="15" hidden="1" x14ac:dyDescent="0.25">
      <c r="A747" s="191"/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2"/>
        <v/>
      </c>
      <c r="S747" s="183"/>
      <c r="T747" s="186"/>
    </row>
    <row r="748" spans="1:20" ht="15" hidden="1" x14ac:dyDescent="0.25">
      <c r="A748" s="191"/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2"/>
        <v/>
      </c>
      <c r="S748" s="183"/>
      <c r="T748" s="186"/>
    </row>
    <row r="749" spans="1:20" ht="15" hidden="1" x14ac:dyDescent="0.25">
      <c r="A749" s="191"/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2"/>
        <v/>
      </c>
      <c r="S749" s="183"/>
      <c r="T749" s="186"/>
    </row>
    <row r="750" spans="1:20" ht="15" hidden="1" x14ac:dyDescent="0.25">
      <c r="A750" s="191"/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hidden="1" x14ac:dyDescent="0.25">
      <c r="A751" s="191"/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hidden="1" x14ac:dyDescent="0.25">
      <c r="A752" s="191"/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hidden="1" x14ac:dyDescent="0.25">
      <c r="A753" s="191"/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hidden="1" x14ac:dyDescent="0.25">
      <c r="A754" s="191"/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hidden="1" x14ac:dyDescent="0.25">
      <c r="A755" s="191"/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hidden="1" x14ac:dyDescent="0.25">
      <c r="A756" s="191"/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hidden="1" x14ac:dyDescent="0.25">
      <c r="A757" s="191"/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hidden="1" x14ac:dyDescent="0.25">
      <c r="A758" s="191"/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hidden="1" x14ac:dyDescent="0.25">
      <c r="A759" s="191"/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hidden="1" x14ac:dyDescent="0.25">
      <c r="A760" s="191"/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hidden="1" x14ac:dyDescent="0.25">
      <c r="A761" s="191"/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hidden="1" x14ac:dyDescent="0.25">
      <c r="A762" s="191"/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hidden="1" x14ac:dyDescent="0.25">
      <c r="A763" s="191"/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hidden="1" x14ac:dyDescent="0.25">
      <c r="A764" s="191"/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hidden="1" x14ac:dyDescent="0.25">
      <c r="A765" s="191"/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hidden="1" x14ac:dyDescent="0.25">
      <c r="A766" s="191"/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hidden="1" x14ac:dyDescent="0.25">
      <c r="A767" s="191"/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hidden="1" x14ac:dyDescent="0.25">
      <c r="A768" s="191"/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hidden="1" x14ac:dyDescent="0.25">
      <c r="A769" s="191"/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hidden="1" x14ac:dyDescent="0.25">
      <c r="A770" s="191"/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hidden="1" x14ac:dyDescent="0.25">
      <c r="A771" s="191"/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hidden="1" x14ac:dyDescent="0.25">
      <c r="A772" s="191"/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hidden="1" x14ac:dyDescent="0.25">
      <c r="A773" s="191"/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hidden="1" x14ac:dyDescent="0.25">
      <c r="A774" s="191"/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hidden="1" x14ac:dyDescent="0.25">
      <c r="A775" s="191"/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hidden="1" x14ac:dyDescent="0.25">
      <c r="A776" s="191"/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hidden="1" x14ac:dyDescent="0.25">
      <c r="A777" s="191"/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hidden="1" x14ac:dyDescent="0.25">
      <c r="A778" s="191"/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hidden="1" x14ac:dyDescent="0.25">
      <c r="A779" s="191"/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hidden="1" x14ac:dyDescent="0.25">
      <c r="A780" s="191"/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hidden="1" x14ac:dyDescent="0.25">
      <c r="A781" s="191"/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hidden="1" x14ac:dyDescent="0.25">
      <c r="A782" s="191"/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hidden="1" x14ac:dyDescent="0.25">
      <c r="A783" s="191"/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hidden="1" x14ac:dyDescent="0.25">
      <c r="A784" s="191"/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hidden="1" x14ac:dyDescent="0.25">
      <c r="A785" s="191"/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hidden="1" x14ac:dyDescent="0.25">
      <c r="A786" s="191"/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hidden="1" x14ac:dyDescent="0.25">
      <c r="A787" s="191"/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hidden="1" x14ac:dyDescent="0.25">
      <c r="A788" s="191"/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hidden="1" x14ac:dyDescent="0.25">
      <c r="A789" s="191"/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hidden="1" x14ac:dyDescent="0.25">
      <c r="A790" s="191"/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hidden="1" x14ac:dyDescent="0.25">
      <c r="A791" s="191"/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hidden="1" x14ac:dyDescent="0.25">
      <c r="A792" s="191"/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hidden="1" x14ac:dyDescent="0.25">
      <c r="A793" s="191"/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hidden="1" x14ac:dyDescent="0.25">
      <c r="A794" s="191"/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hidden="1" x14ac:dyDescent="0.25">
      <c r="A795" s="191"/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hidden="1" x14ac:dyDescent="0.25">
      <c r="A796" s="191"/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hidden="1" x14ac:dyDescent="0.25">
      <c r="A797" s="191"/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hidden="1" x14ac:dyDescent="0.25">
      <c r="A798" s="191"/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hidden="1" x14ac:dyDescent="0.25">
      <c r="A799" s="191"/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hidden="1" x14ac:dyDescent="0.25">
      <c r="A800" s="191"/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hidden="1" x14ac:dyDescent="0.25">
      <c r="A801" s="191"/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hidden="1" x14ac:dyDescent="0.25">
      <c r="A802" s="191"/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hidden="1" x14ac:dyDescent="0.25">
      <c r="A803" s="191"/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hidden="1" x14ac:dyDescent="0.25">
      <c r="A804" s="191"/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hidden="1" x14ac:dyDescent="0.25">
      <c r="A805" s="191"/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hidden="1" x14ac:dyDescent="0.25">
      <c r="A806" s="191"/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hidden="1" x14ac:dyDescent="0.25">
      <c r="A807" s="191"/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hidden="1" x14ac:dyDescent="0.25">
      <c r="A808" s="191"/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hidden="1" x14ac:dyDescent="0.25">
      <c r="A809" s="191"/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hidden="1" x14ac:dyDescent="0.25">
      <c r="A810" s="191"/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hidden="1" x14ac:dyDescent="0.25">
      <c r="A811" s="191"/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hidden="1" x14ac:dyDescent="0.25">
      <c r="A812" s="191"/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hidden="1" x14ac:dyDescent="0.25">
      <c r="A813" s="191"/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hidden="1" x14ac:dyDescent="0.25">
      <c r="A814" s="191"/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hidden="1" x14ac:dyDescent="0.25">
      <c r="A815" s="191"/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hidden="1" x14ac:dyDescent="0.25">
      <c r="A816" s="191"/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hidden="1" x14ac:dyDescent="0.25">
      <c r="A817" s="191"/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hidden="1" x14ac:dyDescent="0.25">
      <c r="A818" s="191"/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hidden="1" x14ac:dyDescent="0.25">
      <c r="A819" s="191"/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hidden="1" x14ac:dyDescent="0.25">
      <c r="A820" s="191"/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hidden="1" x14ac:dyDescent="0.25">
      <c r="A821" s="191"/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hidden="1" x14ac:dyDescent="0.25">
      <c r="A822" s="191"/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hidden="1" x14ac:dyDescent="0.25">
      <c r="A823" s="191"/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hidden="1" x14ac:dyDescent="0.25">
      <c r="A824" s="191"/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hidden="1" x14ac:dyDescent="0.25">
      <c r="A825" s="191"/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hidden="1" x14ac:dyDescent="0.25">
      <c r="A826" s="191"/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hidden="1" x14ac:dyDescent="0.25">
      <c r="A827" s="191"/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hidden="1" x14ac:dyDescent="0.25">
      <c r="A828" s="191"/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hidden="1" x14ac:dyDescent="0.25">
      <c r="A829" s="191"/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hidden="1" x14ac:dyDescent="0.25">
      <c r="A830" s="191"/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hidden="1" x14ac:dyDescent="0.25">
      <c r="A831" s="191"/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hidden="1" x14ac:dyDescent="0.25">
      <c r="A832" s="191"/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hidden="1" x14ac:dyDescent="0.25">
      <c r="A833" s="191"/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hidden="1" x14ac:dyDescent="0.25">
      <c r="A834" s="191"/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hidden="1" x14ac:dyDescent="0.25">
      <c r="A835" s="191"/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hidden="1" x14ac:dyDescent="0.25">
      <c r="A836" s="191"/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hidden="1" x14ac:dyDescent="0.25">
      <c r="A837" s="191"/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hidden="1" x14ac:dyDescent="0.25">
      <c r="A838" s="191"/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hidden="1" x14ac:dyDescent="0.25">
      <c r="A839" s="191"/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hidden="1" x14ac:dyDescent="0.25">
      <c r="A840" s="191"/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hidden="1" x14ac:dyDescent="0.25">
      <c r="A841" s="191"/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hidden="1" x14ac:dyDescent="0.25">
      <c r="A842" s="191"/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hidden="1" x14ac:dyDescent="0.25">
      <c r="A843" s="191"/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hidden="1" x14ac:dyDescent="0.25">
      <c r="A844" s="191"/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hidden="1" x14ac:dyDescent="0.25">
      <c r="A845" s="191"/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hidden="1" x14ac:dyDescent="0.25">
      <c r="A846" s="191"/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hidden="1" x14ac:dyDescent="0.25">
      <c r="A847" s="191"/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hidden="1" x14ac:dyDescent="0.25">
      <c r="A848" s="191"/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hidden="1" x14ac:dyDescent="0.25">
      <c r="A849" s="191"/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hidden="1" x14ac:dyDescent="0.25">
      <c r="A850" s="191"/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hidden="1" x14ac:dyDescent="0.25">
      <c r="A851" s="191"/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hidden="1" x14ac:dyDescent="0.25">
      <c r="A852" s="191"/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hidden="1" x14ac:dyDescent="0.25">
      <c r="A853" s="191"/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hidden="1" x14ac:dyDescent="0.25">
      <c r="A854" s="191"/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hidden="1" x14ac:dyDescent="0.25">
      <c r="A855" s="191"/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hidden="1" x14ac:dyDescent="0.25">
      <c r="A856" s="191"/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hidden="1" x14ac:dyDescent="0.25">
      <c r="A857" s="191"/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hidden="1" x14ac:dyDescent="0.25">
      <c r="A858" s="191"/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hidden="1" x14ac:dyDescent="0.25">
      <c r="A859" s="191"/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hidden="1" x14ac:dyDescent="0.25">
      <c r="A860" s="191"/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hidden="1" x14ac:dyDescent="0.25">
      <c r="A861" s="191"/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hidden="1" x14ac:dyDescent="0.25">
      <c r="A862" s="191"/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hidden="1" x14ac:dyDescent="0.25">
      <c r="A863" s="191"/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hidden="1" x14ac:dyDescent="0.25">
      <c r="A864" s="191"/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hidden="1" x14ac:dyDescent="0.25">
      <c r="A865" s="191"/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hidden="1" x14ac:dyDescent="0.25">
      <c r="A866" s="191"/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hidden="1" x14ac:dyDescent="0.25">
      <c r="A867" s="191"/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hidden="1" x14ac:dyDescent="0.25">
      <c r="A868" s="191"/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hidden="1" x14ac:dyDescent="0.25">
      <c r="A869" s="191"/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hidden="1" x14ac:dyDescent="0.25">
      <c r="A870" s="191"/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hidden="1" x14ac:dyDescent="0.25">
      <c r="A871" s="191"/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hidden="1" x14ac:dyDescent="0.25">
      <c r="A872" s="191"/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hidden="1" x14ac:dyDescent="0.25">
      <c r="A873" s="191"/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hidden="1" x14ac:dyDescent="0.25">
      <c r="A874" s="191"/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hidden="1" x14ac:dyDescent="0.25">
      <c r="A875" s="191"/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hidden="1" x14ac:dyDescent="0.25">
      <c r="A876" s="191"/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hidden="1" x14ac:dyDescent="0.25">
      <c r="A877" s="191"/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hidden="1" x14ac:dyDescent="0.25">
      <c r="A878" s="191"/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hidden="1" x14ac:dyDescent="0.25">
      <c r="A879" s="191"/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hidden="1" x14ac:dyDescent="0.25">
      <c r="A880" s="191"/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hidden="1" x14ac:dyDescent="0.25">
      <c r="A881" s="191"/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hidden="1" x14ac:dyDescent="0.25">
      <c r="A882" s="191"/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hidden="1" x14ac:dyDescent="0.25">
      <c r="A883" s="191"/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hidden="1" x14ac:dyDescent="0.25">
      <c r="A884" s="191"/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hidden="1" x14ac:dyDescent="0.25">
      <c r="A885" s="191"/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hidden="1" x14ac:dyDescent="0.25">
      <c r="A886" s="191"/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hidden="1" x14ac:dyDescent="0.25">
      <c r="A887" s="191"/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hidden="1" x14ac:dyDescent="0.25">
      <c r="A888" s="191"/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hidden="1" x14ac:dyDescent="0.25">
      <c r="A889" s="191"/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hidden="1" x14ac:dyDescent="0.25">
      <c r="A890" s="191"/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hidden="1" x14ac:dyDescent="0.25">
      <c r="A891" s="191"/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hidden="1" x14ac:dyDescent="0.25">
      <c r="A892" s="191"/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hidden="1" x14ac:dyDescent="0.25">
      <c r="A893" s="191"/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hidden="1" x14ac:dyDescent="0.25">
      <c r="A894" s="191"/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hidden="1" x14ac:dyDescent="0.25">
      <c r="A895" s="191"/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hidden="1" x14ac:dyDescent="0.25">
      <c r="A896" s="191"/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hidden="1" x14ac:dyDescent="0.25">
      <c r="A897" s="191"/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hidden="1" x14ac:dyDescent="0.25">
      <c r="A898" s="191"/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hidden="1" x14ac:dyDescent="0.25">
      <c r="A899" s="191"/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hidden="1" x14ac:dyDescent="0.25">
      <c r="A900" s="191"/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hidden="1" x14ac:dyDescent="0.25">
      <c r="A901" s="191"/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hidden="1" x14ac:dyDescent="0.25">
      <c r="A902" s="191"/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hidden="1" x14ac:dyDescent="0.25">
      <c r="A903" s="191"/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hidden="1" x14ac:dyDescent="0.25">
      <c r="A904" s="191"/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hidden="1" x14ac:dyDescent="0.25">
      <c r="A905" s="191"/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hidden="1" x14ac:dyDescent="0.25">
      <c r="A906" s="191"/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hidden="1" x14ac:dyDescent="0.25">
      <c r="A907" s="191"/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hidden="1" x14ac:dyDescent="0.25">
      <c r="A908" s="191"/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hidden="1" x14ac:dyDescent="0.25">
      <c r="A909" s="191"/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hidden="1" x14ac:dyDescent="0.25">
      <c r="A910" s="191"/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hidden="1" x14ac:dyDescent="0.25">
      <c r="A911" s="191"/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hidden="1" x14ac:dyDescent="0.25">
      <c r="A912" s="191"/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hidden="1" x14ac:dyDescent="0.25">
      <c r="A913" s="191"/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hidden="1" x14ac:dyDescent="0.25">
      <c r="A914" s="191"/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hidden="1" x14ac:dyDescent="0.25">
      <c r="A915" s="191"/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hidden="1" x14ac:dyDescent="0.25">
      <c r="A916" s="191"/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hidden="1" x14ac:dyDescent="0.25">
      <c r="A917" s="191"/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hidden="1" x14ac:dyDescent="0.25">
      <c r="A918" s="191"/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hidden="1" x14ac:dyDescent="0.25">
      <c r="A919" s="191"/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hidden="1" x14ac:dyDescent="0.25">
      <c r="A920" s="191"/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hidden="1" x14ac:dyDescent="0.25">
      <c r="A921" s="191"/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hidden="1" x14ac:dyDescent="0.25">
      <c r="A922" s="191"/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hidden="1" x14ac:dyDescent="0.25">
      <c r="A923" s="191"/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hidden="1" x14ac:dyDescent="0.25">
      <c r="A924" s="191"/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hidden="1" x14ac:dyDescent="0.25">
      <c r="A925" s="191"/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hidden="1" x14ac:dyDescent="0.25">
      <c r="A926" s="191"/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hidden="1" x14ac:dyDescent="0.25">
      <c r="A927" s="191"/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hidden="1" x14ac:dyDescent="0.25">
      <c r="A928" s="191"/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hidden="1" x14ac:dyDescent="0.25">
      <c r="A929" s="191"/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hidden="1" x14ac:dyDescent="0.25">
      <c r="A930" s="191"/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hidden="1" x14ac:dyDescent="0.25">
      <c r="A931" s="191"/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hidden="1" x14ac:dyDescent="0.25">
      <c r="A932" s="191"/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hidden="1" x14ac:dyDescent="0.25">
      <c r="A933" s="191"/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hidden="1" x14ac:dyDescent="0.25">
      <c r="A934" s="191"/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hidden="1" x14ac:dyDescent="0.25">
      <c r="A935" s="191"/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hidden="1" x14ac:dyDescent="0.25">
      <c r="A936" s="191"/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hidden="1" x14ac:dyDescent="0.25">
      <c r="A937" s="191"/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hidden="1" x14ac:dyDescent="0.25">
      <c r="A938" s="191"/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hidden="1" x14ac:dyDescent="0.25">
      <c r="A939" s="191"/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hidden="1" x14ac:dyDescent="0.25">
      <c r="A940" s="191"/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hidden="1" x14ac:dyDescent="0.25">
      <c r="A941" s="191"/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hidden="1" x14ac:dyDescent="0.25">
      <c r="A942" s="191"/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hidden="1" x14ac:dyDescent="0.25">
      <c r="A943" s="191"/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hidden="1" x14ac:dyDescent="0.25">
      <c r="A944" s="191"/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hidden="1" x14ac:dyDescent="0.25">
      <c r="A945" s="191"/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hidden="1" x14ac:dyDescent="0.25">
      <c r="A946" s="191"/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hidden="1" x14ac:dyDescent="0.25">
      <c r="A947" s="191"/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hidden="1" x14ac:dyDescent="0.25">
      <c r="A948" s="191"/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hidden="1" x14ac:dyDescent="0.25">
      <c r="A949" s="191"/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hidden="1" x14ac:dyDescent="0.25">
      <c r="A950" s="191"/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hidden="1" x14ac:dyDescent="0.25">
      <c r="A951" s="191"/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hidden="1" x14ac:dyDescent="0.25">
      <c r="A952" s="191"/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hidden="1" x14ac:dyDescent="0.25">
      <c r="A953" s="191"/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hidden="1" x14ac:dyDescent="0.25">
      <c r="A954" s="191"/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hidden="1" x14ac:dyDescent="0.25">
      <c r="A955" s="191"/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hidden="1" x14ac:dyDescent="0.25">
      <c r="A956" s="191"/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hidden="1" x14ac:dyDescent="0.25">
      <c r="A957" s="191"/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hidden="1" x14ac:dyDescent="0.25">
      <c r="A958" s="191"/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hidden="1" x14ac:dyDescent="0.25">
      <c r="A959" s="191"/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hidden="1" x14ac:dyDescent="0.25">
      <c r="A960" s="191"/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hidden="1" x14ac:dyDescent="0.25">
      <c r="A961" s="191"/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hidden="1" x14ac:dyDescent="0.25">
      <c r="A962" s="191"/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hidden="1" x14ac:dyDescent="0.25">
      <c r="A963" s="191"/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hidden="1" x14ac:dyDescent="0.25">
      <c r="A964" s="191"/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hidden="1" x14ac:dyDescent="0.25">
      <c r="A965" s="191"/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hidden="1" x14ac:dyDescent="0.25">
      <c r="A966" s="191"/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hidden="1" x14ac:dyDescent="0.25">
      <c r="A967" s="191"/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hidden="1" x14ac:dyDescent="0.25">
      <c r="A968" s="191"/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hidden="1" x14ac:dyDescent="0.25">
      <c r="A969" s="191"/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hidden="1" x14ac:dyDescent="0.25">
      <c r="A970" s="191"/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hidden="1" x14ac:dyDescent="0.25">
      <c r="A971" s="191"/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hidden="1" x14ac:dyDescent="0.25">
      <c r="A972" s="191"/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hidden="1" x14ac:dyDescent="0.25">
      <c r="A973" s="191"/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hidden="1" x14ac:dyDescent="0.25">
      <c r="A974" s="191"/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hidden="1" x14ac:dyDescent="0.25">
      <c r="A975" s="191"/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hidden="1" x14ac:dyDescent="0.25">
      <c r="A976" s="191"/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hidden="1" x14ac:dyDescent="0.25">
      <c r="A977" s="191"/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hidden="1" x14ac:dyDescent="0.25">
      <c r="A978" s="191"/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hidden="1" x14ac:dyDescent="0.25">
      <c r="A979" s="191"/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hidden="1" x14ac:dyDescent="0.25">
      <c r="A980" s="191"/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hidden="1" x14ac:dyDescent="0.25">
      <c r="A981" s="191"/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hidden="1" x14ac:dyDescent="0.25">
      <c r="A982" s="191"/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hidden="1" x14ac:dyDescent="0.25">
      <c r="A983" s="191"/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hidden="1" x14ac:dyDescent="0.25">
      <c r="A984" s="191"/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hidden="1" x14ac:dyDescent="0.25">
      <c r="A985" s="191"/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hidden="1" x14ac:dyDescent="0.25">
      <c r="A986" s="191"/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hidden="1" x14ac:dyDescent="0.25">
      <c r="A987" s="191"/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hidden="1" x14ac:dyDescent="0.25">
      <c r="A988" s="191"/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hidden="1" x14ac:dyDescent="0.25">
      <c r="A989" s="191"/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hidden="1" x14ac:dyDescent="0.25">
      <c r="A990" s="191"/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hidden="1" x14ac:dyDescent="0.25">
      <c r="A991" s="191"/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hidden="1" x14ac:dyDescent="0.25">
      <c r="A992" s="191"/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hidden="1" x14ac:dyDescent="0.25">
      <c r="A993" s="191"/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hidden="1" x14ac:dyDescent="0.25">
      <c r="A994" s="191"/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hidden="1" x14ac:dyDescent="0.25">
      <c r="A995" s="191"/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hidden="1" x14ac:dyDescent="0.25">
      <c r="A996" s="191"/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hidden="1" x14ac:dyDescent="0.25">
      <c r="A997" s="191"/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hidden="1" x14ac:dyDescent="0.25">
      <c r="A998" s="191"/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hidden="1" x14ac:dyDescent="0.25">
      <c r="A999" s="191"/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hidden="1" x14ac:dyDescent="0.25">
      <c r="A1000" s="191"/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hidden="1" x14ac:dyDescent="0.25">
      <c r="A1001" s="191"/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hidden="1" x14ac:dyDescent="0.25">
      <c r="A1002" s="191"/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hidden="1" x14ac:dyDescent="0.25">
      <c r="A1003" s="191"/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hidden="1" x14ac:dyDescent="0.25">
      <c r="A1004" s="191"/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hidden="1" x14ac:dyDescent="0.25">
      <c r="A1005" s="191"/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hidden="1" x14ac:dyDescent="0.25">
      <c r="A1006" s="191"/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hidden="1" x14ac:dyDescent="0.25">
      <c r="A1007" s="191"/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hidden="1" x14ac:dyDescent="0.25">
      <c r="A1008" s="191"/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hidden="1" x14ac:dyDescent="0.25">
      <c r="A1009" s="191"/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hidden="1" x14ac:dyDescent="0.25">
      <c r="A1010" s="191"/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hidden="1" x14ac:dyDescent="0.25">
      <c r="A1011" s="191"/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hidden="1" x14ac:dyDescent="0.25">
      <c r="A1012" s="191"/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hidden="1" x14ac:dyDescent="0.25">
      <c r="A1013" s="191"/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hidden="1" x14ac:dyDescent="0.25">
      <c r="A1014" s="191"/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hidden="1" x14ac:dyDescent="0.25">
      <c r="A1015" s="191"/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hidden="1" x14ac:dyDescent="0.25">
      <c r="A1016" s="191"/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hidden="1" x14ac:dyDescent="0.25">
      <c r="A1017" s="191"/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hidden="1" x14ac:dyDescent="0.25">
      <c r="A1018" s="191"/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hidden="1" x14ac:dyDescent="0.25">
      <c r="A1019" s="191"/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hidden="1" x14ac:dyDescent="0.25">
      <c r="A1020" s="191"/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hidden="1" x14ac:dyDescent="0.25">
      <c r="A1021" s="191"/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hidden="1" x14ac:dyDescent="0.25">
      <c r="A1022" s="191"/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hidden="1" x14ac:dyDescent="0.25">
      <c r="A1023" s="191"/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hidden="1" x14ac:dyDescent="0.25">
      <c r="A1024" s="191"/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hidden="1" x14ac:dyDescent="0.25">
      <c r="A1025" s="191"/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hidden="1" x14ac:dyDescent="0.25">
      <c r="A1026" s="191"/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hidden="1" x14ac:dyDescent="0.25">
      <c r="A1027" s="191"/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hidden="1" x14ac:dyDescent="0.25">
      <c r="A1028" s="191"/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hidden="1" x14ac:dyDescent="0.25">
      <c r="A1029" s="191"/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hidden="1" x14ac:dyDescent="0.25">
      <c r="A1030" s="191"/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hidden="1" x14ac:dyDescent="0.25">
      <c r="A1031" s="191"/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hidden="1" x14ac:dyDescent="0.25">
      <c r="A1032" s="191"/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hidden="1" x14ac:dyDescent="0.25">
      <c r="A1033" s="191"/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hidden="1" x14ac:dyDescent="0.25">
      <c r="A1034" s="191"/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hidden="1" x14ac:dyDescent="0.25">
      <c r="A1035" s="191"/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hidden="1" x14ac:dyDescent="0.25">
      <c r="A1036" s="191"/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hidden="1" x14ac:dyDescent="0.25">
      <c r="A1037" s="191"/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hidden="1" x14ac:dyDescent="0.25">
      <c r="A1038" s="191"/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hidden="1" x14ac:dyDescent="0.25">
      <c r="A1039" s="191"/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hidden="1" x14ac:dyDescent="0.25">
      <c r="A1040" s="191"/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hidden="1" x14ac:dyDescent="0.25">
      <c r="A1041" s="191"/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hidden="1" x14ac:dyDescent="0.25">
      <c r="A1042" s="191"/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hidden="1" x14ac:dyDescent="0.25">
      <c r="A1043" s="191"/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hidden="1" x14ac:dyDescent="0.25">
      <c r="A1044" s="191"/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hidden="1" x14ac:dyDescent="0.25">
      <c r="A1045" s="191"/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hidden="1" x14ac:dyDescent="0.25">
      <c r="A1046" s="191"/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hidden="1" x14ac:dyDescent="0.25">
      <c r="A1047" s="191"/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hidden="1" x14ac:dyDescent="0.25">
      <c r="A1048" s="191"/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hidden="1" x14ac:dyDescent="0.25">
      <c r="A1049" s="191"/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hidden="1" x14ac:dyDescent="0.25">
      <c r="A1050" s="191"/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hidden="1" x14ac:dyDescent="0.25">
      <c r="A1051" s="191"/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hidden="1" x14ac:dyDescent="0.25">
      <c r="A1052" s="191"/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hidden="1" x14ac:dyDescent="0.25">
      <c r="A1053" s="191"/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hidden="1" x14ac:dyDescent="0.25">
      <c r="A1054" s="191"/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hidden="1" x14ac:dyDescent="0.25">
      <c r="A1055" s="191"/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hidden="1" x14ac:dyDescent="0.25">
      <c r="A1056" s="191"/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hidden="1" x14ac:dyDescent="0.25">
      <c r="A1057" s="191"/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hidden="1" x14ac:dyDescent="0.25">
      <c r="A1058" s="191"/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hidden="1" x14ac:dyDescent="0.25">
      <c r="A1059" s="191"/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hidden="1" x14ac:dyDescent="0.25">
      <c r="A1060" s="191"/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hidden="1" x14ac:dyDescent="0.25">
      <c r="A1061" s="191"/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hidden="1" x14ac:dyDescent="0.25">
      <c r="A1062" s="191"/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hidden="1" x14ac:dyDescent="0.25">
      <c r="A1063" s="191"/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hidden="1" x14ac:dyDescent="0.25">
      <c r="A1064" s="191"/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hidden="1" x14ac:dyDescent="0.25">
      <c r="A1065" s="191"/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hidden="1" x14ac:dyDescent="0.25">
      <c r="A1066" s="191"/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hidden="1" x14ac:dyDescent="0.25">
      <c r="A1067" s="191"/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hidden="1" x14ac:dyDescent="0.25">
      <c r="A1068" s="191"/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hidden="1" x14ac:dyDescent="0.25">
      <c r="A1069" s="191"/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hidden="1" x14ac:dyDescent="0.25">
      <c r="A1070" s="191"/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hidden="1" x14ac:dyDescent="0.25">
      <c r="A1071" s="191"/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hidden="1" x14ac:dyDescent="0.25">
      <c r="A1072" s="191"/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hidden="1" x14ac:dyDescent="0.25">
      <c r="A1073" s="191"/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hidden="1" x14ac:dyDescent="0.25">
      <c r="A1074" s="191"/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hidden="1" x14ac:dyDescent="0.25">
      <c r="A1075" s="191"/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hidden="1" x14ac:dyDescent="0.25">
      <c r="A1076" s="191"/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hidden="1" x14ac:dyDescent="0.25">
      <c r="A1077" s="191"/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hidden="1" x14ac:dyDescent="0.25">
      <c r="A1078" s="191"/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hidden="1" x14ac:dyDescent="0.25">
      <c r="A1079" s="191"/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hidden="1" x14ac:dyDescent="0.25">
      <c r="A1080" s="191"/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hidden="1" x14ac:dyDescent="0.25">
      <c r="A1081" s="191"/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hidden="1" x14ac:dyDescent="0.25">
      <c r="A1082" s="191"/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hidden="1" x14ac:dyDescent="0.25">
      <c r="A1083" s="191"/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hidden="1" x14ac:dyDescent="0.25">
      <c r="A1084" s="191"/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hidden="1" x14ac:dyDescent="0.25">
      <c r="A1085" s="191"/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hidden="1" x14ac:dyDescent="0.25">
      <c r="A1086" s="191"/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hidden="1" x14ac:dyDescent="0.25">
      <c r="A1087" s="191"/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hidden="1" x14ac:dyDescent="0.25">
      <c r="A1088" s="191"/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hidden="1" x14ac:dyDescent="0.25">
      <c r="A1089" s="191"/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hidden="1" x14ac:dyDescent="0.25">
      <c r="A1090" s="191"/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hidden="1" x14ac:dyDescent="0.25">
      <c r="A1091" s="191"/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hidden="1" x14ac:dyDescent="0.25">
      <c r="A1092" s="191"/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hidden="1" x14ac:dyDescent="0.25">
      <c r="A1093" s="191"/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hidden="1" x14ac:dyDescent="0.25">
      <c r="A1094" s="191"/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hidden="1" x14ac:dyDescent="0.25">
      <c r="A1095" s="191"/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hidden="1" x14ac:dyDescent="0.25">
      <c r="A1096" s="191"/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hidden="1" x14ac:dyDescent="0.25">
      <c r="A1097" s="191"/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hidden="1" x14ac:dyDescent="0.25">
      <c r="A1098" s="191"/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hidden="1" x14ac:dyDescent="0.25">
      <c r="A1099" s="191"/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hidden="1" x14ac:dyDescent="0.25">
      <c r="A1100" s="191"/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hidden="1" x14ac:dyDescent="0.25">
      <c r="A1101" s="191"/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hidden="1" x14ac:dyDescent="0.25">
      <c r="A1102" s="191"/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hidden="1" x14ac:dyDescent="0.25">
      <c r="A1103" s="191"/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hidden="1" x14ac:dyDescent="0.25">
      <c r="A1104" s="191"/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hidden="1" x14ac:dyDescent="0.25">
      <c r="A1105" s="191"/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hidden="1" x14ac:dyDescent="0.25">
      <c r="A1106" s="191"/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hidden="1" x14ac:dyDescent="0.25">
      <c r="A1107" s="191"/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hidden="1" x14ac:dyDescent="0.25">
      <c r="A1108" s="191"/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hidden="1" x14ac:dyDescent="0.25">
      <c r="A1109" s="191"/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hidden="1" x14ac:dyDescent="0.25">
      <c r="A1110" s="191"/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hidden="1" x14ac:dyDescent="0.25">
      <c r="A1111" s="191"/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hidden="1" x14ac:dyDescent="0.25">
      <c r="A1112" s="191"/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hidden="1" x14ac:dyDescent="0.25">
      <c r="A1113" s="191"/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hidden="1" x14ac:dyDescent="0.25">
      <c r="A1114" s="191"/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hidden="1" x14ac:dyDescent="0.25">
      <c r="A1115" s="191"/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hidden="1" x14ac:dyDescent="0.25">
      <c r="A1116" s="191"/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hidden="1" x14ac:dyDescent="0.25">
      <c r="A1117" s="191"/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hidden="1" x14ac:dyDescent="0.25">
      <c r="A1118" s="191"/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hidden="1" x14ac:dyDescent="0.25">
      <c r="A1119" s="191"/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hidden="1" x14ac:dyDescent="0.25">
      <c r="A1120" s="191"/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hidden="1" x14ac:dyDescent="0.25">
      <c r="A1121" s="191"/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hidden="1" x14ac:dyDescent="0.25">
      <c r="A1122" s="191"/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hidden="1" x14ac:dyDescent="0.25">
      <c r="A1123" s="191"/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hidden="1" x14ac:dyDescent="0.25">
      <c r="A1124" s="191"/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hidden="1" x14ac:dyDescent="0.25">
      <c r="A1125" s="191"/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hidden="1" x14ac:dyDescent="0.25">
      <c r="A1126" s="191"/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hidden="1" x14ac:dyDescent="0.25">
      <c r="A1127" s="191"/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hidden="1" x14ac:dyDescent="0.25">
      <c r="A1128" s="191"/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hidden="1" x14ac:dyDescent="0.25">
      <c r="A1129" s="191"/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hidden="1" x14ac:dyDescent="0.25">
      <c r="A1130" s="191"/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hidden="1" x14ac:dyDescent="0.25">
      <c r="A1131" s="191"/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hidden="1" x14ac:dyDescent="0.25">
      <c r="A1132" s="191"/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hidden="1" x14ac:dyDescent="0.25">
      <c r="A1133" s="191"/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hidden="1" x14ac:dyDescent="0.25">
      <c r="A1134" s="191"/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hidden="1" x14ac:dyDescent="0.25">
      <c r="A1135" s="191"/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hidden="1" x14ac:dyDescent="0.25">
      <c r="A1136" s="191"/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hidden="1" x14ac:dyDescent="0.25">
      <c r="A1137" s="191"/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hidden="1" x14ac:dyDescent="0.25">
      <c r="A1138" s="191"/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hidden="1" x14ac:dyDescent="0.25">
      <c r="A1139" s="191"/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hidden="1" x14ac:dyDescent="0.25">
      <c r="A1140" s="191"/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hidden="1" x14ac:dyDescent="0.25">
      <c r="A1141" s="191"/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hidden="1" x14ac:dyDescent="0.25">
      <c r="A1142" s="191"/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hidden="1" x14ac:dyDescent="0.25">
      <c r="A1143" s="191"/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hidden="1" x14ac:dyDescent="0.25">
      <c r="A1144" s="191"/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hidden="1" x14ac:dyDescent="0.25">
      <c r="A1145" s="191"/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hidden="1" x14ac:dyDescent="0.25">
      <c r="A1146" s="191"/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hidden="1" x14ac:dyDescent="0.25">
      <c r="A1147" s="191"/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hidden="1" x14ac:dyDescent="0.25">
      <c r="A1148" s="191"/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hidden="1" x14ac:dyDescent="0.25">
      <c r="A1149" s="191"/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hidden="1" x14ac:dyDescent="0.25">
      <c r="A1150" s="191"/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hidden="1" x14ac:dyDescent="0.25">
      <c r="A1151" s="191"/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hidden="1" x14ac:dyDescent="0.25">
      <c r="A1152" s="191"/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hidden="1" x14ac:dyDescent="0.25">
      <c r="A1153" s="191"/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hidden="1" x14ac:dyDescent="0.25">
      <c r="A1154" s="191"/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hidden="1" x14ac:dyDescent="0.25">
      <c r="A1155" s="191"/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hidden="1" x14ac:dyDescent="0.25">
      <c r="A1156" s="191"/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hidden="1" x14ac:dyDescent="0.25">
      <c r="A1157" s="191"/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hidden="1" x14ac:dyDescent="0.25">
      <c r="A1158" s="191"/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hidden="1" x14ac:dyDescent="0.25">
      <c r="A1159" s="191"/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hidden="1" x14ac:dyDescent="0.25">
      <c r="A1160" s="191"/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hidden="1" x14ac:dyDescent="0.25">
      <c r="A1161" s="191"/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hidden="1" x14ac:dyDescent="0.25">
      <c r="A1162" s="191"/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hidden="1" x14ac:dyDescent="0.25">
      <c r="A1163" s="191"/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hidden="1" x14ac:dyDescent="0.25">
      <c r="A1164" s="191"/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hidden="1" x14ac:dyDescent="0.25">
      <c r="A1165" s="191"/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hidden="1" x14ac:dyDescent="0.25">
      <c r="A1166" s="191"/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hidden="1" x14ac:dyDescent="0.25">
      <c r="A1167" s="191"/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hidden="1" x14ac:dyDescent="0.25">
      <c r="A1168" s="191"/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hidden="1" x14ac:dyDescent="0.25">
      <c r="A1169" s="191"/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hidden="1" x14ac:dyDescent="0.25">
      <c r="A1170" s="191"/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hidden="1" x14ac:dyDescent="0.25">
      <c r="A1171" s="191"/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hidden="1" x14ac:dyDescent="0.25">
      <c r="A1172" s="191"/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hidden="1" x14ac:dyDescent="0.25">
      <c r="A1173" s="191"/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hidden="1" x14ac:dyDescent="0.25">
      <c r="A1174" s="191"/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hidden="1" x14ac:dyDescent="0.25">
      <c r="A1175" s="191"/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hidden="1" x14ac:dyDescent="0.25">
      <c r="A1176" s="191"/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hidden="1" x14ac:dyDescent="0.25">
      <c r="A1177" s="191"/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hidden="1" x14ac:dyDescent="0.25">
      <c r="A1178" s="191"/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hidden="1" x14ac:dyDescent="0.25">
      <c r="A1179" s="191"/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hidden="1" x14ac:dyDescent="0.25">
      <c r="A1180" s="191"/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hidden="1" x14ac:dyDescent="0.25">
      <c r="A1181" s="191"/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hidden="1" x14ac:dyDescent="0.25">
      <c r="A1182" s="191"/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hidden="1" x14ac:dyDescent="0.25">
      <c r="A1183" s="191"/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hidden="1" x14ac:dyDescent="0.25">
      <c r="A1184" s="191"/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hidden="1" x14ac:dyDescent="0.25">
      <c r="A1185" s="191"/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hidden="1" x14ac:dyDescent="0.25">
      <c r="A1186" s="191"/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hidden="1" x14ac:dyDescent="0.25">
      <c r="A1187" s="191"/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hidden="1" x14ac:dyDescent="0.25">
      <c r="A1188" s="191"/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hidden="1" x14ac:dyDescent="0.25">
      <c r="A1189" s="191"/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hidden="1" x14ac:dyDescent="0.25">
      <c r="A1190" s="191"/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hidden="1" x14ac:dyDescent="0.25">
      <c r="A1191" s="191"/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hidden="1" x14ac:dyDescent="0.25">
      <c r="A1192" s="191"/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hidden="1" x14ac:dyDescent="0.25">
      <c r="A1193" s="191"/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hidden="1" x14ac:dyDescent="0.25">
      <c r="A1194" s="191"/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hidden="1" x14ac:dyDescent="0.25">
      <c r="A1195" s="191"/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hidden="1" x14ac:dyDescent="0.25">
      <c r="A1196" s="191"/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hidden="1" x14ac:dyDescent="0.25">
      <c r="A1197" s="191"/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hidden="1" x14ac:dyDescent="0.25">
      <c r="A1198" s="191"/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hidden="1" x14ac:dyDescent="0.25">
      <c r="A1199" s="191"/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hidden="1" x14ac:dyDescent="0.25">
      <c r="A1200" s="191"/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hidden="1" x14ac:dyDescent="0.25">
      <c r="A1201" s="191"/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hidden="1" x14ac:dyDescent="0.25">
      <c r="A1202" s="191"/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hidden="1" x14ac:dyDescent="0.25">
      <c r="A1203" s="191"/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hidden="1" x14ac:dyDescent="0.25">
      <c r="A1204" s="191"/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hidden="1" x14ac:dyDescent="0.25">
      <c r="A1205" s="191"/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hidden="1" x14ac:dyDescent="0.25">
      <c r="A1206" s="191"/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hidden="1" x14ac:dyDescent="0.25">
      <c r="A1207" s="191"/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hidden="1" x14ac:dyDescent="0.25">
      <c r="A1208" s="191"/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hidden="1" x14ac:dyDescent="0.25">
      <c r="A1209" s="191"/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hidden="1" x14ac:dyDescent="0.25">
      <c r="A1210" s="191"/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hidden="1" x14ac:dyDescent="0.25">
      <c r="A1211" s="191"/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hidden="1" x14ac:dyDescent="0.25">
      <c r="A1212" s="191"/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hidden="1" x14ac:dyDescent="0.25">
      <c r="A1213" s="191"/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hidden="1" x14ac:dyDescent="0.25">
      <c r="A1214" s="191"/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hidden="1" x14ac:dyDescent="0.25">
      <c r="A1215" s="191"/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hidden="1" x14ac:dyDescent="0.25">
      <c r="A1216" s="191"/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hidden="1" x14ac:dyDescent="0.25">
      <c r="A1217" s="191"/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hidden="1" x14ac:dyDescent="0.25">
      <c r="A1218" s="191"/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hidden="1" x14ac:dyDescent="0.25">
      <c r="A1219" s="191"/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hidden="1" x14ac:dyDescent="0.25">
      <c r="A1220" s="191"/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hidden="1" x14ac:dyDescent="0.25">
      <c r="A1221" s="191"/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hidden="1" x14ac:dyDescent="0.25">
      <c r="A1222" s="191"/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hidden="1" x14ac:dyDescent="0.25">
      <c r="A1223" s="191"/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hidden="1" x14ac:dyDescent="0.25">
      <c r="A1224" s="191"/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hidden="1" x14ac:dyDescent="0.25">
      <c r="A1225" s="191"/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hidden="1" x14ac:dyDescent="0.25">
      <c r="A1226" s="191"/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hidden="1" x14ac:dyDescent="0.25">
      <c r="A1227" s="191"/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hidden="1" x14ac:dyDescent="0.25">
      <c r="A1228" s="191"/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hidden="1" x14ac:dyDescent="0.25">
      <c r="A1229" s="191"/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hidden="1" x14ac:dyDescent="0.25">
      <c r="A1230" s="191"/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hidden="1" x14ac:dyDescent="0.25">
      <c r="A1231" s="191"/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hidden="1" x14ac:dyDescent="0.25">
      <c r="A1232" s="191"/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hidden="1" x14ac:dyDescent="0.25">
      <c r="A1233" s="191"/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hidden="1" x14ac:dyDescent="0.25">
      <c r="A1234" s="191"/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hidden="1" x14ac:dyDescent="0.25">
      <c r="A1235" s="191"/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hidden="1" x14ac:dyDescent="0.25">
      <c r="A1236" s="191"/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hidden="1" x14ac:dyDescent="0.25">
      <c r="A1237" s="191"/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hidden="1" x14ac:dyDescent="0.25">
      <c r="A1238" s="191"/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hidden="1" x14ac:dyDescent="0.25">
      <c r="A1239" s="191"/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hidden="1" x14ac:dyDescent="0.25">
      <c r="A1240" s="191"/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hidden="1" x14ac:dyDescent="0.25">
      <c r="A1241" s="191"/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hidden="1" x14ac:dyDescent="0.25">
      <c r="A1242" s="191"/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hidden="1" x14ac:dyDescent="0.25">
      <c r="A1243" s="191"/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hidden="1" x14ac:dyDescent="0.25">
      <c r="A1244" s="191"/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hidden="1" x14ac:dyDescent="0.25">
      <c r="A1245" s="191"/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hidden="1" x14ac:dyDescent="0.25">
      <c r="A1246" s="191"/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hidden="1" x14ac:dyDescent="0.25">
      <c r="A1247" s="191"/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hidden="1" x14ac:dyDescent="0.25">
      <c r="A1248" s="191"/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hidden="1" x14ac:dyDescent="0.25">
      <c r="A1249" s="191"/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hidden="1" x14ac:dyDescent="0.25">
      <c r="A1250" s="191"/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hidden="1" x14ac:dyDescent="0.25">
      <c r="A1251" s="191"/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hidden="1" x14ac:dyDescent="0.25">
      <c r="A1252" s="191"/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hidden="1" x14ac:dyDescent="0.25">
      <c r="A1253" s="191"/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hidden="1" x14ac:dyDescent="0.25">
      <c r="A1254" s="191"/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hidden="1" x14ac:dyDescent="0.25">
      <c r="A1255" s="191"/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hidden="1" x14ac:dyDescent="0.25">
      <c r="A1256" s="191"/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hidden="1" x14ac:dyDescent="0.25">
      <c r="A1257" s="191"/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hidden="1" x14ac:dyDescent="0.25">
      <c r="A1258" s="191"/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hidden="1" x14ac:dyDescent="0.25">
      <c r="A1259" s="191"/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hidden="1" x14ac:dyDescent="0.25">
      <c r="A1260" s="191"/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hidden="1" x14ac:dyDescent="0.25">
      <c r="A1261" s="191"/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hidden="1" x14ac:dyDescent="0.25">
      <c r="A1262" s="191"/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hidden="1" x14ac:dyDescent="0.25">
      <c r="A1263" s="191"/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hidden="1" x14ac:dyDescent="0.25">
      <c r="A1264" s="191"/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hidden="1" x14ac:dyDescent="0.25">
      <c r="A1265" s="191"/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hidden="1" x14ac:dyDescent="0.25">
      <c r="A1266" s="191"/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hidden="1" x14ac:dyDescent="0.25">
      <c r="A1267" s="191"/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hidden="1" x14ac:dyDescent="0.25">
      <c r="A1268" s="191"/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hidden="1" x14ac:dyDescent="0.25">
      <c r="A1269" s="191"/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hidden="1" x14ac:dyDescent="0.25">
      <c r="A1270" s="191"/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hidden="1" x14ac:dyDescent="0.25">
      <c r="A1271" s="191"/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hidden="1" x14ac:dyDescent="0.25">
      <c r="A1272" s="191"/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hidden="1" x14ac:dyDescent="0.25">
      <c r="A1273" s="191"/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hidden="1" x14ac:dyDescent="0.25">
      <c r="A1274" s="191"/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hidden="1" x14ac:dyDescent="0.25">
      <c r="A1275" s="191"/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hidden="1" x14ac:dyDescent="0.25">
      <c r="A1276" s="191"/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hidden="1" x14ac:dyDescent="0.25">
      <c r="A1277" s="191"/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hidden="1" x14ac:dyDescent="0.25">
      <c r="A1278" s="191"/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hidden="1" x14ac:dyDescent="0.25">
      <c r="A1279" s="191"/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hidden="1" x14ac:dyDescent="0.25">
      <c r="A1280" s="191"/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hidden="1" x14ac:dyDescent="0.25">
      <c r="A1281" s="191"/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hidden="1" x14ac:dyDescent="0.25">
      <c r="A1282" s="191"/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hidden="1" x14ac:dyDescent="0.25">
      <c r="A1283" s="191"/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hidden="1" x14ac:dyDescent="0.25">
      <c r="A1284" s="191"/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hidden="1" x14ac:dyDescent="0.25">
      <c r="A1285" s="191"/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hidden="1" x14ac:dyDescent="0.25">
      <c r="A1286" s="191"/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hidden="1" x14ac:dyDescent="0.25">
      <c r="A1287" s="191"/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hidden="1" x14ac:dyDescent="0.25">
      <c r="A1288" s="191"/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hidden="1" x14ac:dyDescent="0.25">
      <c r="A1289" s="191"/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hidden="1" x14ac:dyDescent="0.25">
      <c r="A1290" s="191"/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hidden="1" x14ac:dyDescent="0.25">
      <c r="A1291" s="191"/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hidden="1" x14ac:dyDescent="0.25">
      <c r="A1292" s="191"/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hidden="1" x14ac:dyDescent="0.25">
      <c r="A1293" s="191"/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hidden="1" x14ac:dyDescent="0.25">
      <c r="A1294" s="191"/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hidden="1" x14ac:dyDescent="0.25">
      <c r="A1295" s="191"/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hidden="1" x14ac:dyDescent="0.25">
      <c r="A1296" s="191"/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hidden="1" x14ac:dyDescent="0.25">
      <c r="A1297" s="191"/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hidden="1" x14ac:dyDescent="0.25">
      <c r="A1298" s="191"/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hidden="1" x14ac:dyDescent="0.25">
      <c r="A1299" s="191"/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hidden="1" x14ac:dyDescent="0.25">
      <c r="A1300" s="191"/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hidden="1" x14ac:dyDescent="0.25">
      <c r="A1301" s="191"/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hidden="1" x14ac:dyDescent="0.25">
      <c r="A1302" s="191"/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hidden="1" x14ac:dyDescent="0.25">
      <c r="A1303" s="191"/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hidden="1" x14ac:dyDescent="0.25">
      <c r="A1304" s="191"/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hidden="1" x14ac:dyDescent="0.25">
      <c r="A1305" s="191"/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hidden="1" x14ac:dyDescent="0.25">
      <c r="A1306" s="191"/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hidden="1" x14ac:dyDescent="0.25">
      <c r="A1307" s="191"/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hidden="1" x14ac:dyDescent="0.25">
      <c r="A1308" s="191"/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hidden="1" x14ac:dyDescent="0.25">
      <c r="A1309" s="191"/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hidden="1" x14ac:dyDescent="0.25">
      <c r="A1310" s="191"/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hidden="1" x14ac:dyDescent="0.25">
      <c r="A1311" s="191"/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hidden="1" x14ac:dyDescent="0.25">
      <c r="A1312" s="191"/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hidden="1" x14ac:dyDescent="0.25">
      <c r="A1313" s="191"/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hidden="1" x14ac:dyDescent="0.25">
      <c r="A1314" s="191"/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hidden="1" x14ac:dyDescent="0.25">
      <c r="A1315" s="191"/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hidden="1" x14ac:dyDescent="0.25">
      <c r="A1316" s="191"/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hidden="1" x14ac:dyDescent="0.25">
      <c r="A1317" s="191"/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hidden="1" x14ac:dyDescent="0.25">
      <c r="A1318" s="191"/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hidden="1" x14ac:dyDescent="0.25">
      <c r="A1319" s="191"/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hidden="1" x14ac:dyDescent="0.25">
      <c r="A1320" s="191"/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hidden="1" x14ac:dyDescent="0.25">
      <c r="A1321" s="191"/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hidden="1" x14ac:dyDescent="0.25">
      <c r="A1322" s="191"/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hidden="1" x14ac:dyDescent="0.25">
      <c r="A1323" s="191"/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hidden="1" x14ac:dyDescent="0.25">
      <c r="A1324" s="191"/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hidden="1" x14ac:dyDescent="0.25">
      <c r="A1325" s="191"/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hidden="1" x14ac:dyDescent="0.25">
      <c r="A1326" s="191"/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hidden="1" x14ac:dyDescent="0.25">
      <c r="A1327" s="191"/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hidden="1" x14ac:dyDescent="0.25">
      <c r="A1328" s="191"/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hidden="1" x14ac:dyDescent="0.25">
      <c r="A1329" s="191"/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hidden="1" x14ac:dyDescent="0.25">
      <c r="A1330" s="191"/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hidden="1" x14ac:dyDescent="0.25">
      <c r="A1331" s="191"/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hidden="1" x14ac:dyDescent="0.25">
      <c r="A1332" s="191"/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hidden="1" x14ac:dyDescent="0.25">
      <c r="A1333" s="191"/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hidden="1" x14ac:dyDescent="0.25">
      <c r="A1334" s="191"/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hidden="1" x14ac:dyDescent="0.25">
      <c r="A1335" s="191"/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hidden="1" x14ac:dyDescent="0.25">
      <c r="A1336" s="191"/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hidden="1" x14ac:dyDescent="0.25">
      <c r="A1337" s="191"/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hidden="1" x14ac:dyDescent="0.25">
      <c r="A1338" s="191"/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hidden="1" x14ac:dyDescent="0.25">
      <c r="A1339" s="191"/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hidden="1" x14ac:dyDescent="0.25">
      <c r="A1340" s="191"/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hidden="1" x14ac:dyDescent="0.25">
      <c r="A1341" s="191"/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hidden="1" x14ac:dyDescent="0.25">
      <c r="A1342" s="191"/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hidden="1" x14ac:dyDescent="0.25">
      <c r="A1343" s="191"/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hidden="1" x14ac:dyDescent="0.25">
      <c r="A1344" s="191"/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hidden="1" x14ac:dyDescent="0.25">
      <c r="A1345" s="191"/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hidden="1" x14ac:dyDescent="0.25">
      <c r="A1346" s="191"/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hidden="1" x14ac:dyDescent="0.25">
      <c r="A1347" s="191"/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hidden="1" x14ac:dyDescent="0.25">
      <c r="A1348" s="191"/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hidden="1" x14ac:dyDescent="0.25">
      <c r="A1349" s="191"/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hidden="1" x14ac:dyDescent="0.25">
      <c r="A1350" s="191"/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hidden="1" x14ac:dyDescent="0.25">
      <c r="A1351" s="191"/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hidden="1" x14ac:dyDescent="0.25">
      <c r="A1352" s="191"/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hidden="1" x14ac:dyDescent="0.25">
      <c r="A1353" s="191"/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hidden="1" x14ac:dyDescent="0.25">
      <c r="A1354" s="191"/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hidden="1" x14ac:dyDescent="0.25">
      <c r="A1355" s="191"/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hidden="1" x14ac:dyDescent="0.25">
      <c r="A1356" s="191"/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hidden="1" x14ac:dyDescent="0.25">
      <c r="A1357" s="191"/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hidden="1" x14ac:dyDescent="0.25">
      <c r="A1358" s="191"/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hidden="1" x14ac:dyDescent="0.25">
      <c r="A1359" s="191"/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hidden="1" x14ac:dyDescent="0.25">
      <c r="A1360" s="191"/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hidden="1" x14ac:dyDescent="0.25">
      <c r="A1361" s="191"/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hidden="1" x14ac:dyDescent="0.25">
      <c r="A1362" s="191"/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hidden="1" x14ac:dyDescent="0.25">
      <c r="A1363" s="191"/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hidden="1" x14ac:dyDescent="0.25">
      <c r="A1364" s="191"/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hidden="1" x14ac:dyDescent="0.25">
      <c r="A1365" s="191"/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hidden="1" x14ac:dyDescent="0.25">
      <c r="A1366" s="191"/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hidden="1" x14ac:dyDescent="0.25">
      <c r="A1367" s="191"/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hidden="1" x14ac:dyDescent="0.25">
      <c r="A1368" s="191"/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hidden="1" x14ac:dyDescent="0.25">
      <c r="A1369" s="191"/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hidden="1" x14ac:dyDescent="0.25">
      <c r="A1370" s="191"/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hidden="1" x14ac:dyDescent="0.25">
      <c r="A1371" s="191"/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hidden="1" x14ac:dyDescent="0.25">
      <c r="A1372" s="191"/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hidden="1" x14ac:dyDescent="0.25">
      <c r="A1373" s="191"/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hidden="1" x14ac:dyDescent="0.25">
      <c r="A1374" s="191"/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hidden="1" x14ac:dyDescent="0.25">
      <c r="A1375" s="191"/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hidden="1" x14ac:dyDescent="0.25">
      <c r="A1376" s="191"/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hidden="1" x14ac:dyDescent="0.25">
      <c r="A1377" s="191"/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hidden="1" x14ac:dyDescent="0.25">
      <c r="A1378" s="191"/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hidden="1" x14ac:dyDescent="0.25">
      <c r="A1379" s="191"/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hidden="1" x14ac:dyDescent="0.25">
      <c r="A1380" s="191"/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hidden="1" x14ac:dyDescent="0.25">
      <c r="A1381" s="191"/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hidden="1" x14ac:dyDescent="0.25">
      <c r="A1382" s="191"/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hidden="1" x14ac:dyDescent="0.25">
      <c r="A1383" s="191"/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hidden="1" x14ac:dyDescent="0.25">
      <c r="A1384" s="191"/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hidden="1" x14ac:dyDescent="0.25">
      <c r="A1385" s="191"/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hidden="1" x14ac:dyDescent="0.25">
      <c r="A1386" s="191"/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hidden="1" x14ac:dyDescent="0.25">
      <c r="A1387" s="191"/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hidden="1" x14ac:dyDescent="0.25">
      <c r="A1388" s="191"/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hidden="1" x14ac:dyDescent="0.25">
      <c r="A1389" s="191"/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hidden="1" x14ac:dyDescent="0.25">
      <c r="A1390" s="191"/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hidden="1" x14ac:dyDescent="0.25">
      <c r="A1391" s="191"/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hidden="1" x14ac:dyDescent="0.25">
      <c r="A1392" s="191"/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hidden="1" x14ac:dyDescent="0.25">
      <c r="A1393" s="191"/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hidden="1" x14ac:dyDescent="0.25">
      <c r="A1394" s="191"/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hidden="1" x14ac:dyDescent="0.25">
      <c r="A1395" s="191"/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hidden="1" x14ac:dyDescent="0.25">
      <c r="A1396" s="191"/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hidden="1" x14ac:dyDescent="0.25">
      <c r="A1397" s="191"/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hidden="1" x14ac:dyDescent="0.25">
      <c r="A1398" s="191"/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hidden="1" x14ac:dyDescent="0.25">
      <c r="A1399" s="191"/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hidden="1" x14ac:dyDescent="0.25">
      <c r="A1400" s="191"/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hidden="1" x14ac:dyDescent="0.25">
      <c r="A1401" s="191"/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hidden="1" x14ac:dyDescent="0.25">
      <c r="A1402" s="191"/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hidden="1" x14ac:dyDescent="0.25">
      <c r="A1403" s="191"/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hidden="1" x14ac:dyDescent="0.25">
      <c r="A1404" s="191"/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hidden="1" x14ac:dyDescent="0.25">
      <c r="A1405" s="191"/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hidden="1" x14ac:dyDescent="0.25">
      <c r="A1406" s="191"/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hidden="1" x14ac:dyDescent="0.25">
      <c r="A1407" s="191"/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hidden="1" x14ac:dyDescent="0.25">
      <c r="A1408" s="191"/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hidden="1" x14ac:dyDescent="0.25">
      <c r="A1409" s="191"/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hidden="1" x14ac:dyDescent="0.25">
      <c r="A1410" s="191"/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hidden="1" x14ac:dyDescent="0.25">
      <c r="A1411" s="191"/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hidden="1" x14ac:dyDescent="0.25">
      <c r="A1412" s="191"/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hidden="1" x14ac:dyDescent="0.25">
      <c r="A1413" s="191"/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hidden="1" x14ac:dyDescent="0.25">
      <c r="A1414" s="191"/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hidden="1" x14ac:dyDescent="0.25">
      <c r="A1415" s="191"/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hidden="1" x14ac:dyDescent="0.25">
      <c r="A1416" s="191"/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hidden="1" x14ac:dyDescent="0.25">
      <c r="A1417" s="191"/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hidden="1" x14ac:dyDescent="0.25">
      <c r="A1418" s="191"/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hidden="1" x14ac:dyDescent="0.25">
      <c r="A1419" s="191"/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hidden="1" x14ac:dyDescent="0.25">
      <c r="A1420" s="191"/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hidden="1" x14ac:dyDescent="0.25">
      <c r="A1421" s="191"/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hidden="1" x14ac:dyDescent="0.25">
      <c r="A1422" s="191"/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hidden="1" x14ac:dyDescent="0.25">
      <c r="A1423" s="191"/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hidden="1" x14ac:dyDescent="0.25">
      <c r="A1424" s="191"/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hidden="1" x14ac:dyDescent="0.25">
      <c r="A1425" s="191"/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hidden="1" x14ac:dyDescent="0.25">
      <c r="A1426" s="191"/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hidden="1" x14ac:dyDescent="0.25">
      <c r="A1427" s="191"/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hidden="1" x14ac:dyDescent="0.25">
      <c r="A1428" s="191"/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hidden="1" x14ac:dyDescent="0.25">
      <c r="A1429" s="191"/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hidden="1" x14ac:dyDescent="0.25">
      <c r="A1430" s="191"/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hidden="1" x14ac:dyDescent="0.25">
      <c r="A1431" s="191"/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hidden="1" x14ac:dyDescent="0.25">
      <c r="A1432" s="191"/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hidden="1" x14ac:dyDescent="0.25">
      <c r="A1433" s="191"/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hidden="1" x14ac:dyDescent="0.25">
      <c r="A1434" s="191"/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hidden="1" x14ac:dyDescent="0.25">
      <c r="A1435" s="191"/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hidden="1" x14ac:dyDescent="0.25">
      <c r="A1436" s="191"/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hidden="1" x14ac:dyDescent="0.25">
      <c r="A1437" s="191"/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hidden="1" x14ac:dyDescent="0.25">
      <c r="A1438" s="191"/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hidden="1" x14ac:dyDescent="0.25">
      <c r="A1439" s="191"/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hidden="1" x14ac:dyDescent="0.25">
      <c r="A1440" s="191"/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hidden="1" x14ac:dyDescent="0.25">
      <c r="A1441" s="191"/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hidden="1" x14ac:dyDescent="0.25">
      <c r="A1442" s="191"/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hidden="1" x14ac:dyDescent="0.25">
      <c r="A1443" s="191"/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hidden="1" x14ac:dyDescent="0.25">
      <c r="A1444" s="191"/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hidden="1" x14ac:dyDescent="0.25">
      <c r="A1445" s="191"/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hidden="1" x14ac:dyDescent="0.25">
      <c r="A1446" s="191"/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hidden="1" x14ac:dyDescent="0.25">
      <c r="A1447" s="191"/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hidden="1" x14ac:dyDescent="0.25">
      <c r="A1448" s="191"/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hidden="1" x14ac:dyDescent="0.25">
      <c r="A1449" s="191"/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hidden="1" x14ac:dyDescent="0.25">
      <c r="A1450" s="191"/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hidden="1" x14ac:dyDescent="0.25">
      <c r="A1451" s="191"/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hidden="1" x14ac:dyDescent="0.25">
      <c r="A1452" s="191"/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hidden="1" x14ac:dyDescent="0.25">
      <c r="A1453" s="191"/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hidden="1" x14ac:dyDescent="0.25">
      <c r="A1454" s="191"/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hidden="1" x14ac:dyDescent="0.25">
      <c r="A1455" s="191"/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hidden="1" x14ac:dyDescent="0.25">
      <c r="A1456" s="191"/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hidden="1" x14ac:dyDescent="0.25">
      <c r="A1457" s="191"/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hidden="1" x14ac:dyDescent="0.25">
      <c r="A1458" s="191"/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hidden="1" x14ac:dyDescent="0.25">
      <c r="A1459" s="191"/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hidden="1" x14ac:dyDescent="0.25">
      <c r="A1460" s="191"/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hidden="1" x14ac:dyDescent="0.25">
      <c r="A1461" s="191"/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hidden="1" x14ac:dyDescent="0.25">
      <c r="A1462" s="191"/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hidden="1" x14ac:dyDescent="0.25">
      <c r="A1463" s="191"/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hidden="1" x14ac:dyDescent="0.25">
      <c r="A1464" s="191"/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hidden="1" x14ac:dyDescent="0.25">
      <c r="A1465" s="191"/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hidden="1" x14ac:dyDescent="0.25">
      <c r="A1466" s="191"/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hidden="1" x14ac:dyDescent="0.25">
      <c r="A1467" s="191"/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hidden="1" x14ac:dyDescent="0.25">
      <c r="A1468" s="191"/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hidden="1" x14ac:dyDescent="0.25">
      <c r="A1469" s="191"/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hidden="1" x14ac:dyDescent="0.25">
      <c r="A1470" s="191"/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hidden="1" x14ac:dyDescent="0.25">
      <c r="A1471" s="191"/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hidden="1" x14ac:dyDescent="0.25">
      <c r="A1472" s="191"/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hidden="1" x14ac:dyDescent="0.25">
      <c r="A1473" s="191"/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hidden="1" x14ac:dyDescent="0.25">
      <c r="A1474" s="191"/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hidden="1" x14ac:dyDescent="0.25">
      <c r="A1475" s="191"/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hidden="1" x14ac:dyDescent="0.25">
      <c r="A1476" s="191"/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hidden="1" x14ac:dyDescent="0.25">
      <c r="A1477" s="191"/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hidden="1" x14ac:dyDescent="0.25">
      <c r="A1478" s="191"/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hidden="1" x14ac:dyDescent="0.25">
      <c r="A1479" s="191"/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hidden="1" x14ac:dyDescent="0.25">
      <c r="A1480" s="191"/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hidden="1" x14ac:dyDescent="0.25">
      <c r="A1481" s="191"/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hidden="1" x14ac:dyDescent="0.25">
      <c r="A1482" s="191"/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hidden="1" x14ac:dyDescent="0.25">
      <c r="A1483" s="191"/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hidden="1" x14ac:dyDescent="0.25">
      <c r="A1484" s="191"/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hidden="1" x14ac:dyDescent="0.25">
      <c r="A1485" s="191"/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hidden="1" x14ac:dyDescent="0.25">
      <c r="A1486" s="191"/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hidden="1" x14ac:dyDescent="0.25">
      <c r="A1487" s="191"/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hidden="1" x14ac:dyDescent="0.25">
      <c r="A1488" s="191"/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hidden="1" x14ac:dyDescent="0.25">
      <c r="A1489" s="191"/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hidden="1" x14ac:dyDescent="0.25">
      <c r="A1490" s="191"/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hidden="1" x14ac:dyDescent="0.25">
      <c r="A1491" s="191"/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hidden="1" x14ac:dyDescent="0.25">
      <c r="A1492" s="191"/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hidden="1" x14ac:dyDescent="0.25">
      <c r="A1493" s="191"/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hidden="1" x14ac:dyDescent="0.25">
      <c r="A1494" s="191"/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hidden="1" x14ac:dyDescent="0.25">
      <c r="A1495" s="191"/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hidden="1" x14ac:dyDescent="0.25">
      <c r="A1496" s="191"/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hidden="1" x14ac:dyDescent="0.25">
      <c r="A1497" s="191"/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hidden="1" x14ac:dyDescent="0.25">
      <c r="A1498" s="191"/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hidden="1" x14ac:dyDescent="0.25">
      <c r="A1499" s="191"/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hidden="1" x14ac:dyDescent="0.25">
      <c r="A1500" s="191"/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hidden="1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hidden="1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hidden="1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hidden="1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hidden="1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hidden="1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hidden="1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hidden="1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hidden="1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hidden="1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hidden="1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hidden="1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hidden="1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hidden="1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hidden="1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hidden="1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hidden="1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hidden="1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hidden="1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hidden="1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hidden="1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hidden="1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hidden="1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hidden="1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hidden="1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hidden="1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hidden="1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hidden="1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hidden="1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hidden="1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hidden="1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hidden="1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hidden="1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hidden="1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hidden="1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hidden="1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hidden="1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hidden="1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hidden="1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hidden="1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hidden="1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hidden="1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hidden="1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hidden="1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hidden="1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hidden="1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hidden="1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hidden="1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hidden="1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hidden="1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hidden="1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hidden="1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hidden="1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hidden="1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hidden="1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hidden="1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hidden="1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hidden="1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hidden="1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hidden="1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hidden="1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hidden="1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hidden="1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hidden="1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hidden="1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hidden="1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hidden="1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hidden="1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hidden="1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hidden="1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hidden="1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hidden="1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hidden="1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hidden="1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hidden="1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hidden="1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hidden="1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hidden="1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hidden="1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hidden="1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hidden="1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hidden="1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hidden="1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hidden="1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hidden="1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hidden="1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hidden="1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hidden="1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hidden="1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hidden="1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hidden="1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hidden="1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hidden="1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hidden="1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hidden="1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hidden="1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hidden="1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hidden="1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hidden="1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hidden="1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hidden="1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hidden="1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hidden="1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hidden="1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hidden="1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hidden="1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hidden="1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hidden="1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hidden="1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hidden="1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hidden="1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hidden="1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hidden="1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hidden="1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hidden="1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hidden="1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hidden="1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hidden="1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hidden="1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hidden="1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hidden="1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hidden="1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hidden="1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hidden="1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hidden="1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hidden="1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hidden="1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hidden="1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hidden="1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hidden="1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hidden="1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hidden="1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hidden="1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hidden="1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hidden="1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hidden="1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hidden="1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hidden="1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hidden="1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hidden="1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hidden="1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hidden="1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hidden="1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hidden="1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hidden="1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hidden="1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hidden="1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hidden="1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hidden="1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hidden="1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hidden="1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hidden="1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hidden="1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hidden="1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hidden="1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hidden="1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hidden="1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hidden="1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hidden="1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hidden="1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hidden="1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hidden="1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hidden="1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hidden="1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hidden="1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hidden="1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hidden="1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hidden="1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hidden="1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hidden="1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hidden="1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hidden="1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hidden="1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hidden="1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hidden="1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hidden="1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hidden="1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hidden="1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hidden="1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hidden="1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hidden="1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hidden="1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hidden="1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hidden="1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hidden="1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hidden="1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hidden="1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hidden="1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hidden="1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hidden="1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hidden="1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hidden="1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hidden="1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hidden="1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hidden="1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hidden="1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hidden="1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hidden="1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hidden="1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hidden="1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hidden="1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hidden="1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hidden="1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hidden="1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hidden="1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hidden="1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hidden="1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hidden="1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hidden="1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hidden="1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hidden="1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hidden="1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hidden="1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hidden="1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hidden="1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hidden="1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hidden="1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hidden="1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hidden="1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hidden="1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hidden="1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hidden="1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hidden="1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hidden="1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hidden="1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hidden="1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hidden="1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hidden="1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hidden="1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hidden="1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hidden="1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hidden="1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hidden="1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hidden="1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hidden="1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hidden="1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hidden="1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hidden="1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hidden="1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hidden="1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hidden="1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hidden="1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hidden="1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hidden="1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hidden="1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hidden="1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hidden="1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hidden="1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hidden="1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hidden="1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hidden="1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hidden="1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hidden="1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hidden="1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hidden="1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hidden="1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hidden="1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hidden="1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hidden="1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hidden="1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hidden="1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hidden="1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hidden="1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hidden="1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hidden="1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hidden="1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hidden="1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hidden="1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hidden="1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hidden="1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hidden="1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hidden="1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hidden="1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hidden="1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hidden="1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hidden="1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hidden="1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hidden="1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hidden="1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hidden="1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hidden="1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hidden="1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hidden="1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hidden="1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hidden="1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hidden="1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hidden="1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hidden="1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hidden="1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hidden="1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hidden="1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hidden="1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hidden="1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hidden="1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hidden="1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hidden="1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hidden="1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hidden="1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hidden="1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hidden="1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hidden="1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hidden="1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hidden="1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hidden="1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hidden="1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hidden="1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hidden="1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hidden="1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hidden="1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hidden="1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hidden="1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hidden="1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hidden="1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hidden="1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hidden="1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hidden="1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hidden="1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hidden="1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hidden="1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hidden="1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hidden="1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hidden="1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hidden="1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hidden="1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hidden="1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hidden="1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hidden="1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hidden="1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hidden="1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hidden="1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hidden="1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hidden="1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hidden="1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hidden="1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hidden="1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hidden="1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hidden="1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hidden="1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hidden="1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hidden="1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hidden="1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hidden="1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hidden="1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hidden="1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hidden="1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hidden="1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hidden="1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hidden="1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hidden="1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hidden="1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hidden="1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hidden="1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hidden="1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hidden="1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hidden="1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hidden="1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hidden="1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hidden="1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hidden="1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hidden="1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hidden="1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hidden="1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hidden="1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hidden="1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hidden="1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hidden="1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hidden="1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hidden="1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hidden="1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hidden="1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hidden="1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hidden="1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hidden="1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hidden="1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hidden="1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hidden="1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hidden="1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hidden="1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hidden="1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hidden="1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hidden="1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hidden="1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hidden="1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hidden="1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hidden="1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hidden="1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hidden="1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hidden="1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hidden="1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hidden="1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hidden="1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hidden="1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hidden="1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hidden="1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hidden="1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hidden="1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hidden="1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hidden="1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hidden="1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hidden="1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hidden="1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hidden="1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hidden="1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hidden="1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hidden="1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hidden="1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hidden="1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hidden="1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hidden="1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hidden="1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hidden="1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hidden="1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hidden="1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hidden="1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hidden="1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hidden="1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hidden="1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hidden="1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hidden="1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hidden="1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hidden="1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hidden="1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hidden="1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hidden="1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hidden="1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hidden="1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hidden="1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hidden="1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hidden="1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hidden="1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hidden="1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hidden="1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hidden="1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hidden="1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hidden="1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hidden="1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hidden="1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hidden="1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hidden="1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hidden="1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hidden="1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hidden="1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hidden="1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hidden="1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hidden="1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hidden="1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hidden="1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hidden="1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hidden="1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hidden="1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hidden="1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hidden="1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hidden="1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hidden="1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hidden="1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hidden="1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hidden="1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hidden="1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hidden="1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hidden="1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hidden="1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hidden="1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hidden="1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hidden="1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hidden="1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hidden="1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hidden="1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hidden="1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hidden="1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hidden="1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hidden="1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hidden="1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hidden="1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hidden="1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hidden="1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hidden="1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hidden="1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hidden="1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hidden="1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hidden="1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hidden="1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hidden="1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hidden="1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hidden="1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hidden="1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hidden="1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hidden="1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hidden="1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hidden="1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hidden="1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hidden="1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hidden="1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hidden="1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hidden="1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hidden="1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hidden="1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hidden="1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hidden="1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hidden="1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hidden="1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hidden="1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hidden="1" x14ac:dyDescent="0.25">
      <c r="A2002" s="175"/>
      <c r="B2002" s="250"/>
      <c r="C2002" s="251"/>
      <c r="D2002" s="251"/>
      <c r="E2002" s="237"/>
      <c r="F2002" s="253"/>
      <c r="G2002" s="254"/>
      <c r="H2002" s="255"/>
      <c r="I2002" s="256"/>
      <c r="J2002" s="256"/>
      <c r="K2002" s="257"/>
      <c r="L2002" s="258"/>
      <c r="M2002" s="259"/>
      <c r="N2002" s="260"/>
      <c r="O2002" s="249"/>
      <c r="P2002" s="249"/>
      <c r="Q2002" s="249"/>
      <c r="R2002" s="249"/>
      <c r="S2002" s="251"/>
      <c r="T2002" s="254"/>
    </row>
    <row r="2003" spans="1:20" ht="15" hidden="1" x14ac:dyDescent="0.25">
      <c r="A2003" s="175"/>
      <c r="B2003" s="250"/>
      <c r="C2003" s="251"/>
      <c r="D2003" s="251"/>
      <c r="E2003" s="237"/>
      <c r="F2003" s="253"/>
      <c r="G2003" s="254"/>
      <c r="H2003" s="255"/>
      <c r="I2003" s="256"/>
      <c r="J2003" s="256"/>
      <c r="K2003" s="257"/>
      <c r="L2003" s="258"/>
      <c r="M2003" s="259"/>
      <c r="N2003" s="260"/>
      <c r="O2003" s="249"/>
      <c r="P2003" s="249"/>
      <c r="Q2003" s="249"/>
      <c r="R2003" s="249"/>
      <c r="S2003" s="251"/>
      <c r="T2003" s="254"/>
    </row>
    <row r="2004" spans="1:20" ht="22.5" hidden="1" customHeight="1" x14ac:dyDescent="0.25">
      <c r="A2004" s="175"/>
      <c r="B2004" s="239"/>
      <c r="C2004" s="240"/>
      <c r="D2004" s="240"/>
      <c r="E2004" s="237"/>
      <c r="F2004" s="241"/>
      <c r="G2004" s="242"/>
      <c r="H2004" s="243"/>
      <c r="I2004" s="244"/>
      <c r="J2004" s="244"/>
      <c r="K2004" s="245"/>
      <c r="L2004" s="246"/>
      <c r="M2004" s="247"/>
      <c r="N2004" s="248"/>
      <c r="O2004" s="238"/>
      <c r="P2004" s="238"/>
      <c r="Q2004" s="238"/>
      <c r="R2004" s="238"/>
      <c r="S2004" s="240"/>
      <c r="T2004" s="242"/>
    </row>
    <row r="2005" spans="1:20" ht="22.5" hidden="1" customHeight="1" x14ac:dyDescent="0.25">
      <c r="A2005" s="175"/>
      <c r="B2005" s="250"/>
      <c r="C2005" s="251"/>
      <c r="D2005" s="251"/>
      <c r="E2005" s="237"/>
      <c r="F2005" s="253"/>
      <c r="G2005" s="254"/>
      <c r="H2005" s="255"/>
      <c r="I2005" s="256"/>
      <c r="J2005" s="256"/>
      <c r="K2005" s="257"/>
      <c r="L2005" s="258"/>
      <c r="M2005" s="259"/>
      <c r="N2005" s="260"/>
      <c r="O2005" s="249"/>
      <c r="P2005" s="249"/>
      <c r="Q2005" s="249"/>
      <c r="R2005" s="249"/>
      <c r="S2005" s="251"/>
      <c r="T2005" s="254"/>
    </row>
    <row r="2006" spans="1:20" ht="22.5" hidden="1" customHeight="1" x14ac:dyDescent="0.25">
      <c r="A2006" s="175"/>
      <c r="B2006" s="239"/>
      <c r="C2006" s="240"/>
      <c r="D2006" s="240"/>
      <c r="E2006" s="237"/>
      <c r="F2006" s="241"/>
      <c r="G2006" s="242"/>
      <c r="H2006" s="243"/>
      <c r="I2006" s="244"/>
      <c r="J2006" s="244"/>
      <c r="K2006" s="245"/>
      <c r="L2006" s="246"/>
      <c r="M2006" s="247"/>
      <c r="N2006" s="248"/>
      <c r="O2006" s="238"/>
      <c r="P2006" s="238"/>
      <c r="Q2006" s="238"/>
      <c r="R2006" s="238"/>
      <c r="S2006" s="240"/>
      <c r="T2006" s="242"/>
    </row>
    <row r="2007" spans="1:20" ht="22.5" hidden="1" customHeight="1" x14ac:dyDescent="0.25">
      <c r="A2007" s="249"/>
      <c r="B2007" s="250"/>
      <c r="C2007" s="251"/>
      <c r="D2007" s="251"/>
      <c r="E2007" s="252"/>
      <c r="F2007" s="253"/>
      <c r="G2007" s="254"/>
      <c r="H2007" s="255"/>
      <c r="I2007" s="256"/>
      <c r="J2007" s="256"/>
      <c r="K2007" s="257"/>
      <c r="L2007" s="258"/>
      <c r="M2007" s="259"/>
      <c r="N2007" s="260"/>
      <c r="O2007" s="249"/>
      <c r="P2007" s="249"/>
      <c r="Q2007" s="249"/>
      <c r="R2007" s="249"/>
      <c r="S2007" s="251"/>
      <c r="T2007" s="25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7" priority="3">
      <formula>TRIM(C2)="Realizado"</formula>
    </cfRule>
  </conditionalFormatting>
  <conditionalFormatting sqref="C2:C2007">
    <cfRule type="expression" dxfId="6" priority="4">
      <formula>TRIM(C2)="Cancelado"</formula>
    </cfRule>
  </conditionalFormatting>
  <conditionalFormatting sqref="C2:C2007">
    <cfRule type="expression" dxfId="5" priority="5">
      <formula>TRIM(C2)="Em andamento"</formula>
    </cfRule>
  </conditionalFormatting>
  <conditionalFormatting sqref="C2:C2007">
    <cfRule type="expression" dxfId="4" priority="6">
      <formula>TRIM(C2)="Adiado"</formula>
    </cfRule>
  </conditionalFormatting>
  <conditionalFormatting sqref="A2:A2007">
    <cfRule type="expression" dxfId="3" priority="7">
      <formula>AND($B2&lt;&gt;"",$A2="")</formula>
    </cfRule>
  </conditionalFormatting>
  <conditionalFormatting sqref="L2:M2007">
    <cfRule type="expression" dxfId="2" priority="8">
      <formula>L2=""</formula>
    </cfRule>
  </conditionalFormatting>
  <conditionalFormatting sqref="A2:T726 A727:C727 E727:T727 A2002:A2006 E2007 A728:T2001">
    <cfRule type="expression" dxfId="1" priority="9">
      <formula>MOD(ROW(),2)=0</formula>
    </cfRule>
  </conditionalFormatting>
  <conditionalFormatting sqref="A2:T726 A727:C727 E727:T727 A2002:A2006 E2007 A728:T2001">
    <cfRule type="expression" dxfId="0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I725:J2001 H2002:I1048576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2969</v>
      </c>
      <c r="H1" s="214" t="s">
        <v>2970</v>
      </c>
    </row>
    <row r="2" spans="1:8" x14ac:dyDescent="0.25">
      <c r="H2" s="213" t="s">
        <v>2971</v>
      </c>
    </row>
    <row r="3" spans="1:8" x14ac:dyDescent="0.25">
      <c r="A3" t="s">
        <v>0</v>
      </c>
      <c r="B3" t="s">
        <v>19</v>
      </c>
      <c r="C3" t="s">
        <v>2972</v>
      </c>
      <c r="D3" t="s">
        <v>2973</v>
      </c>
      <c r="E3" t="s">
        <v>2974</v>
      </c>
      <c r="H3" s="213" t="s">
        <v>2975</v>
      </c>
    </row>
    <row r="4" spans="1:8" x14ac:dyDescent="0.25">
      <c r="A4">
        <v>1</v>
      </c>
      <c r="B4" t="s">
        <v>2976</v>
      </c>
      <c r="D4" t="s">
        <v>2977</v>
      </c>
      <c r="E4" s="215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3" t="s">
        <v>2978</v>
      </c>
    </row>
    <row r="5" spans="1:8" x14ac:dyDescent="0.25">
      <c r="A5">
        <v>2</v>
      </c>
      <c r="B5" t="s">
        <v>2507</v>
      </c>
      <c r="D5" t="s">
        <v>2977</v>
      </c>
      <c r="E5" s="215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3" t="s">
        <v>2979</v>
      </c>
    </row>
    <row r="6" spans="1:8" x14ac:dyDescent="0.25">
      <c r="A6">
        <v>3</v>
      </c>
      <c r="B6" t="s">
        <v>1030</v>
      </c>
      <c r="D6" t="s">
        <v>2977</v>
      </c>
      <c r="E6" s="215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3"/>
    </row>
    <row r="7" spans="1:8" x14ac:dyDescent="0.25">
      <c r="A7">
        <v>4</v>
      </c>
      <c r="B7" t="s">
        <v>2980</v>
      </c>
      <c r="D7" t="s">
        <v>2977</v>
      </c>
      <c r="E7" s="215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4" t="s">
        <v>2981</v>
      </c>
    </row>
    <row r="8" spans="1:8" x14ac:dyDescent="0.25">
      <c r="A8">
        <v>5</v>
      </c>
      <c r="B8" t="s">
        <v>2982</v>
      </c>
      <c r="D8" t="s">
        <v>2977</v>
      </c>
      <c r="E8" s="215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2977</v>
      </c>
      <c r="E9" s="215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2977</v>
      </c>
      <c r="E10" s="215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2977</v>
      </c>
      <c r="E11" s="215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2730</v>
      </c>
      <c r="D12" t="s">
        <v>2977</v>
      </c>
      <c r="E12" s="215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2977</v>
      </c>
      <c r="E13" s="215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2977</v>
      </c>
      <c r="E14" s="215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2698</v>
      </c>
      <c r="D15" t="s">
        <v>2977</v>
      </c>
      <c r="E15" s="215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2977</v>
      </c>
      <c r="E16" s="215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2977</v>
      </c>
      <c r="E17" s="215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2977</v>
      </c>
      <c r="E18" s="215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2977</v>
      </c>
      <c r="E19" s="215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2977</v>
      </c>
      <c r="E20" s="215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2977</v>
      </c>
      <c r="E21" s="215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2977</v>
      </c>
      <c r="E22" s="215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2983</v>
      </c>
      <c r="D23" t="s">
        <v>2977</v>
      </c>
      <c r="E23" s="215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2977</v>
      </c>
      <c r="E24" s="215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2984</v>
      </c>
      <c r="D25" t="s">
        <v>2977</v>
      </c>
      <c r="E25" s="215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2985</v>
      </c>
      <c r="D26" t="s">
        <v>2977</v>
      </c>
      <c r="E26" s="215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2977</v>
      </c>
      <c r="E27" s="215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2977</v>
      </c>
      <c r="E28" s="215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2986</v>
      </c>
      <c r="D29" t="s">
        <v>2977</v>
      </c>
      <c r="E29" s="215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2977</v>
      </c>
      <c r="E30" s="215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2977</v>
      </c>
      <c r="E31" s="215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2977</v>
      </c>
      <c r="E32" s="215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2987</v>
      </c>
      <c r="D33" t="s">
        <v>2977</v>
      </c>
      <c r="E33" s="215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2988</v>
      </c>
      <c r="D34" t="s">
        <v>2977</v>
      </c>
      <c r="E34" s="215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2977</v>
      </c>
      <c r="E35" s="215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2977</v>
      </c>
      <c r="E36" s="215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2977</v>
      </c>
      <c r="E37" s="215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2989</v>
      </c>
      <c r="D38" t="s">
        <v>2977</v>
      </c>
      <c r="E38" s="215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37</v>
      </c>
      <c r="B39" t="s">
        <v>2154</v>
      </c>
      <c r="D39" t="s">
        <v>2977</v>
      </c>
      <c r="E39" s="215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38</v>
      </c>
      <c r="B40" t="s">
        <v>2990</v>
      </c>
      <c r="D40" t="s">
        <v>2977</v>
      </c>
      <c r="E40" s="215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39</v>
      </c>
      <c r="B41" t="s">
        <v>2583</v>
      </c>
      <c r="D41" t="s">
        <v>2977</v>
      </c>
      <c r="E41" s="215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40</v>
      </c>
      <c r="B42" t="s">
        <v>2991</v>
      </c>
      <c r="D42" t="s">
        <v>2977</v>
      </c>
      <c r="E42" s="215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41</v>
      </c>
      <c r="B43" t="s">
        <v>862</v>
      </c>
      <c r="D43" t="s">
        <v>2977</v>
      </c>
      <c r="E43" s="215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42</v>
      </c>
      <c r="B44" t="s">
        <v>717</v>
      </c>
      <c r="D44" t="s">
        <v>2977</v>
      </c>
      <c r="E44" s="215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43</v>
      </c>
      <c r="B45" t="s">
        <v>2992</v>
      </c>
      <c r="D45" t="s">
        <v>2977</v>
      </c>
      <c r="E45" s="215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44</v>
      </c>
      <c r="B46" t="s">
        <v>2161</v>
      </c>
      <c r="D46" t="s">
        <v>2977</v>
      </c>
      <c r="E46" s="215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45</v>
      </c>
      <c r="B47" t="s">
        <v>218</v>
      </c>
      <c r="D47" t="s">
        <v>2977</v>
      </c>
      <c r="E47" s="215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46</v>
      </c>
      <c r="B48" t="s">
        <v>973</v>
      </c>
      <c r="D48" t="s">
        <v>2977</v>
      </c>
      <c r="E48" s="215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47</v>
      </c>
      <c r="B49" t="s">
        <v>1407</v>
      </c>
      <c r="D49" t="s">
        <v>2977</v>
      </c>
      <c r="E49" s="215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48</v>
      </c>
      <c r="B50" t="s">
        <v>2993</v>
      </c>
      <c r="D50" t="s">
        <v>2977</v>
      </c>
      <c r="E50" s="215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49</v>
      </c>
      <c r="B51" t="s">
        <v>2928</v>
      </c>
      <c r="D51" t="s">
        <v>2977</v>
      </c>
      <c r="E51" s="215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50</v>
      </c>
      <c r="B52" t="s">
        <v>2994</v>
      </c>
      <c r="D52" t="s">
        <v>2977</v>
      </c>
      <c r="E52" s="215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51</v>
      </c>
      <c r="B53" t="s">
        <v>1062</v>
      </c>
      <c r="D53" t="s">
        <v>2977</v>
      </c>
      <c r="E53" s="215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52</v>
      </c>
      <c r="B54" t="s">
        <v>1759</v>
      </c>
      <c r="D54" t="s">
        <v>2977</v>
      </c>
      <c r="E54" s="215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53</v>
      </c>
      <c r="B55" t="s">
        <v>2995</v>
      </c>
      <c r="D55" t="s">
        <v>2977</v>
      </c>
      <c r="E55" s="215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54</v>
      </c>
      <c r="B56" t="s">
        <v>81</v>
      </c>
      <c r="D56" t="s">
        <v>2977</v>
      </c>
      <c r="E56" s="215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55</v>
      </c>
      <c r="B57" t="s">
        <v>1103</v>
      </c>
      <c r="D57" t="s">
        <v>2977</v>
      </c>
      <c r="E57" s="215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56</v>
      </c>
      <c r="B58" t="s">
        <v>2055</v>
      </c>
      <c r="D58" t="s">
        <v>2977</v>
      </c>
      <c r="E58" s="215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57</v>
      </c>
      <c r="B59" t="s">
        <v>2996</v>
      </c>
      <c r="D59" t="s">
        <v>2977</v>
      </c>
      <c r="E59" s="215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58</v>
      </c>
      <c r="B60" t="s">
        <v>1880</v>
      </c>
      <c r="D60" t="s">
        <v>2977</v>
      </c>
      <c r="E60" s="215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59</v>
      </c>
      <c r="B61" t="s">
        <v>2089</v>
      </c>
      <c r="D61" t="s">
        <v>2977</v>
      </c>
      <c r="E61" s="215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60</v>
      </c>
      <c r="B62" t="s">
        <v>2021</v>
      </c>
      <c r="D62" t="s">
        <v>2977</v>
      </c>
      <c r="E62" s="215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61</v>
      </c>
      <c r="B63" t="s">
        <v>2997</v>
      </c>
      <c r="D63" t="s">
        <v>2977</v>
      </c>
      <c r="E63" s="215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62</v>
      </c>
      <c r="B64" t="s">
        <v>2998</v>
      </c>
      <c r="D64" t="s">
        <v>2977</v>
      </c>
      <c r="E64" s="215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63</v>
      </c>
      <c r="B65" t="s">
        <v>2999</v>
      </c>
      <c r="D65" t="s">
        <v>2977</v>
      </c>
      <c r="E65" s="215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64</v>
      </c>
      <c r="B66" t="s">
        <v>3000</v>
      </c>
      <c r="D66" t="s">
        <v>2977</v>
      </c>
      <c r="E66" s="215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65</v>
      </c>
      <c r="B67" t="s">
        <v>2710</v>
      </c>
      <c r="D67" t="s">
        <v>2977</v>
      </c>
      <c r="E67" s="215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66</v>
      </c>
      <c r="B68" t="s">
        <v>2556</v>
      </c>
      <c r="D68" t="s">
        <v>2977</v>
      </c>
      <c r="E68" s="215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67</v>
      </c>
      <c r="B69" t="s">
        <v>3001</v>
      </c>
      <c r="D69" t="s">
        <v>2977</v>
      </c>
      <c r="E69" s="215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68</v>
      </c>
      <c r="B70" t="s">
        <v>3002</v>
      </c>
      <c r="D70" t="s">
        <v>2977</v>
      </c>
      <c r="E70" s="215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69</v>
      </c>
      <c r="B71" t="s">
        <v>2457</v>
      </c>
      <c r="D71" t="s">
        <v>2977</v>
      </c>
      <c r="E71" s="215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70</v>
      </c>
      <c r="B72" t="s">
        <v>3003</v>
      </c>
      <c r="D72" t="s">
        <v>2977</v>
      </c>
      <c r="E72" s="215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71</v>
      </c>
      <c r="B73" t="s">
        <v>2670</v>
      </c>
      <c r="D73" t="s">
        <v>2977</v>
      </c>
      <c r="E73" s="215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72</v>
      </c>
      <c r="B74" t="s">
        <v>2322</v>
      </c>
      <c r="D74" t="s">
        <v>2977</v>
      </c>
      <c r="E74" s="215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73</v>
      </c>
      <c r="B75" t="s">
        <v>2301</v>
      </c>
      <c r="D75" t="s">
        <v>2977</v>
      </c>
      <c r="E75" s="215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74</v>
      </c>
      <c r="B76" t="s">
        <v>3004</v>
      </c>
      <c r="D76" t="s">
        <v>2977</v>
      </c>
      <c r="E76" s="215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75</v>
      </c>
      <c r="B77" t="s">
        <v>115</v>
      </c>
      <c r="D77" t="s">
        <v>2977</v>
      </c>
      <c r="E77" s="215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76</v>
      </c>
      <c r="B78" t="s">
        <v>942</v>
      </c>
      <c r="D78" t="s">
        <v>2977</v>
      </c>
      <c r="E78" s="215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77</v>
      </c>
      <c r="B79" t="s">
        <v>803</v>
      </c>
      <c r="D79" t="s">
        <v>2977</v>
      </c>
      <c r="E79" s="215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78</v>
      </c>
      <c r="B80" t="s">
        <v>425</v>
      </c>
      <c r="D80" t="s">
        <v>2977</v>
      </c>
      <c r="E80" s="215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79</v>
      </c>
      <c r="B81" t="s">
        <v>3005</v>
      </c>
      <c r="D81" t="s">
        <v>2977</v>
      </c>
      <c r="E81" s="215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80</v>
      </c>
      <c r="B82" t="s">
        <v>3006</v>
      </c>
      <c r="D82" t="s">
        <v>2977</v>
      </c>
      <c r="E82" s="215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81</v>
      </c>
      <c r="B83" t="s">
        <v>3007</v>
      </c>
      <c r="D83" t="s">
        <v>2977</v>
      </c>
      <c r="E83" s="215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82</v>
      </c>
      <c r="B84" t="s">
        <v>3008</v>
      </c>
      <c r="D84" t="s">
        <v>2977</v>
      </c>
      <c r="E84" s="215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83</v>
      </c>
      <c r="B85" t="s">
        <v>2482</v>
      </c>
      <c r="D85" t="s">
        <v>2977</v>
      </c>
      <c r="E85" s="215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84</v>
      </c>
      <c r="B86" t="s">
        <v>3009</v>
      </c>
      <c r="D86" t="s">
        <v>2977</v>
      </c>
      <c r="E86" s="215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85</v>
      </c>
      <c r="B87" t="s">
        <v>2578</v>
      </c>
      <c r="D87" t="s">
        <v>2977</v>
      </c>
      <c r="E87" s="215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86</v>
      </c>
      <c r="B88" t="s">
        <v>3010</v>
      </c>
      <c r="D88" t="s">
        <v>2977</v>
      </c>
      <c r="E88" s="215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87</v>
      </c>
      <c r="B89" t="s">
        <v>3011</v>
      </c>
      <c r="D89" t="s">
        <v>2977</v>
      </c>
      <c r="E89" s="215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88</v>
      </c>
      <c r="B90" t="s">
        <v>3012</v>
      </c>
      <c r="D90" t="s">
        <v>2977</v>
      </c>
      <c r="E90" s="215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89</v>
      </c>
      <c r="B91" t="s">
        <v>3013</v>
      </c>
      <c r="D91" t="s">
        <v>2977</v>
      </c>
      <c r="E91" s="215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90</v>
      </c>
      <c r="B92" t="s">
        <v>3014</v>
      </c>
      <c r="D92" t="s">
        <v>2977</v>
      </c>
      <c r="E92" s="215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91</v>
      </c>
      <c r="B93" t="s">
        <v>3015</v>
      </c>
      <c r="D93" t="s">
        <v>2977</v>
      </c>
      <c r="E93" s="215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92</v>
      </c>
      <c r="B94" t="s">
        <v>3016</v>
      </c>
      <c r="D94" t="s">
        <v>2977</v>
      </c>
      <c r="E94" s="215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93</v>
      </c>
      <c r="B95" t="s">
        <v>3017</v>
      </c>
      <c r="D95" t="s">
        <v>2977</v>
      </c>
      <c r="E95" s="215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94</v>
      </c>
      <c r="B96" t="s">
        <v>3018</v>
      </c>
      <c r="D96" t="s">
        <v>2977</v>
      </c>
      <c r="E96" s="215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95</v>
      </c>
      <c r="B97" t="s">
        <v>2959</v>
      </c>
      <c r="D97" t="s">
        <v>2977</v>
      </c>
      <c r="E97" s="215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96</v>
      </c>
      <c r="B98" t="s">
        <v>3019</v>
      </c>
      <c r="D98" t="s">
        <v>2977</v>
      </c>
      <c r="E98" s="215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97</v>
      </c>
      <c r="B99" t="s">
        <v>2949</v>
      </c>
      <c r="D99" t="s">
        <v>2977</v>
      </c>
      <c r="E99" s="215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98</v>
      </c>
      <c r="B100" t="s">
        <v>3020</v>
      </c>
      <c r="D100" t="s">
        <v>2977</v>
      </c>
      <c r="E100" s="215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99</v>
      </c>
      <c r="B101" t="s">
        <v>3021</v>
      </c>
      <c r="D101" t="s">
        <v>2977</v>
      </c>
      <c r="E101" s="215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100</v>
      </c>
      <c r="B102" t="s">
        <v>3022</v>
      </c>
      <c r="D102" t="s">
        <v>2977</v>
      </c>
      <c r="E102" s="215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101</v>
      </c>
      <c r="B103" t="s">
        <v>3023</v>
      </c>
      <c r="D103" t="s">
        <v>2977</v>
      </c>
      <c r="E103" s="215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102</v>
      </c>
      <c r="B104" t="s">
        <v>2879</v>
      </c>
      <c r="D104" t="s">
        <v>2977</v>
      </c>
      <c r="E104" s="215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103</v>
      </c>
      <c r="B105" t="s">
        <v>3024</v>
      </c>
      <c r="D105" t="s">
        <v>2977</v>
      </c>
      <c r="E105" s="215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104</v>
      </c>
      <c r="B106" t="s">
        <v>3025</v>
      </c>
      <c r="D106" t="s">
        <v>2977</v>
      </c>
      <c r="E106" s="215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105</v>
      </c>
      <c r="B107" t="s">
        <v>3026</v>
      </c>
      <c r="D107" t="s">
        <v>2977</v>
      </c>
      <c r="E107" s="215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106</v>
      </c>
      <c r="B108" t="s">
        <v>2817</v>
      </c>
      <c r="D108" t="s">
        <v>2977</v>
      </c>
      <c r="E108" s="215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107</v>
      </c>
      <c r="B109" t="s">
        <v>2763</v>
      </c>
      <c r="D109" t="s">
        <v>2977</v>
      </c>
      <c r="E109" s="215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13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40" activePane="bottomLeft" state="frozen"/>
      <selection pane="bottomLeft" activeCell="D112" sqref="D112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3027</v>
      </c>
      <c r="C1" s="19" t="s">
        <v>3028</v>
      </c>
      <c r="D1" s="19" t="s">
        <v>4</v>
      </c>
      <c r="E1" s="19" t="s">
        <v>3029</v>
      </c>
      <c r="F1" s="19" t="s">
        <v>19</v>
      </c>
      <c r="G1" s="19" t="s">
        <v>3030</v>
      </c>
      <c r="H1" s="19" t="s">
        <v>3031</v>
      </c>
      <c r="I1" s="19" t="s">
        <v>3032</v>
      </c>
      <c r="J1" s="19" t="s">
        <v>3033</v>
      </c>
      <c r="L1" s="112" t="s">
        <v>3034</v>
      </c>
      <c r="M1" s="23">
        <v>2026</v>
      </c>
      <c r="U1" s="80" t="s">
        <v>3035</v>
      </c>
      <c r="V1" s="79"/>
      <c r="X1" s="78" t="s">
        <v>3036</v>
      </c>
      <c r="Y1" s="27"/>
      <c r="Z1" s="27"/>
      <c r="AA1" s="27"/>
      <c r="AC1" s="100" t="s">
        <v>3037</v>
      </c>
    </row>
    <row r="2" spans="1:31" x14ac:dyDescent="0.25">
      <c r="A2" s="21" cm="1">
        <f t="array" ref="A2:J11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v>2026-044</v>
      </c>
      <c r="C2" s="21" t="str">
        <v>A realizar</v>
      </c>
      <c r="D2" s="18" t="str">
        <v>31º SEMAT</v>
      </c>
      <c r="E2" s="20">
        <v>8</v>
      </c>
      <c r="F2" s="18" t="str">
        <v>José Roberto Alcuri Júnior</v>
      </c>
      <c r="G2" s="20">
        <v>10</v>
      </c>
      <c r="H2" s="22">
        <v>1</v>
      </c>
      <c r="I2" s="22">
        <v>0.3</v>
      </c>
      <c r="J2" s="22">
        <v>1.3</v>
      </c>
      <c r="L2" s="113" t="s">
        <v>3038</v>
      </c>
      <c r="M2" s="107" t="s">
        <v>2914</v>
      </c>
      <c r="X2" s="114" t="s">
        <v>3027</v>
      </c>
      <c r="Y2" s="114" t="s">
        <v>19</v>
      </c>
      <c r="Z2" s="114" t="s">
        <v>3039</v>
      </c>
      <c r="AA2" s="114" t="s">
        <v>3040</v>
      </c>
      <c r="AC2" s="115" t="s">
        <v>1</v>
      </c>
      <c r="AD2" s="115" t="s">
        <v>3041</v>
      </c>
      <c r="AE2" s="115" t="s">
        <v>3042</v>
      </c>
    </row>
    <row r="3" spans="1:31" x14ac:dyDescent="0.25">
      <c r="A3" s="21">
        <v>2026</v>
      </c>
      <c r="B3" s="21" t="str">
        <v>2026-044</v>
      </c>
      <c r="C3" s="21" t="str">
        <v>A realizar</v>
      </c>
      <c r="D3" s="18" t="str">
        <v>31º SEMAT</v>
      </c>
      <c r="E3" s="20">
        <v>8</v>
      </c>
      <c r="F3" s="18" t="str">
        <v>Felipe Ramos Barbosa</v>
      </c>
      <c r="G3" s="20">
        <v>10</v>
      </c>
      <c r="H3" s="22">
        <v>1</v>
      </c>
      <c r="I3" s="22">
        <v>0.3</v>
      </c>
      <c r="J3" s="22">
        <v>1.3</v>
      </c>
      <c r="L3" s="113" t="s">
        <v>3043</v>
      </c>
      <c r="M3" s="113" t="s">
        <v>3044</v>
      </c>
      <c r="N3" s="113" t="s">
        <v>3045</v>
      </c>
      <c r="O3" s="113" t="s">
        <v>3046</v>
      </c>
      <c r="P3" s="113" t="s">
        <v>3047</v>
      </c>
      <c r="Q3" s="113" t="s">
        <v>3048</v>
      </c>
      <c r="R3" s="113" t="s">
        <v>3049</v>
      </c>
      <c r="S3" s="113" t="s">
        <v>3050</v>
      </c>
      <c r="T3" s="113" t="s">
        <v>3051</v>
      </c>
      <c r="X3" t="s">
        <v>2790</v>
      </c>
      <c r="Y3" t="s">
        <v>2990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v>2026</v>
      </c>
      <c r="B4" s="21" t="str">
        <v>2026-044</v>
      </c>
      <c r="C4" s="21" t="str">
        <v>A realizar</v>
      </c>
      <c r="D4" s="18" t="str">
        <v>31º SEMAT</v>
      </c>
      <c r="E4" s="20">
        <v>8</v>
      </c>
      <c r="F4" s="18" t="str">
        <v>Carolina Pereira de Oliveira</v>
      </c>
      <c r="G4" s="20">
        <v>10</v>
      </c>
      <c r="H4" s="22">
        <v>1</v>
      </c>
      <c r="I4" s="22">
        <v>0.3</v>
      </c>
      <c r="J4" s="22">
        <v>1.3</v>
      </c>
      <c r="L4" cm="1">
        <f t="array" ref="L4:Q56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v>2026-044</v>
      </c>
      <c r="N4" t="str">
        <v>A realizar</v>
      </c>
      <c r="O4" t="str">
        <v>31º SEMAT</v>
      </c>
      <c r="P4">
        <v>8</v>
      </c>
      <c r="Q4" t="str"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ref="R4:R200">IF(L4:L200="","",IF(ISERROR(FIND("; ",Q4:Q200)),1,(LEN(Q4:Q200)-LEN(SUBSTITUTE(Q4:Q200,"; ","")))/2+1))</f>
        <v>10</v>
      </c>
      <c r="S4" cm="1">
        <f t="array" ref="S4:S200">IF(R4:R200="","",_xlfn.SCAN(0,R4:R200,_xlfn.LAMBDA(_xlpm.a,_xlpm.b,IF(_xlpm.b="","",_xlpm.a+_xlpm.b))))</f>
        <v>10</v>
      </c>
      <c r="T4" cm="1">
        <f t="array" ref="T4:T57">_xlfn.VSTACK(0,_xlfn._xlws.FILTER(S4:S200,S4:S200&lt;&gt;""))</f>
        <v>0</v>
      </c>
      <c r="X4" t="s">
        <v>2790</v>
      </c>
      <c r="Y4" t="s">
        <v>2730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v>2026</v>
      </c>
      <c r="B5" s="21" t="str">
        <v>2026-044</v>
      </c>
      <c r="C5" s="21" t="str">
        <v>A realizar</v>
      </c>
      <c r="D5" s="18" t="str">
        <v>31º SEMAT</v>
      </c>
      <c r="E5" s="20">
        <v>8</v>
      </c>
      <c r="F5" s="18" t="str">
        <v>Eustáquio Rabelo de Souza</v>
      </c>
      <c r="G5" s="20">
        <v>10</v>
      </c>
      <c r="H5" s="22">
        <v>1</v>
      </c>
      <c r="I5" s="22">
        <v>0.3</v>
      </c>
      <c r="J5" s="22">
        <v>1.3</v>
      </c>
      <c r="L5">
        <v>2026</v>
      </c>
      <c r="M5" t="str">
        <v>2026-054</v>
      </c>
      <c r="N5" t="str">
        <v>A realizar</v>
      </c>
      <c r="O5" t="str">
        <v>Café e Tertúlia: Encerramento da Semana da Saúde</v>
      </c>
      <c r="P5">
        <v>2</v>
      </c>
      <c r="Q5" t="str">
        <v>Cinthia Thais de Carvalho Luz Thomazi; Gabriel Heller; Isac Mendes Caixeta de Pamplona Araújo; Valéria Feitoza</v>
      </c>
      <c r="R5">
        <v>4</v>
      </c>
      <c r="S5">
        <v>14</v>
      </c>
      <c r="T5">
        <v>10</v>
      </c>
      <c r="X5" t="s">
        <v>2755</v>
      </c>
      <c r="Y5" t="s">
        <v>2730</v>
      </c>
      <c r="Z5">
        <v>1</v>
      </c>
      <c r="AA5">
        <v>0.6</v>
      </c>
      <c r="AC5" s="97">
        <v>2026</v>
      </c>
      <c r="AD5" s="18" t="s">
        <v>3052</v>
      </c>
      <c r="AE5" s="98">
        <v>16</v>
      </c>
    </row>
    <row r="6" spans="1:31" x14ac:dyDescent="0.25">
      <c r="A6" s="21">
        <v>2026</v>
      </c>
      <c r="B6" s="21" t="str">
        <v>2026-044</v>
      </c>
      <c r="C6" s="21" t="str">
        <v>A realizar</v>
      </c>
      <c r="D6" s="18" t="str">
        <v>31º SEMAT</v>
      </c>
      <c r="E6" s="20">
        <v>8</v>
      </c>
      <c r="F6" s="18" t="str">
        <v>Alinne Patrícia de Andrade Carvalho</v>
      </c>
      <c r="G6" s="20">
        <v>10</v>
      </c>
      <c r="H6" s="22">
        <v>0</v>
      </c>
      <c r="I6" s="22">
        <v>0</v>
      </c>
      <c r="J6" s="22">
        <v>0</v>
      </c>
      <c r="L6">
        <v>2026</v>
      </c>
      <c r="M6" t="str">
        <v>2026-001</v>
      </c>
      <c r="N6" t="str">
        <v>Realizado</v>
      </c>
      <c r="O6" t="str">
        <v>Contratação de TIC</v>
      </c>
      <c r="P6">
        <v>8</v>
      </c>
      <c r="Q6" t="str">
        <v>Flávio José Fonseca de Souza</v>
      </c>
      <c r="R6">
        <v>1</v>
      </c>
      <c r="S6">
        <v>15</v>
      </c>
      <c r="T6">
        <v>14</v>
      </c>
      <c r="X6" t="s">
        <v>2755</v>
      </c>
      <c r="Y6" t="s">
        <v>2990</v>
      </c>
      <c r="Z6">
        <v>1</v>
      </c>
      <c r="AA6">
        <v>0</v>
      </c>
      <c r="AC6" s="97">
        <v>2026</v>
      </c>
      <c r="AD6" s="18" t="s">
        <v>3053</v>
      </c>
      <c r="AE6" s="98">
        <v>16</v>
      </c>
    </row>
    <row r="7" spans="1:31" x14ac:dyDescent="0.25">
      <c r="A7" s="21">
        <v>2026</v>
      </c>
      <c r="B7" s="21" t="str">
        <v>2026-044</v>
      </c>
      <c r="C7" s="21" t="str">
        <v>A realizar</v>
      </c>
      <c r="D7" s="18" t="str">
        <v>31º SEMAT</v>
      </c>
      <c r="E7" s="20">
        <v>8</v>
      </c>
      <c r="F7" s="18" t="str">
        <v>Silvia Lima Damasceno Carvalho</v>
      </c>
      <c r="G7" s="20">
        <v>10</v>
      </c>
      <c r="H7" s="22">
        <v>1</v>
      </c>
      <c r="I7" s="22">
        <v>0.3</v>
      </c>
      <c r="J7" s="22">
        <v>1.3</v>
      </c>
      <c r="L7">
        <v>2026</v>
      </c>
      <c r="M7" t="str">
        <v>2026-066</v>
      </c>
      <c r="N7" t="str">
        <v>A realizar</v>
      </c>
      <c r="O7" t="str">
        <v>Contratações de TIC com base na jurisprudência do TCDF - EAD</v>
      </c>
      <c r="P7">
        <v>17.45</v>
      </c>
      <c r="Q7" t="str">
        <v>Flávio José Fonseca de Souza; Felipe da Costa Malaquias</v>
      </c>
      <c r="R7">
        <v>2</v>
      </c>
      <c r="S7">
        <v>17</v>
      </c>
      <c r="T7">
        <v>15</v>
      </c>
      <c r="X7" s="21" t="s">
        <v>2705</v>
      </c>
      <c r="Y7" t="s">
        <v>2710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v>2026</v>
      </c>
      <c r="B8" s="21" t="str">
        <v>2026-044</v>
      </c>
      <c r="C8" s="21" t="str">
        <v>A realizar</v>
      </c>
      <c r="D8" s="18" t="str">
        <v>31º SEMAT</v>
      </c>
      <c r="E8" s="20">
        <v>8</v>
      </c>
      <c r="F8" s="18" t="str">
        <v>Marcelo Silva Santana</v>
      </c>
      <c r="G8" s="20">
        <v>10</v>
      </c>
      <c r="H8" s="22">
        <v>8</v>
      </c>
      <c r="I8" s="22">
        <v>0.24</v>
      </c>
      <c r="J8" s="22">
        <v>8.24</v>
      </c>
      <c r="L8">
        <v>2026</v>
      </c>
      <c r="M8" t="str">
        <v>2026-034</v>
      </c>
      <c r="N8" t="str">
        <v>Realizado</v>
      </c>
      <c r="O8" t="str">
        <v>Curso “Sisaudit na Prática”</v>
      </c>
      <c r="P8">
        <v>12</v>
      </c>
      <c r="Q8" t="str">
        <v>Davi Assunção Salvador Nery de Castro; David da Silva de Araújo; Hamilton de Jesus Lopes Neto</v>
      </c>
      <c r="R8">
        <v>3</v>
      </c>
      <c r="S8">
        <v>20</v>
      </c>
      <c r="T8">
        <v>17</v>
      </c>
      <c r="X8" t="s">
        <v>2689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v>2026</v>
      </c>
      <c r="B9" s="21" t="str">
        <v>2026-044</v>
      </c>
      <c r="C9" s="21" t="str">
        <v>A realizar</v>
      </c>
      <c r="D9" s="18" t="str">
        <v>31º SEMAT</v>
      </c>
      <c r="E9" s="20">
        <v>8</v>
      </c>
      <c r="F9" s="18" t="str">
        <v>Cinthia Thais de Carvalho Luz Thomazi</v>
      </c>
      <c r="G9" s="20">
        <v>10</v>
      </c>
      <c r="H9" s="22">
        <v>1</v>
      </c>
      <c r="I9" s="22">
        <v>0.3</v>
      </c>
      <c r="J9" s="22">
        <v>1.3</v>
      </c>
      <c r="L9">
        <v>2026</v>
      </c>
      <c r="M9" t="str">
        <v>2026-027</v>
      </c>
      <c r="N9" t="str">
        <v>Realizado</v>
      </c>
      <c r="O9" t="str">
        <v>Curso básico de e-TCDF</v>
      </c>
      <c r="P9">
        <v>16</v>
      </c>
      <c r="Q9" t="str">
        <v>Cássio Murilo Alves Costa Filho</v>
      </c>
      <c r="R9">
        <v>1</v>
      </c>
      <c r="S9">
        <v>21</v>
      </c>
      <c r="T9">
        <v>20</v>
      </c>
      <c r="X9" t="s">
        <v>2689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v>2026</v>
      </c>
      <c r="B10" s="21" t="str">
        <v>2026-044</v>
      </c>
      <c r="C10" s="21" t="str">
        <v>A realizar</v>
      </c>
      <c r="D10" s="18" t="str">
        <v>31º SEMAT</v>
      </c>
      <c r="E10" s="20">
        <v>8</v>
      </c>
      <c r="F10" s="18" t="str">
        <v>Igor Queiroz</v>
      </c>
      <c r="G10" s="20">
        <v>10</v>
      </c>
      <c r="H10" s="22">
        <v>1</v>
      </c>
      <c r="I10" s="22">
        <v>0.3</v>
      </c>
      <c r="J10" s="22">
        <v>1.3</v>
      </c>
      <c r="L10">
        <v>2026</v>
      </c>
      <c r="M10" t="str">
        <v>2026-019</v>
      </c>
      <c r="N10" t="str">
        <v>Realizado</v>
      </c>
      <c r="O10" t="str">
        <v>Curso de Ambientação para os novos Auditores de Controle Externo - Área Auditoria</v>
      </c>
      <c r="P10">
        <v>20</v>
      </c>
      <c r="Q10" t="str">
        <v>Diversos</v>
      </c>
      <c r="R10">
        <v>1</v>
      </c>
      <c r="S10">
        <v>22</v>
      </c>
      <c r="T10">
        <v>21</v>
      </c>
      <c r="X10" t="s">
        <v>2689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v>2026</v>
      </c>
      <c r="B11" s="21" t="str">
        <v>2026-044</v>
      </c>
      <c r="C11" s="21" t="str">
        <v>A realizar</v>
      </c>
      <c r="D11" s="18" t="str">
        <v>31º SEMAT</v>
      </c>
      <c r="E11" s="20">
        <v>8</v>
      </c>
      <c r="F11" s="18" t="str">
        <v>Guilherme Bride Fernandes</v>
      </c>
      <c r="G11" s="20">
        <v>10</v>
      </c>
      <c r="H11" s="22">
        <v>0</v>
      </c>
      <c r="I11" s="22">
        <v>0</v>
      </c>
      <c r="J11" s="22">
        <v>0</v>
      </c>
      <c r="L11">
        <v>2026</v>
      </c>
      <c r="M11" t="str">
        <v>2026-042</v>
      </c>
      <c r="N11" t="str">
        <v>Realizado</v>
      </c>
      <c r="O11" t="str">
        <v>Curso de Formação para Conselheiros de Saúde do DF</v>
      </c>
      <c r="P11">
        <v>20</v>
      </c>
      <c r="Q11" t="str">
        <v>Tarsila Firmino Ely</v>
      </c>
      <c r="R11">
        <v>1</v>
      </c>
      <c r="S11">
        <v>23</v>
      </c>
      <c r="T11">
        <v>22</v>
      </c>
      <c r="X11" t="s">
        <v>2689</v>
      </c>
      <c r="Y11" s="18" t="s">
        <v>2984</v>
      </c>
      <c r="AA11">
        <v>1.2</v>
      </c>
      <c r="AC11" s="97">
        <v>2026</v>
      </c>
      <c r="AD11" s="18"/>
      <c r="AE11" s="98"/>
    </row>
    <row r="12" spans="1:31" x14ac:dyDescent="0.25">
      <c r="A12" s="21">
        <v>2026</v>
      </c>
      <c r="B12" s="21" t="str">
        <v>2026-054</v>
      </c>
      <c r="C12" s="21" t="str">
        <v>A realizar</v>
      </c>
      <c r="D12" s="18" t="str">
        <v>Café e Tertúlia: Encerramento da Semana da Saúde</v>
      </c>
      <c r="E12" s="20">
        <v>2</v>
      </c>
      <c r="F12" s="18" t="str">
        <v>Cinthia Thais de Carvalho Luz Thomazi</v>
      </c>
      <c r="G12" s="20">
        <v>4</v>
      </c>
      <c r="H12" s="22">
        <v>0</v>
      </c>
      <c r="I12" s="22">
        <v>0</v>
      </c>
      <c r="J12" s="22">
        <v>0</v>
      </c>
      <c r="L12">
        <v>2026</v>
      </c>
      <c r="M12" t="str">
        <v>2026-032</v>
      </c>
      <c r="N12" t="str">
        <v>Realizado</v>
      </c>
      <c r="O12" t="str">
        <v>Curso de formação para gestores e fiscais de Contrato em equipamentos nas unidades hospitalares - T2</v>
      </c>
      <c r="P12">
        <v>12</v>
      </c>
      <c r="Q12" t="str">
        <v>Tarsila Firmino Ely; Luciana Alvim</v>
      </c>
      <c r="R12">
        <v>2</v>
      </c>
      <c r="S12">
        <v>25</v>
      </c>
      <c r="T12">
        <v>23</v>
      </c>
      <c r="X12" t="s">
        <v>2689</v>
      </c>
      <c r="Y12" s="18" t="s">
        <v>3002</v>
      </c>
      <c r="AA12">
        <v>1.2</v>
      </c>
      <c r="AC12" s="97">
        <v>2026</v>
      </c>
      <c r="AD12" s="18"/>
      <c r="AE12" s="98"/>
    </row>
    <row r="13" spans="1:31" x14ac:dyDescent="0.25">
      <c r="A13" s="21">
        <v>2026</v>
      </c>
      <c r="B13" s="21" t="str">
        <v>2026-054</v>
      </c>
      <c r="C13" s="21" t="str">
        <v>A realizar</v>
      </c>
      <c r="D13" s="18" t="str">
        <v>Café e Tertúlia: Encerramento da Semana da Saúde</v>
      </c>
      <c r="E13" s="20">
        <v>2</v>
      </c>
      <c r="F13" s="18" t="str">
        <v>Gabriel Heller</v>
      </c>
      <c r="G13" s="20">
        <v>4</v>
      </c>
      <c r="H13" s="22">
        <v>0</v>
      </c>
      <c r="I13" s="22">
        <v>0</v>
      </c>
      <c r="J13" s="22">
        <v>0</v>
      </c>
      <c r="L13">
        <v>2026</v>
      </c>
      <c r="M13" t="str">
        <v>2026-033</v>
      </c>
      <c r="N13" t="str">
        <v>Realizado</v>
      </c>
      <c r="O13" t="str">
        <v>Curso de formação para gestores e fiscais de Contrato em equipamentos nas unidades hospitalares - T3</v>
      </c>
      <c r="P13">
        <v>12</v>
      </c>
      <c r="Q13" t="str">
        <v>Tarsila Firmino Ely; Luciana Alvim</v>
      </c>
      <c r="R13">
        <v>2</v>
      </c>
      <c r="S13">
        <v>27</v>
      </c>
      <c r="T13">
        <v>25</v>
      </c>
      <c r="X13" t="s">
        <v>2787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v>2026</v>
      </c>
      <c r="B14" s="21" t="str">
        <v>2026-054</v>
      </c>
      <c r="C14" s="21" t="str">
        <v>A realizar</v>
      </c>
      <c r="D14" s="18" t="str">
        <v>Café e Tertúlia: Encerramento da Semana da Saúde</v>
      </c>
      <c r="E14" s="20">
        <v>2</v>
      </c>
      <c r="F14" s="18" t="str">
        <v>Isac Mendes Caixeta de Pamplona Araújo</v>
      </c>
      <c r="G14" s="20">
        <v>4</v>
      </c>
      <c r="H14" s="22">
        <v>0</v>
      </c>
      <c r="I14" s="22">
        <v>0</v>
      </c>
      <c r="J14" s="22">
        <v>0</v>
      </c>
      <c r="L14">
        <v>2026</v>
      </c>
      <c r="M14" t="str">
        <v>2026-057</v>
      </c>
      <c r="N14" t="str">
        <v>A realizar</v>
      </c>
      <c r="O14" t="str">
        <v>Curso de formação sobre "Programa de Descentralização Progressiva das Ações de Saúde - PDPAS</v>
      </c>
      <c r="P14">
        <v>20</v>
      </c>
      <c r="Q14" t="str">
        <v>Tarsila Firmino Ely; Sara Cristina Lins Ramos; Carina de Souza Mariuba Herthel; Elvis Aaron Teixeira dos Santos Lima</v>
      </c>
      <c r="R14">
        <v>4</v>
      </c>
      <c r="S14">
        <v>31</v>
      </c>
      <c r="T14">
        <v>27</v>
      </c>
      <c r="X14" t="s">
        <v>2787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v>2026</v>
      </c>
      <c r="B15" s="21" t="str">
        <v>2026-054</v>
      </c>
      <c r="C15" s="21" t="str">
        <v>A realizar</v>
      </c>
      <c r="D15" s="18" t="str">
        <v>Café e Tertúlia: Encerramento da Semana da Saúde</v>
      </c>
      <c r="E15" s="20">
        <v>2</v>
      </c>
      <c r="F15" s="18" t="str">
        <v>Valéria Feitoza</v>
      </c>
      <c r="G15" s="20">
        <v>4</v>
      </c>
      <c r="H15" s="22">
        <v>0</v>
      </c>
      <c r="I15" s="22">
        <v>0</v>
      </c>
      <c r="J15" s="22">
        <v>0</v>
      </c>
      <c r="L15">
        <v>2026</v>
      </c>
      <c r="M15" t="str">
        <v>2026-021</v>
      </c>
      <c r="N15" t="str">
        <v>Realizado</v>
      </c>
      <c r="O15" t="str">
        <v>Curso de Fundamentos básicos de controle externo no TCDF</v>
      </c>
      <c r="P15">
        <v>12</v>
      </c>
      <c r="Q15" t="str">
        <v>Cinthia Thais de Carvalho Luz Thomazi; Reinaldo Alencar; Rogério Ribeiro; Rômulo Miranda Alvim; Gabriel Heller</v>
      </c>
      <c r="R15">
        <v>5</v>
      </c>
      <c r="S15">
        <v>36</v>
      </c>
      <c r="T15">
        <v>31</v>
      </c>
      <c r="X15" t="s">
        <v>2787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v>2026</v>
      </c>
      <c r="B16" s="21" t="str">
        <v>2026-001</v>
      </c>
      <c r="C16" s="21" t="str">
        <v>Realizado</v>
      </c>
      <c r="D16" s="18" t="str">
        <v>Contratação de TIC</v>
      </c>
      <c r="E16" s="20">
        <v>8</v>
      </c>
      <c r="F16" s="18" t="str">
        <v>Flávio José Fonseca de Souza</v>
      </c>
      <c r="G16" s="20">
        <v>1</v>
      </c>
      <c r="H16" s="22">
        <v>8</v>
      </c>
      <c r="I16" s="22">
        <v>2.4</v>
      </c>
      <c r="J16" s="22">
        <v>10.4</v>
      </c>
      <c r="L16">
        <v>2026</v>
      </c>
      <c r="M16" t="str">
        <v>2026-008</v>
      </c>
      <c r="N16" t="str">
        <v>Realizado</v>
      </c>
      <c r="O16" t="str">
        <v>Curso de Promoção Funcional 2026/2027</v>
      </c>
      <c r="P16">
        <v>20</v>
      </c>
      <c r="Q16" t="str">
        <v>Rômulo Miranda Alvim; Cinthia Thais de Carvalho Luz Thomazi</v>
      </c>
      <c r="R16">
        <v>2</v>
      </c>
      <c r="S16">
        <v>38</v>
      </c>
      <c r="T16">
        <v>36</v>
      </c>
      <c r="X16" t="s">
        <v>2787</v>
      </c>
      <c r="Y16" s="18" t="s">
        <v>2984</v>
      </c>
      <c r="AA16">
        <v>1.2</v>
      </c>
      <c r="AC16" s="97">
        <v>2026</v>
      </c>
      <c r="AD16" s="18"/>
      <c r="AE16" s="98"/>
    </row>
    <row r="17" spans="1:31" x14ac:dyDescent="0.25">
      <c r="A17" s="21">
        <v>2026</v>
      </c>
      <c r="B17" s="21" t="str">
        <v>2026-066</v>
      </c>
      <c r="C17" s="21" t="str">
        <v>A realizar</v>
      </c>
      <c r="D17" s="18" t="str">
        <v>Contratações de TIC com base na jurisprudência do TCDF - EAD</v>
      </c>
      <c r="E17" s="20">
        <v>17.45</v>
      </c>
      <c r="F17" s="18" t="str">
        <v>Flávio José Fonseca de Souza</v>
      </c>
      <c r="G17" s="20">
        <v>2</v>
      </c>
      <c r="H17" s="22">
        <v>0</v>
      </c>
      <c r="I17" s="22">
        <v>34.9</v>
      </c>
      <c r="J17" s="22">
        <v>34.9</v>
      </c>
      <c r="L17">
        <v>2026</v>
      </c>
      <c r="M17" t="str">
        <v>2026-006</v>
      </c>
      <c r="N17" t="str">
        <v>Realizado</v>
      </c>
      <c r="O17" t="str">
        <v>Curso para gestores e fiscais de contratos de serviços assistenciais complementares – SES/DF</v>
      </c>
      <c r="P17">
        <v>12</v>
      </c>
      <c r="Q17" t="str">
        <v>Adriana Magalhães; Luciana Alvim</v>
      </c>
      <c r="R17">
        <v>2</v>
      </c>
      <c r="S17">
        <v>40</v>
      </c>
      <c r="T17">
        <v>38</v>
      </c>
      <c r="X17" t="s">
        <v>2787</v>
      </c>
      <c r="Y17" s="18" t="s">
        <v>3002</v>
      </c>
      <c r="AA17">
        <v>1.2</v>
      </c>
      <c r="AC17" s="97">
        <v>2026</v>
      </c>
      <c r="AD17" s="18"/>
      <c r="AE17" s="98"/>
    </row>
    <row r="18" spans="1:31" x14ac:dyDescent="0.25">
      <c r="A18" s="21">
        <v>2026</v>
      </c>
      <c r="B18" s="21" t="str">
        <v>2026-066</v>
      </c>
      <c r="C18" s="21" t="str">
        <v>A realizar</v>
      </c>
      <c r="D18" s="18" t="str">
        <v>Contratações de TIC com base na jurisprudência do TCDF - EAD</v>
      </c>
      <c r="E18" s="20">
        <v>17.45</v>
      </c>
      <c r="F18" s="18" t="str">
        <v>Felipe da Costa Malaquias</v>
      </c>
      <c r="G18" s="20">
        <v>2</v>
      </c>
      <c r="H18" s="22">
        <v>0</v>
      </c>
      <c r="I18" s="22">
        <v>34.9</v>
      </c>
      <c r="J18" s="22">
        <v>34.9</v>
      </c>
      <c r="L18">
        <v>2026</v>
      </c>
      <c r="M18" t="str">
        <v>2026-013</v>
      </c>
      <c r="N18" t="str">
        <v>Realizado</v>
      </c>
      <c r="O18" t="str">
        <v>Curso para gestores e fiscais de contratos de serviços assistenciais complementares – SES/DF - T2</v>
      </c>
      <c r="P18">
        <v>12</v>
      </c>
      <c r="Q18" t="str">
        <v>Adriana Magalhães; Luciana Alvim</v>
      </c>
      <c r="R18">
        <v>2</v>
      </c>
      <c r="S18">
        <v>42</v>
      </c>
      <c r="T18">
        <v>40</v>
      </c>
      <c r="X18" t="s">
        <v>2764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v>2026</v>
      </c>
      <c r="B19" s="21" t="str">
        <v>2026-034</v>
      </c>
      <c r="C19" s="21" t="str">
        <v>Realizado</v>
      </c>
      <c r="D19" s="18" t="str">
        <v>Curso “Sisaudit na Prática”</v>
      </c>
      <c r="E19" s="20">
        <v>12</v>
      </c>
      <c r="F19" s="18" t="str">
        <v>Davi Assunção Salvador Nery de Castro</v>
      </c>
      <c r="G19" s="20">
        <v>3</v>
      </c>
      <c r="H19" s="22">
        <v>12</v>
      </c>
      <c r="I19" s="22">
        <v>1.2</v>
      </c>
      <c r="J19" s="22">
        <v>13.2</v>
      </c>
      <c r="L19">
        <v>2026</v>
      </c>
      <c r="M19" t="str">
        <v>2026-025</v>
      </c>
      <c r="N19" t="str">
        <v>A realizar</v>
      </c>
      <c r="O19" t="str">
        <v>Elaboração da Cartilha "Gestão e Fiscalização de Contratos em Saúde"</v>
      </c>
      <c r="P19">
        <v>65</v>
      </c>
      <c r="Q19" t="str">
        <v>Tarsila Firmino Ely; Luciana Alvim</v>
      </c>
      <c r="R19">
        <v>2</v>
      </c>
      <c r="S19">
        <v>44</v>
      </c>
      <c r="T19">
        <v>42</v>
      </c>
      <c r="X19" t="s">
        <v>2764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v>2026</v>
      </c>
      <c r="B20" s="21" t="str">
        <v>2026-034</v>
      </c>
      <c r="C20" s="21" t="str">
        <v>Realizado</v>
      </c>
      <c r="D20" s="18" t="str">
        <v>Curso “Sisaudit na Prática”</v>
      </c>
      <c r="E20" s="20">
        <v>12</v>
      </c>
      <c r="F20" s="18" t="str">
        <v>David da Silva de Araújo</v>
      </c>
      <c r="G20" s="20">
        <v>3</v>
      </c>
      <c r="H20" s="22">
        <v>12</v>
      </c>
      <c r="I20" s="22">
        <v>1.2</v>
      </c>
      <c r="J20" s="22">
        <v>13.2</v>
      </c>
      <c r="L20">
        <v>2026</v>
      </c>
      <c r="M20" t="str">
        <v>2026-050</v>
      </c>
      <c r="N20" t="str">
        <v>A realizar</v>
      </c>
      <c r="O20" t="str">
        <v>Encontro Técnico - SEMAT: Concursos públicos e registro de admissões</v>
      </c>
      <c r="P20">
        <v>4</v>
      </c>
      <c r="Q20" t="str">
        <v>Carlos Antônio</v>
      </c>
      <c r="R20">
        <v>1</v>
      </c>
      <c r="S20">
        <v>45</v>
      </c>
      <c r="T20">
        <v>44</v>
      </c>
      <c r="X20" t="s">
        <v>2764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v>2026</v>
      </c>
      <c r="B21" s="21" t="str">
        <v>2026-034</v>
      </c>
      <c r="C21" s="21" t="str">
        <v>Realizado</v>
      </c>
      <c r="D21" s="18" t="str">
        <v>Curso “Sisaudit na Prática”</v>
      </c>
      <c r="E21" s="20">
        <v>12</v>
      </c>
      <c r="F21" s="18" t="str">
        <v>Hamilton de Jesus Lopes Neto</v>
      </c>
      <c r="G21" s="20">
        <v>3</v>
      </c>
      <c r="H21" s="22">
        <v>12</v>
      </c>
      <c r="I21" s="22">
        <v>1.2</v>
      </c>
      <c r="J21" s="22">
        <v>13.2</v>
      </c>
      <c r="L21">
        <v>2026</v>
      </c>
      <c r="M21" t="str">
        <v>2026-052</v>
      </c>
      <c r="N21" t="str">
        <v>A realizar</v>
      </c>
      <c r="O21" t="str">
        <v>Encontro Técnico– SEMAT: Concessões e Fiscalização de Pessoal</v>
      </c>
      <c r="P21">
        <v>4</v>
      </c>
      <c r="Q21" t="str">
        <v>Jamile Medeiros Fon; José Roberto Alcuri Júnior</v>
      </c>
      <c r="R21">
        <v>2</v>
      </c>
      <c r="S21">
        <v>47</v>
      </c>
      <c r="T21">
        <v>45</v>
      </c>
      <c r="X21" t="s">
        <v>2764</v>
      </c>
      <c r="Y21" s="18" t="s">
        <v>2984</v>
      </c>
      <c r="AA21">
        <v>1.2</v>
      </c>
      <c r="AC21" s="97">
        <v>2026</v>
      </c>
      <c r="AD21" s="18"/>
      <c r="AE21" s="98"/>
    </row>
    <row r="22" spans="1:31" x14ac:dyDescent="0.25">
      <c r="A22" s="21">
        <v>2026</v>
      </c>
      <c r="B22" s="21" t="str">
        <v>2026-027</v>
      </c>
      <c r="C22" s="21" t="str">
        <v>Realizado</v>
      </c>
      <c r="D22" s="18" t="str">
        <v>Curso básico de e-TCDF</v>
      </c>
      <c r="E22" s="20">
        <v>16</v>
      </c>
      <c r="F22" s="18" t="str">
        <v>Cássio Murilo Alves Costa Filho</v>
      </c>
      <c r="G22" s="20">
        <v>1</v>
      </c>
      <c r="H22" s="22">
        <v>16</v>
      </c>
      <c r="I22" s="22">
        <v>4.8</v>
      </c>
      <c r="J22" s="22">
        <v>20.8</v>
      </c>
      <c r="L22">
        <v>2026</v>
      </c>
      <c r="M22" t="str">
        <v>2026-040</v>
      </c>
      <c r="N22" t="str">
        <v>Realizado</v>
      </c>
      <c r="O22" t="str">
        <v>Escola de Instrutores - Design Instrucional</v>
      </c>
      <c r="P22">
        <v>12</v>
      </c>
      <c r="Q22" t="str">
        <v>Paulo José Góes Daltro</v>
      </c>
      <c r="R22">
        <v>1</v>
      </c>
      <c r="S22">
        <v>48</v>
      </c>
      <c r="T22">
        <v>47</v>
      </c>
      <c r="X22" t="s">
        <v>2764</v>
      </c>
      <c r="Y22" s="18" t="s">
        <v>3002</v>
      </c>
      <c r="AA22">
        <v>1.2</v>
      </c>
      <c r="AC22" s="97">
        <v>2026</v>
      </c>
      <c r="AD22" s="18"/>
      <c r="AE22" s="98"/>
    </row>
    <row r="23" spans="1:31" x14ac:dyDescent="0.25">
      <c r="A23" s="21">
        <v>2026</v>
      </c>
      <c r="B23" s="21" t="str">
        <v>2026-019</v>
      </c>
      <c r="C23" s="21" t="str">
        <v>Realizado</v>
      </c>
      <c r="D23" s="18" t="str">
        <v>Curso de Ambientação para os novos Auditores de Controle Externo - Área Auditoria</v>
      </c>
      <c r="E23" s="20">
        <v>20</v>
      </c>
      <c r="F23" s="18" t="str">
        <v>Diversos</v>
      </c>
      <c r="G23" s="20">
        <v>1</v>
      </c>
      <c r="H23" s="22">
        <v>0</v>
      </c>
      <c r="I23" s="22">
        <v>0</v>
      </c>
      <c r="J23" s="22">
        <v>0</v>
      </c>
      <c r="L23">
        <v>2026</v>
      </c>
      <c r="M23" t="str">
        <v>2026-031</v>
      </c>
      <c r="N23" t="str">
        <v>Realizado</v>
      </c>
      <c r="O23" t="str">
        <v>Fiscalizações Baseadas em Risco</v>
      </c>
      <c r="P23">
        <v>20</v>
      </c>
      <c r="Q23" t="str">
        <v>Reinaldo Alencar; Rogério Ribeiro</v>
      </c>
      <c r="R23">
        <v>2</v>
      </c>
      <c r="S23">
        <v>50</v>
      </c>
      <c r="T23">
        <v>48</v>
      </c>
      <c r="X23" s="21" t="s">
        <v>2751</v>
      </c>
      <c r="Y23" s="18" t="s">
        <v>2730</v>
      </c>
      <c r="AA23">
        <v>2.4</v>
      </c>
      <c r="AC23" s="97">
        <v>2026</v>
      </c>
      <c r="AD23" s="18"/>
      <c r="AE23" s="98"/>
    </row>
    <row r="24" spans="1:31" x14ac:dyDescent="0.25">
      <c r="A24" s="21">
        <v>2026</v>
      </c>
      <c r="B24" s="21" t="str">
        <v>2026-042</v>
      </c>
      <c r="C24" s="21" t="str">
        <v>Realizado</v>
      </c>
      <c r="D24" s="18" t="str">
        <v>Curso de Formação para Conselheiros de Saúde do DF</v>
      </c>
      <c r="E24" s="20">
        <v>20</v>
      </c>
      <c r="F24" s="18" t="str">
        <v>Tarsila Firmino Ely</v>
      </c>
      <c r="G24" s="20">
        <v>1</v>
      </c>
      <c r="H24" s="22">
        <v>20</v>
      </c>
      <c r="I24" s="22">
        <v>6</v>
      </c>
      <c r="J24" s="22">
        <v>26</v>
      </c>
      <c r="L24">
        <v>2026</v>
      </c>
      <c r="M24" t="str">
        <v>2026-005</v>
      </c>
      <c r="N24" t="str">
        <v>Realizado</v>
      </c>
      <c r="O24" t="str">
        <v>FIT1: Treinamento e Desenvolvimento (T&amp;D)</v>
      </c>
      <c r="P24">
        <v>16</v>
      </c>
      <c r="Q24" t="str">
        <v>Paulo José Góes Daltro</v>
      </c>
      <c r="R24">
        <v>1</v>
      </c>
      <c r="S24">
        <v>51</v>
      </c>
      <c r="T24">
        <v>50</v>
      </c>
      <c r="X24" s="21" t="s">
        <v>2751</v>
      </c>
      <c r="Y24" s="18" t="s">
        <v>2990</v>
      </c>
      <c r="AA24">
        <v>0</v>
      </c>
      <c r="AC24" s="97">
        <v>2026</v>
      </c>
      <c r="AD24" s="18"/>
      <c r="AE24" s="98"/>
    </row>
    <row r="25" spans="1:31" x14ac:dyDescent="0.25">
      <c r="A25" s="21">
        <v>2026</v>
      </c>
      <c r="B25" s="21" t="str">
        <v>2026-032</v>
      </c>
      <c r="C25" s="21" t="str">
        <v>Realizado</v>
      </c>
      <c r="D25" s="18" t="str">
        <v>Curso de formação para gestores e fiscais de Contrato em equipamentos nas unidades hospitalares - T2</v>
      </c>
      <c r="E25" s="20">
        <v>12</v>
      </c>
      <c r="F25" s="18" t="str">
        <v>Tarsila Firmino Ely</v>
      </c>
      <c r="G25" s="20">
        <v>2</v>
      </c>
      <c r="H25" s="22">
        <v>12</v>
      </c>
      <c r="I25" s="22">
        <v>1.7999999999999998</v>
      </c>
      <c r="J25" s="22">
        <v>13.8</v>
      </c>
      <c r="L25">
        <v>2026</v>
      </c>
      <c r="M25" t="str">
        <v>2026-004</v>
      </c>
      <c r="N25" t="str">
        <v>Realizado</v>
      </c>
      <c r="O25" t="str">
        <v>Gestão e Fiscalização de Contratos de Equipamentos Médico Hospitalares e Serviços de Manutenção</v>
      </c>
      <c r="P25">
        <v>12</v>
      </c>
      <c r="Q25" t="str">
        <v>Tarsila Firmino Ely; Luciana Alvim</v>
      </c>
      <c r="R25">
        <v>2</v>
      </c>
      <c r="S25">
        <v>53</v>
      </c>
      <c r="T25">
        <v>51</v>
      </c>
      <c r="X25" t="s">
        <v>2839</v>
      </c>
      <c r="Y25" s="18" t="s">
        <v>2730</v>
      </c>
      <c r="AA25">
        <v>2.4</v>
      </c>
      <c r="AC25" s="97">
        <v>2026</v>
      </c>
      <c r="AD25" s="18"/>
      <c r="AE25" s="98"/>
    </row>
    <row r="26" spans="1:31" x14ac:dyDescent="0.25">
      <c r="A26" s="21">
        <v>2026</v>
      </c>
      <c r="B26" s="21" t="str">
        <v>2026-032</v>
      </c>
      <c r="C26" s="21" t="str">
        <v>Realizado</v>
      </c>
      <c r="D26" s="18" t="str">
        <v>Curso de formação para gestores e fiscais de Contrato em equipamentos nas unidades hospitalares - T2</v>
      </c>
      <c r="E26" s="20">
        <v>12</v>
      </c>
      <c r="F26" s="18" t="str">
        <v>Luciana Alvim</v>
      </c>
      <c r="G26" s="20">
        <v>2</v>
      </c>
      <c r="H26" s="22">
        <v>12</v>
      </c>
      <c r="I26" s="22">
        <v>1.7999999999999998</v>
      </c>
      <c r="J26" s="22">
        <v>13.8</v>
      </c>
      <c r="L26">
        <v>2026</v>
      </c>
      <c r="M26" t="str">
        <v>2026-037</v>
      </c>
      <c r="N26" t="str">
        <v>Realizado</v>
      </c>
      <c r="O26" t="str">
        <v>Introdução à Engenharia de Prompt - SEE</v>
      </c>
      <c r="P26">
        <v>8</v>
      </c>
      <c r="Q26" t="str">
        <v>Arthur Wú; Gustavo Takahashi</v>
      </c>
      <c r="R26">
        <v>2</v>
      </c>
      <c r="S26">
        <v>55</v>
      </c>
      <c r="T26">
        <v>53</v>
      </c>
      <c r="X26" t="s">
        <v>2839</v>
      </c>
      <c r="Y26" s="18" t="s">
        <v>2990</v>
      </c>
      <c r="AA26">
        <v>0</v>
      </c>
      <c r="AC26" s="97">
        <v>2026</v>
      </c>
      <c r="AD26" s="18"/>
      <c r="AE26" s="98"/>
    </row>
    <row r="27" spans="1:31" x14ac:dyDescent="0.25">
      <c r="A27" s="21">
        <v>2026</v>
      </c>
      <c r="B27" s="21" t="str">
        <v>2026-033</v>
      </c>
      <c r="C27" s="21" t="str">
        <v>Realizado</v>
      </c>
      <c r="D27" s="18" t="str">
        <v>Curso de formação para gestores e fiscais de Contrato em equipamentos nas unidades hospitalares - T3</v>
      </c>
      <c r="E27" s="20">
        <v>12</v>
      </c>
      <c r="F27" s="18" t="str">
        <v>Tarsila Firmino Ely</v>
      </c>
      <c r="G27" s="20">
        <v>2</v>
      </c>
      <c r="H27" s="22">
        <v>12</v>
      </c>
      <c r="I27" s="22">
        <v>1.7999999999999998</v>
      </c>
      <c r="J27" s="22">
        <v>13.8</v>
      </c>
      <c r="L27">
        <v>2026</v>
      </c>
      <c r="M27" t="str">
        <v>2026-009</v>
      </c>
      <c r="N27" t="str">
        <v>Realizado</v>
      </c>
      <c r="O27" t="str">
        <v>Introdução à Engenharia de Prompt - t1</v>
      </c>
      <c r="P27">
        <v>8</v>
      </c>
      <c r="Q27" t="str">
        <v>Arthur Wú</v>
      </c>
      <c r="R27">
        <v>1</v>
      </c>
      <c r="S27">
        <v>56</v>
      </c>
      <c r="T27">
        <v>55</v>
      </c>
      <c r="X27" s="102" t="s">
        <v>2853</v>
      </c>
      <c r="Y27" s="18" t="s">
        <v>2710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v>2026</v>
      </c>
      <c r="B28" s="21" t="str">
        <v>2026-033</v>
      </c>
      <c r="C28" s="21" t="str">
        <v>Realizado</v>
      </c>
      <c r="D28" s="18" t="str">
        <v>Curso de formação para gestores e fiscais de Contrato em equipamentos nas unidades hospitalares - T3</v>
      </c>
      <c r="E28" s="20">
        <v>12</v>
      </c>
      <c r="F28" s="18" t="str">
        <v>Luciana Alvim</v>
      </c>
      <c r="G28" s="20">
        <v>2</v>
      </c>
      <c r="H28" s="22">
        <v>12</v>
      </c>
      <c r="I28" s="22">
        <v>1.7999999999999998</v>
      </c>
      <c r="J28" s="22">
        <v>13.8</v>
      </c>
      <c r="L28">
        <v>2026</v>
      </c>
      <c r="M28" t="str">
        <v>2026-015</v>
      </c>
      <c r="N28" t="str">
        <v>Realizado</v>
      </c>
      <c r="O28" t="str">
        <v>Introdução à Engenharia de Prompt - t2</v>
      </c>
      <c r="P28">
        <v>8</v>
      </c>
      <c r="Q28" t="str">
        <v>Arthur Wú; Gustavo Takahashi</v>
      </c>
      <c r="R28">
        <v>2</v>
      </c>
      <c r="S28">
        <v>58</v>
      </c>
      <c r="T28">
        <v>56</v>
      </c>
      <c r="X28" s="102" t="s">
        <v>2830</v>
      </c>
      <c r="Y28" s="18" t="s">
        <v>3025</v>
      </c>
      <c r="AA28">
        <v>1.2</v>
      </c>
      <c r="AC28" s="97">
        <v>2026</v>
      </c>
      <c r="AD28" s="18"/>
      <c r="AE28" s="98"/>
    </row>
    <row r="29" spans="1:31" x14ac:dyDescent="0.25">
      <c r="A29" s="21">
        <v>2026</v>
      </c>
      <c r="B29" s="21" t="str">
        <v>2026-057</v>
      </c>
      <c r="C29" s="21" t="str">
        <v>A realizar</v>
      </c>
      <c r="D29" s="18" t="str">
        <v>Curso de formação sobre "Programa de Descentralização Progressiva das Ações de Saúde - PDPAS</v>
      </c>
      <c r="E29" s="20">
        <v>20</v>
      </c>
      <c r="F29" s="18" t="str">
        <v>Tarsila Firmino Ely</v>
      </c>
      <c r="G29" s="20">
        <v>4</v>
      </c>
      <c r="H29" s="22">
        <v>20</v>
      </c>
      <c r="I29" s="22">
        <v>3.6</v>
      </c>
      <c r="J29" s="22">
        <v>23.6</v>
      </c>
      <c r="L29">
        <v>2026</v>
      </c>
      <c r="M29" t="str">
        <v>2026-024</v>
      </c>
      <c r="N29" t="str">
        <v>Realizado</v>
      </c>
      <c r="O29" t="str">
        <v>Introdução à Engenharia de Prompt - T3</v>
      </c>
      <c r="P29">
        <v>8</v>
      </c>
      <c r="Q29" t="str">
        <v>Arthur Wú; Gustavo Takahashi</v>
      </c>
      <c r="R29">
        <v>2</v>
      </c>
      <c r="S29">
        <v>60</v>
      </c>
      <c r="T29">
        <v>58</v>
      </c>
      <c r="X29" s="102" t="s">
        <v>2830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v>2026</v>
      </c>
      <c r="B30" s="21" t="str">
        <v>2026-057</v>
      </c>
      <c r="C30" s="21" t="str">
        <v>A realizar</v>
      </c>
      <c r="D30" s="18" t="str">
        <v>Curso de formação sobre "Programa de Descentralização Progressiva das Ações de Saúde - PDPAS</v>
      </c>
      <c r="E30" s="20">
        <v>20</v>
      </c>
      <c r="F30" s="18" t="str">
        <v>Sara Cristina Lins Ramos</v>
      </c>
      <c r="G30" s="20">
        <v>4</v>
      </c>
      <c r="H30" s="22">
        <v>8</v>
      </c>
      <c r="I30" s="22">
        <v>2.4</v>
      </c>
      <c r="J30" s="22">
        <v>10.4</v>
      </c>
      <c r="L30">
        <v>2026</v>
      </c>
      <c r="M30" t="str">
        <v>2026-036</v>
      </c>
      <c r="N30" t="str">
        <v>Realizado</v>
      </c>
      <c r="O30" t="str">
        <v>Introdução à Engenharia de Prompt - T4</v>
      </c>
      <c r="P30">
        <v>8</v>
      </c>
      <c r="Q30" t="str">
        <v>Arthur Wú; Gustavo Takahashi</v>
      </c>
      <c r="R30">
        <v>2</v>
      </c>
      <c r="S30">
        <v>62</v>
      </c>
      <c r="T30">
        <v>60</v>
      </c>
      <c r="X30" s="102" t="s">
        <v>2830</v>
      </c>
      <c r="Y30" s="18" t="s">
        <v>3021</v>
      </c>
      <c r="AA30">
        <v>1.2</v>
      </c>
      <c r="AC30" s="97">
        <v>2026</v>
      </c>
      <c r="AD30" s="18"/>
      <c r="AE30" s="98"/>
    </row>
    <row r="31" spans="1:31" x14ac:dyDescent="0.25">
      <c r="A31" s="21">
        <v>2026</v>
      </c>
      <c r="B31" s="21" t="str">
        <v>2026-057</v>
      </c>
      <c r="C31" s="21" t="str">
        <v>A realizar</v>
      </c>
      <c r="D31" s="18" t="str">
        <v>Curso de formação sobre "Programa de Descentralização Progressiva das Ações de Saúde - PDPAS</v>
      </c>
      <c r="E31" s="20">
        <v>20</v>
      </c>
      <c r="F31" s="18" t="str">
        <v>Carina de Souza Mariuba Herthel</v>
      </c>
      <c r="G31" s="20">
        <v>4</v>
      </c>
      <c r="H31" s="22">
        <v>8</v>
      </c>
      <c r="I31" s="22">
        <v>2.4</v>
      </c>
      <c r="J31" s="22">
        <v>10.4</v>
      </c>
      <c r="L31">
        <v>2026</v>
      </c>
      <c r="M31" t="str">
        <v>2026-038</v>
      </c>
      <c r="N31" t="str">
        <v>A realizar</v>
      </c>
      <c r="O31" t="str">
        <v>Introdução ao processo de controle externo - EAD</v>
      </c>
      <c r="P31">
        <v>16</v>
      </c>
      <c r="Q31" t="str">
        <v>Gabriel Heller</v>
      </c>
      <c r="R31">
        <v>1</v>
      </c>
      <c r="S31">
        <v>63</v>
      </c>
      <c r="T31">
        <v>62</v>
      </c>
      <c r="X31" s="102" t="s">
        <v>2839</v>
      </c>
      <c r="Y31" s="18" t="s">
        <v>2730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v>2026</v>
      </c>
      <c r="B32" s="21" t="str">
        <v>2026-057</v>
      </c>
      <c r="C32" s="21" t="str">
        <v>A realizar</v>
      </c>
      <c r="D32" s="18" t="str">
        <v>Curso de formação sobre "Programa de Descentralização Progressiva das Ações de Saúde - PDPAS</v>
      </c>
      <c r="E32" s="20">
        <v>20</v>
      </c>
      <c r="F32" s="18" t="str">
        <v>Elvis Aaron Teixeira dos Santos Lima</v>
      </c>
      <c r="G32" s="20">
        <v>4</v>
      </c>
      <c r="H32" s="22">
        <v>0</v>
      </c>
      <c r="I32" s="22">
        <v>0</v>
      </c>
      <c r="J32" s="22">
        <v>0</v>
      </c>
      <c r="L32">
        <v>2026</v>
      </c>
      <c r="M32" t="str">
        <v>2026-016</v>
      </c>
      <c r="N32" t="str">
        <v>Realizado</v>
      </c>
      <c r="O32" t="str">
        <v>Mentoria de introdução à Engenharia de Prompt</v>
      </c>
      <c r="P32">
        <v>2</v>
      </c>
      <c r="Q32" t="str">
        <v>Arthur Wú; Gustavo Takahashi</v>
      </c>
      <c r="R32">
        <v>2</v>
      </c>
      <c r="S32">
        <v>65</v>
      </c>
      <c r="T32">
        <v>63</v>
      </c>
      <c r="X32" s="102" t="s">
        <v>2778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v>2026</v>
      </c>
      <c r="B33" s="21" t="str">
        <v>2026-021</v>
      </c>
      <c r="C33" s="21" t="str">
        <v>Realizado</v>
      </c>
      <c r="D33" s="18" t="str">
        <v>Curso de Fundamentos básicos de controle externo no TCDF</v>
      </c>
      <c r="E33" s="20">
        <v>12</v>
      </c>
      <c r="F33" s="18" t="str">
        <v>Cinthia Thais de Carvalho Luz Thomazi</v>
      </c>
      <c r="G33" s="20">
        <v>5</v>
      </c>
      <c r="H33" s="22">
        <v>4</v>
      </c>
      <c r="I33" s="22">
        <v>0.6</v>
      </c>
      <c r="J33" s="22">
        <v>4.5999999999999996</v>
      </c>
      <c r="L33">
        <v>2026</v>
      </c>
      <c r="M33" t="str">
        <v>2026-017</v>
      </c>
      <c r="N33" t="str">
        <v>Realizado</v>
      </c>
      <c r="O33" t="str">
        <v>Mostra Fotográfica “Meu Olhar sobre Brasília”</v>
      </c>
      <c r="P33">
        <v>0</v>
      </c>
      <c r="Q33" t="str">
        <v>Servidores, colaboradores e estagiários do TCDF</v>
      </c>
      <c r="R33">
        <v>1</v>
      </c>
      <c r="S33">
        <v>66</v>
      </c>
      <c r="T33">
        <v>65</v>
      </c>
      <c r="X33" s="102" t="s">
        <v>2778</v>
      </c>
      <c r="Y33" t="s">
        <v>3003</v>
      </c>
      <c r="Z33">
        <v>4</v>
      </c>
      <c r="AA33">
        <v>0.6</v>
      </c>
      <c r="AC33" s="99"/>
      <c r="AD33" s="116" t="s">
        <v>3054</v>
      </c>
      <c r="AE33" s="117">
        <f>SUM(AE3:AE32)</f>
        <v>80</v>
      </c>
    </row>
    <row r="34" spans="1:31" x14ac:dyDescent="0.25">
      <c r="A34" s="21">
        <v>2026</v>
      </c>
      <c r="B34" s="21" t="str">
        <v>2026-021</v>
      </c>
      <c r="C34" s="21" t="str">
        <v>Realizado</v>
      </c>
      <c r="D34" s="18" t="str">
        <v>Curso de Fundamentos básicos de controle externo no TCDF</v>
      </c>
      <c r="E34" s="20">
        <v>12</v>
      </c>
      <c r="F34" s="18" t="str">
        <v>Reinaldo Alencar</v>
      </c>
      <c r="G34" s="20">
        <v>5</v>
      </c>
      <c r="H34" s="22">
        <v>4</v>
      </c>
      <c r="I34" s="22">
        <v>0.6</v>
      </c>
      <c r="J34" s="22">
        <v>4.5999999999999996</v>
      </c>
      <c r="L34">
        <v>2026</v>
      </c>
      <c r="M34" t="str">
        <v>2026-039</v>
      </c>
      <c r="N34" t="str">
        <v>Realizado</v>
      </c>
      <c r="O34" t="str">
        <v>MROSC para os gestores das Organizações da Sociedade Civil – OSCs</v>
      </c>
      <c r="P34">
        <v>12</v>
      </c>
      <c r="Q34" t="str">
        <v>Indio Artiaga do Brasil Rabelo; Leonardo de Melo</v>
      </c>
      <c r="R34">
        <v>2</v>
      </c>
      <c r="S34">
        <v>68</v>
      </c>
      <c r="T34">
        <v>66</v>
      </c>
      <c r="X34" s="102" t="s">
        <v>2778</v>
      </c>
      <c r="Y34" t="s">
        <v>3004</v>
      </c>
      <c r="Z34">
        <v>4</v>
      </c>
      <c r="AA34">
        <v>0.6</v>
      </c>
    </row>
    <row r="35" spans="1:31" x14ac:dyDescent="0.25">
      <c r="A35" s="21">
        <v>2026</v>
      </c>
      <c r="B35" s="21" t="str">
        <v>2026-021</v>
      </c>
      <c r="C35" s="21" t="str">
        <v>Realizado</v>
      </c>
      <c r="D35" s="18" t="str">
        <v>Curso de Fundamentos básicos de controle externo no TCDF</v>
      </c>
      <c r="E35" s="20">
        <v>12</v>
      </c>
      <c r="F35" s="18" t="str">
        <v>Rogério Ribeiro</v>
      </c>
      <c r="G35" s="20">
        <v>5</v>
      </c>
      <c r="H35" s="22">
        <v>4</v>
      </c>
      <c r="I35" s="22">
        <v>0.6</v>
      </c>
      <c r="J35" s="22">
        <v>4.5999999999999996</v>
      </c>
      <c r="L35">
        <v>2026</v>
      </c>
      <c r="M35" t="str">
        <v>2026-041</v>
      </c>
      <c r="N35" t="str">
        <v>Realizado</v>
      </c>
      <c r="O35" t="str">
        <v>O novo olhar sobre as políticas públicas para o Controle Externo</v>
      </c>
      <c r="P35">
        <v>24</v>
      </c>
      <c r="Q35" t="str">
        <v>Reinaldo Alencar; Rogério Ribeiro</v>
      </c>
      <c r="R35">
        <v>2</v>
      </c>
      <c r="S35">
        <v>70</v>
      </c>
      <c r="T35">
        <v>68</v>
      </c>
      <c r="X35" s="102" t="s">
        <v>2778</v>
      </c>
      <c r="Y35" t="s">
        <v>115</v>
      </c>
      <c r="Z35">
        <v>4</v>
      </c>
      <c r="AA35">
        <v>0.6</v>
      </c>
    </row>
    <row r="36" spans="1:31" x14ac:dyDescent="0.25">
      <c r="A36" s="21">
        <v>2026</v>
      </c>
      <c r="B36" s="21" t="str">
        <v>2026-021</v>
      </c>
      <c r="C36" s="21" t="str">
        <v>Realizado</v>
      </c>
      <c r="D36" s="18" t="str">
        <v>Curso de Fundamentos básicos de controle externo no TCDF</v>
      </c>
      <c r="E36" s="20">
        <v>12</v>
      </c>
      <c r="F36" s="18" t="str">
        <v>Rômulo Miranda Alvim</v>
      </c>
      <c r="G36" s="20">
        <v>5</v>
      </c>
      <c r="H36" s="22">
        <v>4</v>
      </c>
      <c r="I36" s="22">
        <v>0.6</v>
      </c>
      <c r="J36" s="22">
        <v>4.5999999999999996</v>
      </c>
      <c r="L36">
        <v>2026</v>
      </c>
      <c r="M36" t="str">
        <v>2026-053</v>
      </c>
      <c r="N36" t="str">
        <v>A realizar</v>
      </c>
      <c r="O36" t="str">
        <v>Oficina Temática - SEMAT: Aditivos na Contratação Integrada de obras e serviços de engenharia</v>
      </c>
      <c r="P36">
        <v>4</v>
      </c>
      <c r="Q36" t="str">
        <v>Douglas Vieira Silva Filho; Silvia Lima Damasceno Carvalho</v>
      </c>
      <c r="R36">
        <v>2</v>
      </c>
      <c r="S36">
        <v>72</v>
      </c>
      <c r="T36">
        <v>70</v>
      </c>
      <c r="X36" s="102" t="s">
        <v>2778</v>
      </c>
      <c r="Y36" t="s">
        <v>556</v>
      </c>
      <c r="Z36">
        <v>4</v>
      </c>
      <c r="AA36">
        <v>1.2</v>
      </c>
    </row>
    <row r="37" spans="1:31" x14ac:dyDescent="0.25">
      <c r="A37">
        <v>2026</v>
      </c>
      <c r="B37" t="str">
        <v>2026-021</v>
      </c>
      <c r="C37" s="81" t="str">
        <v>Realizado</v>
      </c>
      <c r="D37" t="str">
        <v>Curso de Fundamentos básicos de controle externo no TCDF</v>
      </c>
      <c r="E37" s="81">
        <v>12</v>
      </c>
      <c r="F37" t="str">
        <v>Gabriel Heller</v>
      </c>
      <c r="G37" s="81">
        <v>5</v>
      </c>
      <c r="H37" s="81">
        <v>4</v>
      </c>
      <c r="I37" s="81">
        <v>1.2</v>
      </c>
      <c r="J37" s="81">
        <v>5.2</v>
      </c>
      <c r="L37">
        <v>2026</v>
      </c>
      <c r="M37" t="str">
        <v>2026-051</v>
      </c>
      <c r="N37" t="str">
        <v>A realizar</v>
      </c>
      <c r="O37" t="str">
        <v>Oficina Temática – SEMAT: Controle Tecnológico de obras e serviços de engenharia</v>
      </c>
      <c r="P37">
        <v>4</v>
      </c>
      <c r="Q37" t="str">
        <v>Silvia Lima Damasceno Carvalho; Marcelo Silva Santana</v>
      </c>
      <c r="R37">
        <v>2</v>
      </c>
      <c r="S37">
        <v>74</v>
      </c>
      <c r="T37">
        <v>72</v>
      </c>
      <c r="X37" t="s">
        <v>2794</v>
      </c>
      <c r="Y37" t="s">
        <v>425</v>
      </c>
      <c r="Z37">
        <v>0</v>
      </c>
      <c r="AA37">
        <v>65</v>
      </c>
    </row>
    <row r="38" spans="1:31" x14ac:dyDescent="0.25">
      <c r="A38">
        <v>2026</v>
      </c>
      <c r="B38" t="str">
        <v>2026-008</v>
      </c>
      <c r="C38" s="81" t="str">
        <v>Realizado</v>
      </c>
      <c r="D38" t="str">
        <v>Curso de Promoção Funcional 2026/2027</v>
      </c>
      <c r="E38" s="81">
        <v>20</v>
      </c>
      <c r="F38" t="str">
        <v>Rômulo Miranda Alvim</v>
      </c>
      <c r="G38" s="81">
        <v>2</v>
      </c>
      <c r="H38" s="81">
        <v>20</v>
      </c>
      <c r="I38" s="81">
        <v>3</v>
      </c>
      <c r="J38" s="81">
        <v>23</v>
      </c>
      <c r="L38">
        <v>2026</v>
      </c>
      <c r="M38" t="str">
        <v>2026-046</v>
      </c>
      <c r="N38" t="str">
        <v>A realizar</v>
      </c>
      <c r="O38" t="str">
        <v>Oficina Temática – SEMAT: Falhas recorrentes em contratações de TI</v>
      </c>
      <c r="P38">
        <v>8</v>
      </c>
      <c r="Q38" t="str">
        <v>Felipe da Costa Malaquias</v>
      </c>
      <c r="R38">
        <v>1</v>
      </c>
      <c r="S38">
        <v>75</v>
      </c>
      <c r="T38">
        <v>74</v>
      </c>
      <c r="X38" t="s">
        <v>2794</v>
      </c>
      <c r="Y38" s="104" t="s">
        <v>1103</v>
      </c>
      <c r="Z38">
        <v>0</v>
      </c>
      <c r="AA38">
        <v>65</v>
      </c>
    </row>
    <row r="39" spans="1:31" x14ac:dyDescent="0.25">
      <c r="A39">
        <v>2026</v>
      </c>
      <c r="B39" t="str">
        <v>2026-008</v>
      </c>
      <c r="C39" s="81" t="str">
        <v>Realizado</v>
      </c>
      <c r="D39" t="str">
        <v>Curso de Promoção Funcional 2026/2027</v>
      </c>
      <c r="E39" s="81">
        <v>20</v>
      </c>
      <c r="F39" t="str">
        <v>Cinthia Thais de Carvalho Luz Thomazi</v>
      </c>
      <c r="G39" s="81">
        <v>2</v>
      </c>
      <c r="H39" s="81">
        <v>20</v>
      </c>
      <c r="I39" s="81">
        <v>3</v>
      </c>
      <c r="J39" s="81">
        <v>23</v>
      </c>
      <c r="L39">
        <v>2026</v>
      </c>
      <c r="M39" t="str">
        <v>2026-068</v>
      </c>
      <c r="N39" t="str">
        <v>A realizar</v>
      </c>
      <c r="O39" t="str">
        <v>Oficina Temática - SEMAT: Matriz de Riscos em contratos de obras e serviços de engenharia</v>
      </c>
      <c r="P39">
        <v>4</v>
      </c>
      <c r="Q39" t="str">
        <v>Silvia Lima Damasceno Carvalho; Renan Dias da Silva</v>
      </c>
      <c r="R39">
        <v>2</v>
      </c>
      <c r="S39">
        <v>77</v>
      </c>
      <c r="T39">
        <v>75</v>
      </c>
      <c r="X39" t="s">
        <v>2846</v>
      </c>
      <c r="Y39" t="s">
        <v>556</v>
      </c>
      <c r="Z39">
        <v>0</v>
      </c>
      <c r="AA39">
        <v>32</v>
      </c>
    </row>
    <row r="40" spans="1:31" x14ac:dyDescent="0.25">
      <c r="A40">
        <v>2026</v>
      </c>
      <c r="B40" t="str">
        <v>2026-006</v>
      </c>
      <c r="C40" s="81" t="str">
        <v>Realizado</v>
      </c>
      <c r="D40" t="str">
        <v>Curso para gestores e fiscais de contratos de serviços assistenciais complementares – SES/DF</v>
      </c>
      <c r="E40" s="81">
        <v>12</v>
      </c>
      <c r="F40" t="str">
        <v>Adriana Magalhães</v>
      </c>
      <c r="G40" s="81">
        <v>2</v>
      </c>
      <c r="H40" s="81">
        <v>12</v>
      </c>
      <c r="I40" s="81">
        <v>1.7999999999999998</v>
      </c>
      <c r="J40" s="81">
        <v>13.8</v>
      </c>
      <c r="L40">
        <v>2026</v>
      </c>
      <c r="M40" t="str">
        <v>2026-047</v>
      </c>
      <c r="N40" t="str">
        <v>A realizar</v>
      </c>
      <c r="O40" t="str">
        <v>Oficina Temática - SEMAT: MROSC para servidores do GDF</v>
      </c>
      <c r="P40">
        <v>4</v>
      </c>
      <c r="Q40" t="str">
        <v>Indio Artiaga do Brasil Rabelo; Leonardo de Melo</v>
      </c>
      <c r="R40">
        <v>2</v>
      </c>
      <c r="S40">
        <v>79</v>
      </c>
      <c r="T40">
        <v>77</v>
      </c>
      <c r="X40" t="s">
        <v>2769</v>
      </c>
      <c r="Y40" t="s">
        <v>479</v>
      </c>
      <c r="Z40">
        <v>0</v>
      </c>
      <c r="AA40">
        <v>0</v>
      </c>
    </row>
    <row r="41" spans="1:31" x14ac:dyDescent="0.25">
      <c r="A41">
        <v>2026</v>
      </c>
      <c r="B41" t="str">
        <v>2026-006</v>
      </c>
      <c r="C41" s="81" t="str">
        <v>Realizado</v>
      </c>
      <c r="D41" t="str">
        <v>Curso para gestores e fiscais de contratos de serviços assistenciais complementares – SES/DF</v>
      </c>
      <c r="E41" s="81">
        <v>12</v>
      </c>
      <c r="F41" t="str">
        <v>Luciana Alvim</v>
      </c>
      <c r="G41" s="81">
        <v>2</v>
      </c>
      <c r="H41" s="81">
        <v>12</v>
      </c>
      <c r="I41" s="81">
        <v>1.7999999999999998</v>
      </c>
      <c r="J41" s="81">
        <v>13.8</v>
      </c>
      <c r="L41">
        <v>2026</v>
      </c>
      <c r="M41" t="str">
        <v>2026-049</v>
      </c>
      <c r="N41" t="str">
        <v>A realizar</v>
      </c>
      <c r="O41" t="str">
        <v>Oficina Temática - SEMAT: Pesquisa de Preços em contratos de obras e serviços de engenharia</v>
      </c>
      <c r="P41">
        <v>4</v>
      </c>
      <c r="Q41" t="str">
        <v>Silvia Lima Damasceno Carvalho; Wibys Pereira</v>
      </c>
      <c r="R41">
        <v>2</v>
      </c>
      <c r="S41">
        <v>81</v>
      </c>
      <c r="T41">
        <v>79</v>
      </c>
      <c r="X41" t="s">
        <v>2880</v>
      </c>
      <c r="Y41" t="s">
        <v>862</v>
      </c>
      <c r="Z41">
        <v>4</v>
      </c>
      <c r="AA41">
        <v>1.2</v>
      </c>
    </row>
    <row r="42" spans="1:31" x14ac:dyDescent="0.25">
      <c r="A42">
        <v>2026</v>
      </c>
      <c r="B42" t="str">
        <v>2026-013</v>
      </c>
      <c r="C42" s="81" t="str">
        <v>Realizado</v>
      </c>
      <c r="D42" t="str">
        <v>Curso para gestores e fiscais de contratos de serviços assistenciais complementares – SES/DF - T2</v>
      </c>
      <c r="E42" s="81">
        <v>12</v>
      </c>
      <c r="F42" t="str">
        <v>Adriana Magalhães</v>
      </c>
      <c r="G42" s="81">
        <v>2</v>
      </c>
      <c r="H42" s="81">
        <v>12</v>
      </c>
      <c r="I42" s="81">
        <v>1.7999999999999998</v>
      </c>
      <c r="J42" s="81">
        <v>13.8</v>
      </c>
      <c r="L42">
        <v>2026</v>
      </c>
      <c r="M42" t="str">
        <v>2026-048</v>
      </c>
      <c r="N42" t="str">
        <v>A realizar</v>
      </c>
      <c r="O42" t="str">
        <v>Oficina Temática - SEMAT: Reajuste de preços em contratos de obras e serviços de engenharia</v>
      </c>
      <c r="P42">
        <v>4</v>
      </c>
      <c r="Q42" t="str">
        <v>Thiago Magalhães de Oliveira; Silvia Lima Damasceno Carvalho</v>
      </c>
      <c r="R42">
        <v>2</v>
      </c>
      <c r="S42">
        <v>83</v>
      </c>
      <c r="T42">
        <v>81</v>
      </c>
      <c r="X42" t="s">
        <v>2880</v>
      </c>
      <c r="Y42" t="s">
        <v>2995</v>
      </c>
      <c r="Z42">
        <v>0</v>
      </c>
      <c r="AA42">
        <v>0</v>
      </c>
    </row>
    <row r="43" spans="1:31" x14ac:dyDescent="0.25">
      <c r="A43">
        <v>2026</v>
      </c>
      <c r="B43" t="str">
        <v>2026-013</v>
      </c>
      <c r="C43" t="str">
        <v>Realizado</v>
      </c>
      <c r="D43" t="str">
        <v>Curso para gestores e fiscais de contratos de serviços assistenciais complementares – SES/DF - T2</v>
      </c>
      <c r="E43">
        <v>12</v>
      </c>
      <c r="F43" t="str">
        <v>Luciana Alvim</v>
      </c>
      <c r="G43">
        <v>2</v>
      </c>
      <c r="H43">
        <v>12</v>
      </c>
      <c r="I43">
        <v>1.7999999999999998</v>
      </c>
      <c r="J43">
        <v>13.8</v>
      </c>
      <c r="L43">
        <v>2026</v>
      </c>
      <c r="M43" t="str">
        <v>2026-043</v>
      </c>
      <c r="N43" t="str">
        <v>Realizado</v>
      </c>
      <c r="O43" t="str">
        <v>Painel MROSC</v>
      </c>
      <c r="P43">
        <v>4</v>
      </c>
      <c r="Q43" t="str">
        <v>Diversos</v>
      </c>
      <c r="R43">
        <v>1</v>
      </c>
      <c r="S43">
        <v>84</v>
      </c>
      <c r="T43">
        <v>83</v>
      </c>
      <c r="X43" t="s">
        <v>2884</v>
      </c>
      <c r="Y43" s="18" t="s">
        <v>3012</v>
      </c>
      <c r="AA43">
        <v>1.2</v>
      </c>
    </row>
    <row r="44" spans="1:31" x14ac:dyDescent="0.25">
      <c r="A44">
        <v>2026</v>
      </c>
      <c r="B44" t="str">
        <v>2026-025</v>
      </c>
      <c r="C44" t="str">
        <v>A realizar</v>
      </c>
      <c r="D44" t="str">
        <v>Elaboração da Cartilha "Gestão e Fiscalização de Contratos em Saúde"</v>
      </c>
      <c r="E44">
        <v>65</v>
      </c>
      <c r="F44" t="str">
        <v>Tarsila Firmino Ely</v>
      </c>
      <c r="G44">
        <v>2</v>
      </c>
      <c r="H44">
        <v>0</v>
      </c>
      <c r="I44">
        <v>65</v>
      </c>
      <c r="J44">
        <v>65</v>
      </c>
      <c r="L44">
        <v>2026</v>
      </c>
      <c r="M44" t="str">
        <v>2026-007</v>
      </c>
      <c r="N44" t="str">
        <v>Realizado</v>
      </c>
      <c r="O44" t="str">
        <v>Planilhas de Terceirização de Mão de Obra, de acordo com a Lei nº 14.133/2021 - T1</v>
      </c>
      <c r="P44">
        <v>20</v>
      </c>
      <c r="Q44" t="str">
        <v>Leonardo José Alves Leal Neri</v>
      </c>
      <c r="R44">
        <v>1</v>
      </c>
      <c r="S44">
        <v>85</v>
      </c>
      <c r="T44">
        <v>84</v>
      </c>
      <c r="X44" t="s">
        <v>2884</v>
      </c>
      <c r="Y44" s="18" t="s">
        <v>942</v>
      </c>
      <c r="AA44">
        <v>1.2</v>
      </c>
    </row>
    <row r="45" spans="1:31" x14ac:dyDescent="0.25">
      <c r="A45">
        <v>2026</v>
      </c>
      <c r="B45" t="str">
        <v>2026-025</v>
      </c>
      <c r="C45" t="str">
        <v>A realizar</v>
      </c>
      <c r="D45" t="str">
        <v>Elaboração da Cartilha "Gestão e Fiscalização de Contratos em Saúde"</v>
      </c>
      <c r="E45">
        <v>65</v>
      </c>
      <c r="F45" t="str">
        <v>Luciana Alvim</v>
      </c>
      <c r="G45">
        <v>2</v>
      </c>
      <c r="H45">
        <v>0</v>
      </c>
      <c r="I45">
        <v>65</v>
      </c>
      <c r="J45">
        <v>65</v>
      </c>
      <c r="L45">
        <v>2026</v>
      </c>
      <c r="M45" t="str">
        <v>2026-010</v>
      </c>
      <c r="N45" t="str">
        <v>Realizado</v>
      </c>
      <c r="O45" t="str">
        <v>Planilhas de Terceirização de Mão de Obra, de acordo com a Lei nº 14.133/2021 - T2</v>
      </c>
      <c r="P45">
        <v>20</v>
      </c>
      <c r="Q45" t="str">
        <v>Leonardo José Alves Leal Neri</v>
      </c>
      <c r="R45">
        <v>1</v>
      </c>
      <c r="S45">
        <v>86</v>
      </c>
      <c r="T45">
        <v>85</v>
      </c>
      <c r="X45" t="s">
        <v>2868</v>
      </c>
      <c r="Y45" t="s">
        <v>3011</v>
      </c>
      <c r="Z45">
        <v>1</v>
      </c>
      <c r="AA45">
        <v>0.3</v>
      </c>
    </row>
    <row r="46" spans="1:31" x14ac:dyDescent="0.25">
      <c r="A46">
        <v>2026</v>
      </c>
      <c r="B46" t="str">
        <v>2026-050</v>
      </c>
      <c r="C46" t="str">
        <v>A realizar</v>
      </c>
      <c r="D46" t="str">
        <v>Encontro Técnico - SEMAT: Concursos públicos e registro de admissões</v>
      </c>
      <c r="E46">
        <v>4</v>
      </c>
      <c r="F46" t="str">
        <v>Carlos Antônio</v>
      </c>
      <c r="G46">
        <v>1</v>
      </c>
      <c r="H46">
        <v>4</v>
      </c>
      <c r="I46">
        <v>1.2</v>
      </c>
      <c r="J46">
        <v>5.2</v>
      </c>
      <c r="L46">
        <v>2026</v>
      </c>
      <c r="M46" t="str">
        <v>2026-055</v>
      </c>
      <c r="N46" t="str">
        <v>A realizar</v>
      </c>
      <c r="O46" t="str">
        <v>TCendo o Futuro</v>
      </c>
      <c r="P46">
        <v>4</v>
      </c>
      <c r="Q46">
        <v>0</v>
      </c>
      <c r="R46">
        <v>1</v>
      </c>
      <c r="S46">
        <v>87</v>
      </c>
      <c r="T46">
        <v>86</v>
      </c>
      <c r="X46" t="s">
        <v>2868</v>
      </c>
      <c r="Y46" t="s">
        <v>3023</v>
      </c>
      <c r="Z46">
        <v>1</v>
      </c>
      <c r="AA46">
        <v>0.3</v>
      </c>
    </row>
    <row r="47" spans="1:31" x14ac:dyDescent="0.25">
      <c r="A47">
        <v>2026</v>
      </c>
      <c r="B47" t="str">
        <v>2026-052</v>
      </c>
      <c r="C47" t="str">
        <v>A realizar</v>
      </c>
      <c r="D47" t="str">
        <v>Encontro Técnico– SEMAT: Concessões e Fiscalização de Pessoal</v>
      </c>
      <c r="E47">
        <v>4</v>
      </c>
      <c r="F47" t="str">
        <v>Jamile Medeiros Fon</v>
      </c>
      <c r="G47">
        <v>2</v>
      </c>
      <c r="H47">
        <v>4</v>
      </c>
      <c r="I47">
        <v>1.2</v>
      </c>
      <c r="J47">
        <v>5.2</v>
      </c>
      <c r="L47">
        <v>2026</v>
      </c>
      <c r="M47" t="str">
        <v>2026-056</v>
      </c>
      <c r="N47" t="str">
        <v>A realizar</v>
      </c>
      <c r="O47" t="str">
        <v>TCendo o Futuro</v>
      </c>
      <c r="P47">
        <v>4</v>
      </c>
      <c r="Q47">
        <v>0</v>
      </c>
      <c r="R47">
        <v>1</v>
      </c>
      <c r="S47">
        <v>88</v>
      </c>
      <c r="T47">
        <v>87</v>
      </c>
      <c r="X47" t="s">
        <v>2868</v>
      </c>
      <c r="Y47" t="s">
        <v>3020</v>
      </c>
      <c r="Z47">
        <v>1</v>
      </c>
      <c r="AA47">
        <v>0.3</v>
      </c>
    </row>
    <row r="48" spans="1:31" x14ac:dyDescent="0.25">
      <c r="A48">
        <v>2026</v>
      </c>
      <c r="B48" t="str">
        <v>2026-052</v>
      </c>
      <c r="C48" t="str">
        <v>A realizar</v>
      </c>
      <c r="D48" t="str">
        <v>Encontro Técnico– SEMAT: Concessões e Fiscalização de Pessoal</v>
      </c>
      <c r="E48">
        <v>4</v>
      </c>
      <c r="F48" t="str">
        <v>José Roberto Alcuri Júnior</v>
      </c>
      <c r="G48">
        <v>2</v>
      </c>
      <c r="H48">
        <v>0</v>
      </c>
      <c r="I48">
        <v>0</v>
      </c>
      <c r="J48">
        <v>0</v>
      </c>
      <c r="L48">
        <v>2026</v>
      </c>
      <c r="M48" t="str">
        <v>2026-059</v>
      </c>
      <c r="N48" t="str">
        <v>A realizar</v>
      </c>
      <c r="O48" t="str">
        <v>TCendo o Futuro</v>
      </c>
      <c r="P48">
        <v>4</v>
      </c>
      <c r="Q48">
        <v>0</v>
      </c>
      <c r="R48">
        <v>1</v>
      </c>
      <c r="S48">
        <v>89</v>
      </c>
      <c r="T48">
        <v>88</v>
      </c>
      <c r="X48" t="s">
        <v>2868</v>
      </c>
      <c r="Y48" t="s">
        <v>3022</v>
      </c>
      <c r="Z48">
        <v>1</v>
      </c>
      <c r="AA48">
        <v>0.3</v>
      </c>
    </row>
    <row r="49" spans="1:27" x14ac:dyDescent="0.25">
      <c r="A49">
        <v>2026</v>
      </c>
      <c r="B49" t="str">
        <v>2026-040</v>
      </c>
      <c r="C49" t="str">
        <v>Realizado</v>
      </c>
      <c r="D49" t="str">
        <v>Escola de Instrutores - Design Instrucional</v>
      </c>
      <c r="E49">
        <v>12</v>
      </c>
      <c r="F49" t="str">
        <v>Paulo José Góes Daltro</v>
      </c>
      <c r="G49">
        <v>1</v>
      </c>
      <c r="H49">
        <v>0</v>
      </c>
      <c r="I49">
        <v>0</v>
      </c>
      <c r="J49">
        <v>0</v>
      </c>
      <c r="L49">
        <v>2026</v>
      </c>
      <c r="M49" t="str">
        <v>2026-060</v>
      </c>
      <c r="N49" t="str">
        <v>A realizar</v>
      </c>
      <c r="O49" t="str">
        <v>TCendo o Futuro</v>
      </c>
      <c r="P49">
        <v>4</v>
      </c>
      <c r="Q49">
        <v>0</v>
      </c>
      <c r="R49">
        <v>1</v>
      </c>
      <c r="S49">
        <v>90</v>
      </c>
      <c r="T49">
        <v>89</v>
      </c>
      <c r="X49" t="s">
        <v>2868</v>
      </c>
      <c r="Y49" t="s">
        <v>3019</v>
      </c>
      <c r="Z49">
        <v>0</v>
      </c>
      <c r="AA49">
        <v>0</v>
      </c>
    </row>
    <row r="50" spans="1:27" x14ac:dyDescent="0.25">
      <c r="A50">
        <v>2026</v>
      </c>
      <c r="B50" t="str">
        <v>2026-031</v>
      </c>
      <c r="C50" t="str">
        <v>Realizado</v>
      </c>
      <c r="D50" t="str">
        <v>Fiscalizações Baseadas em Risco</v>
      </c>
      <c r="E50">
        <v>20</v>
      </c>
      <c r="F50" t="str">
        <v>Reinaldo Alencar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2026-061</v>
      </c>
      <c r="N50" t="str">
        <v>A realizar</v>
      </c>
      <c r="O50" t="str">
        <v>TCendo o Futuro</v>
      </c>
      <c r="P50">
        <v>4</v>
      </c>
      <c r="Q50">
        <v>0</v>
      </c>
      <c r="R50">
        <v>1</v>
      </c>
      <c r="S50">
        <v>91</v>
      </c>
      <c r="T50">
        <v>90</v>
      </c>
      <c r="X50" t="s">
        <v>2868</v>
      </c>
      <c r="Y50" t="s">
        <v>942</v>
      </c>
      <c r="Z50">
        <v>1</v>
      </c>
      <c r="AA50">
        <v>0.3</v>
      </c>
    </row>
    <row r="51" spans="1:27" x14ac:dyDescent="0.25">
      <c r="A51">
        <v>2026</v>
      </c>
      <c r="B51" t="str">
        <v>2026-031</v>
      </c>
      <c r="C51" t="str">
        <v>Realizado</v>
      </c>
      <c r="D51" t="str">
        <v>Fiscalizações Baseadas em Risco</v>
      </c>
      <c r="E51">
        <v>20</v>
      </c>
      <c r="F51" t="str">
        <v>Rogério Ribeiro</v>
      </c>
      <c r="G51">
        <v>2</v>
      </c>
      <c r="H51">
        <v>20</v>
      </c>
      <c r="I51">
        <v>3</v>
      </c>
      <c r="J51">
        <v>23</v>
      </c>
      <c r="L51">
        <v>2026</v>
      </c>
      <c r="M51" t="str">
        <v>2026-062</v>
      </c>
      <c r="N51" t="str">
        <v>A realizar</v>
      </c>
      <c r="O51" t="str">
        <v>TCendo o Futuro</v>
      </c>
      <c r="P51">
        <v>4</v>
      </c>
      <c r="Q51">
        <v>0</v>
      </c>
      <c r="R51">
        <v>1</v>
      </c>
      <c r="S51">
        <v>92</v>
      </c>
      <c r="T51">
        <v>91</v>
      </c>
      <c r="X51" t="s">
        <v>2868</v>
      </c>
      <c r="Y51" t="s">
        <v>3055</v>
      </c>
      <c r="Z51">
        <v>1</v>
      </c>
      <c r="AA51">
        <v>0.3</v>
      </c>
    </row>
    <row r="52" spans="1:27" x14ac:dyDescent="0.25">
      <c r="A52">
        <v>2026</v>
      </c>
      <c r="B52" t="str">
        <v>2026-005</v>
      </c>
      <c r="C52" t="str">
        <v>Realizado</v>
      </c>
      <c r="D52" t="str">
        <v>FIT1: Treinamento e Desenvolvimento (T&amp;D)</v>
      </c>
      <c r="E52">
        <v>16</v>
      </c>
      <c r="F52" t="str">
        <v>Paulo José Góes Daltro</v>
      </c>
      <c r="G52">
        <v>1</v>
      </c>
      <c r="H52">
        <v>0</v>
      </c>
      <c r="I52">
        <v>0</v>
      </c>
      <c r="J52">
        <v>0</v>
      </c>
      <c r="L52">
        <v>2026</v>
      </c>
      <c r="M52" t="str">
        <v>2026-002</v>
      </c>
      <c r="N52" t="str">
        <v>Realizado</v>
      </c>
      <c r="O52" t="str">
        <v>Tcendo o Futuro - Edição Especial Filhos</v>
      </c>
      <c r="P52">
        <v>4</v>
      </c>
      <c r="Q52" t="str">
        <v>Cinthia Thais de Carvalho Luz Thomazi; Adriana Cuoco Portugal; Fernanda Viana de Souza; Denise Duarte Guirra Kuhlmann; Priscila Nolasco de Oliveira</v>
      </c>
      <c r="R52">
        <v>5</v>
      </c>
      <c r="S52">
        <v>97</v>
      </c>
      <c r="T52">
        <v>92</v>
      </c>
      <c r="X52" t="s">
        <v>2868</v>
      </c>
      <c r="Y52" t="s">
        <v>1350</v>
      </c>
      <c r="Z52">
        <v>1</v>
      </c>
      <c r="AA52">
        <v>0.3</v>
      </c>
    </row>
    <row r="53" spans="1:27" x14ac:dyDescent="0.25">
      <c r="A53">
        <v>2026</v>
      </c>
      <c r="B53" t="str">
        <v>2026-004</v>
      </c>
      <c r="C53" t="str">
        <v>Realizado</v>
      </c>
      <c r="D53" t="str">
        <v>Gestão e Fiscalização de Contratos de Equipamentos Médico Hospitalares e Serviços de Manutenção</v>
      </c>
      <c r="E53">
        <v>12</v>
      </c>
      <c r="F53" t="str">
        <v>Tarsila Firmino Ely</v>
      </c>
      <c r="G53">
        <v>2</v>
      </c>
      <c r="H53">
        <v>12</v>
      </c>
      <c r="I53">
        <v>1.7999999999999998</v>
      </c>
      <c r="J53">
        <v>13.8</v>
      </c>
      <c r="L53">
        <v>2026</v>
      </c>
      <c r="M53" t="str">
        <v>2026-018</v>
      </c>
      <c r="N53" t="str">
        <v>Realizado</v>
      </c>
      <c r="O53" t="str">
        <v>Tcendo o Futuro 1</v>
      </c>
      <c r="P53">
        <v>4</v>
      </c>
      <c r="Q53" t="str">
        <v>Cinthia Thais de Carvalho Luz Thomazi; Adriana Cuoco Portugal; Fernanda Viana de Souza; Denise Duarte Guirra Kuhlmann;  Priscila Nolasco de Oliveira</v>
      </c>
      <c r="R53">
        <v>5</v>
      </c>
      <c r="S53">
        <v>102</v>
      </c>
      <c r="T53">
        <v>97</v>
      </c>
      <c r="X53" t="s">
        <v>2868</v>
      </c>
      <c r="Y53" t="s">
        <v>3026</v>
      </c>
      <c r="Z53">
        <v>1</v>
      </c>
      <c r="AA53">
        <v>0.3</v>
      </c>
    </row>
    <row r="54" spans="1:27" x14ac:dyDescent="0.25">
      <c r="A54">
        <v>2026</v>
      </c>
      <c r="B54" t="str">
        <v>2026-004</v>
      </c>
      <c r="C54" t="str">
        <v>Realizado</v>
      </c>
      <c r="D54" t="str">
        <v>Gestão e Fiscalização de Contratos de Equipamentos Médico Hospitalares e Serviços de Manutenção</v>
      </c>
      <c r="E54">
        <v>12</v>
      </c>
      <c r="F54" t="str">
        <v>Luciana Alvim</v>
      </c>
      <c r="G54">
        <v>2</v>
      </c>
      <c r="H54">
        <v>12</v>
      </c>
      <c r="I54">
        <v>1.7999999999999998</v>
      </c>
      <c r="J54">
        <v>13.8</v>
      </c>
      <c r="L54">
        <v>2026</v>
      </c>
      <c r="M54" t="str">
        <v>2026-023</v>
      </c>
      <c r="N54" t="str">
        <v>Realizado</v>
      </c>
      <c r="O54" t="str">
        <v>Tcendo o Futuro 2</v>
      </c>
      <c r="P54">
        <v>4</v>
      </c>
      <c r="Q54" t="str">
        <v>Cinthia Thais de Carvalho Luz Thomazi; Adriana Cuoco Portugal; Fernanda Viana de Souza; Denise Duarte Guirra Kuhlmann;  Priscila Nolasco de Oliveira</v>
      </c>
      <c r="R54">
        <v>5</v>
      </c>
      <c r="S54">
        <v>107</v>
      </c>
      <c r="T54">
        <v>102</v>
      </c>
      <c r="X54" t="s">
        <v>2868</v>
      </c>
      <c r="Y54" t="s">
        <v>3024</v>
      </c>
      <c r="Z54">
        <v>0</v>
      </c>
      <c r="AA54">
        <v>0</v>
      </c>
    </row>
    <row r="55" spans="1:27" x14ac:dyDescent="0.25">
      <c r="A55">
        <v>2026</v>
      </c>
      <c r="B55" t="str">
        <v>2026-037</v>
      </c>
      <c r="C55" t="str">
        <v>Realizado</v>
      </c>
      <c r="D55" t="str">
        <v>Introdução à Engenharia de Prompt - SEE</v>
      </c>
      <c r="E55">
        <v>8</v>
      </c>
      <c r="F55" t="str">
        <v>Arthur Wú</v>
      </c>
      <c r="G55">
        <v>2</v>
      </c>
      <c r="H55">
        <v>8</v>
      </c>
      <c r="I55">
        <v>2.4</v>
      </c>
      <c r="J55">
        <v>10.4</v>
      </c>
      <c r="L55">
        <v>2026</v>
      </c>
      <c r="M55" t="str">
        <v>2026-022</v>
      </c>
      <c r="N55" t="str">
        <v>Realizado</v>
      </c>
      <c r="O55" t="str">
        <v>UniTCDF: Ciências Contábeis</v>
      </c>
      <c r="P55">
        <v>3</v>
      </c>
      <c r="Q55" t="str">
        <v>Fernanda Viana de Souza; Túllio Herbeth Teixeira Moraes</v>
      </c>
      <c r="R55">
        <v>2</v>
      </c>
      <c r="S55">
        <v>109</v>
      </c>
      <c r="T55">
        <v>107</v>
      </c>
      <c r="X55" t="s">
        <v>2900</v>
      </c>
      <c r="Y55" t="s">
        <v>3011</v>
      </c>
      <c r="Z55">
        <v>0</v>
      </c>
      <c r="AA55">
        <v>0</v>
      </c>
    </row>
    <row r="56" spans="1:27" x14ac:dyDescent="0.25">
      <c r="A56">
        <v>2026</v>
      </c>
      <c r="B56" t="str">
        <v>2026-037</v>
      </c>
      <c r="C56" t="str">
        <v>Realizado</v>
      </c>
      <c r="D56" t="str">
        <v>Introdução à Engenharia de Prompt - SEE</v>
      </c>
      <c r="E56">
        <v>8</v>
      </c>
      <c r="F56" t="str">
        <v>Gustavo Takahashi</v>
      </c>
      <c r="G56">
        <v>2</v>
      </c>
      <c r="H56">
        <v>8</v>
      </c>
      <c r="I56">
        <v>0</v>
      </c>
      <c r="J56">
        <v>8</v>
      </c>
      <c r="L56">
        <v>2026</v>
      </c>
      <c r="M56" t="str">
        <v>2026-029</v>
      </c>
      <c r="N56" t="str">
        <v>Realizado</v>
      </c>
      <c r="O56" t="str">
        <v>UniTCDF: TCDF e a Fiscalização de Obras</v>
      </c>
      <c r="P56">
        <v>4</v>
      </c>
      <c r="Q56" t="str">
        <v>Adriana Cuoco Portugal</v>
      </c>
      <c r="R56">
        <v>1</v>
      </c>
      <c r="S56">
        <v>110</v>
      </c>
      <c r="T56">
        <v>109</v>
      </c>
      <c r="X56" t="s">
        <v>2929</v>
      </c>
      <c r="Y56" t="s">
        <v>1030</v>
      </c>
      <c r="Z56">
        <v>0</v>
      </c>
      <c r="AA56">
        <v>0</v>
      </c>
    </row>
    <row r="57" spans="1:27" x14ac:dyDescent="0.25">
      <c r="A57">
        <v>2026</v>
      </c>
      <c r="B57" t="str">
        <v>2026-009</v>
      </c>
      <c r="C57" t="str">
        <v>Realizado</v>
      </c>
      <c r="D57" t="str">
        <v>Introdução à Engenharia de Prompt - t1</v>
      </c>
      <c r="E57">
        <v>8</v>
      </c>
      <c r="F57" t="str">
        <v>Arthur Wú</v>
      </c>
      <c r="G57">
        <v>1</v>
      </c>
      <c r="H57">
        <v>8</v>
      </c>
      <c r="I57">
        <v>2.4</v>
      </c>
      <c r="J57">
        <v>10.4</v>
      </c>
      <c r="R57" t="str">
        <v/>
      </c>
      <c r="S57" t="str">
        <v/>
      </c>
      <c r="T57">
        <v>110</v>
      </c>
      <c r="X57" t="s">
        <v>2919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v>2026</v>
      </c>
      <c r="B58" t="str">
        <v>2026-015</v>
      </c>
      <c r="C58" t="str">
        <v>Realizado</v>
      </c>
      <c r="D58" t="str">
        <v>Introdução à Engenharia de Prompt - t2</v>
      </c>
      <c r="E58">
        <v>8</v>
      </c>
      <c r="F58" t="str">
        <v>Arthur Wú</v>
      </c>
      <c r="G58">
        <v>2</v>
      </c>
      <c r="H58">
        <v>8</v>
      </c>
      <c r="I58">
        <v>2.4</v>
      </c>
      <c r="J58">
        <v>10.4</v>
      </c>
      <c r="R58" t="str">
        <v/>
      </c>
      <c r="S58" t="str">
        <v/>
      </c>
      <c r="X58" t="s">
        <v>2919</v>
      </c>
      <c r="Y58" s="110" t="s">
        <v>3018</v>
      </c>
      <c r="Z58">
        <v>0</v>
      </c>
      <c r="AA58">
        <v>0</v>
      </c>
    </row>
    <row r="59" spans="1:27" x14ac:dyDescent="0.25">
      <c r="A59">
        <v>2026</v>
      </c>
      <c r="B59" t="str">
        <v>2026-015</v>
      </c>
      <c r="C59" t="str">
        <v>Realizado</v>
      </c>
      <c r="D59" t="str">
        <v>Introdução à Engenharia de Prompt - t2</v>
      </c>
      <c r="E59">
        <v>8</v>
      </c>
      <c r="F59" t="str">
        <v>Gustavo Takahashi</v>
      </c>
      <c r="G59">
        <v>2</v>
      </c>
      <c r="H59">
        <v>8</v>
      </c>
      <c r="I59">
        <v>0</v>
      </c>
      <c r="J59">
        <v>8</v>
      </c>
      <c r="R59" t="str">
        <v/>
      </c>
      <c r="S59" t="str">
        <v/>
      </c>
      <c r="X59" t="s">
        <v>2919</v>
      </c>
      <c r="Y59" t="s">
        <v>3017</v>
      </c>
      <c r="Z59">
        <v>8</v>
      </c>
      <c r="AA59">
        <v>2.4</v>
      </c>
    </row>
    <row r="60" spans="1:27" x14ac:dyDescent="0.25">
      <c r="A60">
        <v>2026</v>
      </c>
      <c r="B60" t="str">
        <v>2026-024</v>
      </c>
      <c r="C60" t="str">
        <v>Realizado</v>
      </c>
      <c r="D60" t="str">
        <v>Introdução à Engenharia de Prompt - T3</v>
      </c>
      <c r="E60">
        <v>8</v>
      </c>
      <c r="F60" t="str">
        <v>Arthur Wú</v>
      </c>
      <c r="G60">
        <v>2</v>
      </c>
      <c r="H60">
        <v>8</v>
      </c>
      <c r="I60">
        <v>2.4</v>
      </c>
      <c r="J60">
        <v>10.4</v>
      </c>
      <c r="R60" t="str">
        <v/>
      </c>
      <c r="S60" t="str">
        <v/>
      </c>
      <c r="X60" t="s">
        <v>2919</v>
      </c>
      <c r="Y60" t="s">
        <v>3016</v>
      </c>
      <c r="Z60">
        <v>8</v>
      </c>
      <c r="AA60">
        <v>2.4</v>
      </c>
    </row>
    <row r="61" spans="1:27" x14ac:dyDescent="0.25">
      <c r="A61">
        <v>2026</v>
      </c>
      <c r="B61" t="str">
        <v>2026-024</v>
      </c>
      <c r="C61" t="str">
        <v>Realizado</v>
      </c>
      <c r="D61" t="str">
        <v>Introdução à Engenharia de Prompt - T3</v>
      </c>
      <c r="E61">
        <v>8</v>
      </c>
      <c r="F61" t="str">
        <v>Gustavo Takahashi</v>
      </c>
      <c r="G61">
        <v>2</v>
      </c>
      <c r="H61">
        <v>8</v>
      </c>
      <c r="I61">
        <v>0</v>
      </c>
      <c r="J61">
        <v>8</v>
      </c>
      <c r="R61" t="str">
        <v/>
      </c>
      <c r="S61" t="str">
        <v/>
      </c>
      <c r="X61" t="s">
        <v>2909</v>
      </c>
      <c r="Y61" s="18" t="s">
        <v>1350</v>
      </c>
      <c r="Z61">
        <v>0</v>
      </c>
      <c r="AA61">
        <v>0</v>
      </c>
    </row>
    <row r="62" spans="1:27" x14ac:dyDescent="0.25">
      <c r="A62">
        <v>2026</v>
      </c>
      <c r="B62" t="str">
        <v>2026-036</v>
      </c>
      <c r="C62" t="str">
        <v>Realizado</v>
      </c>
      <c r="D62" t="str">
        <v>Introdução à Engenharia de Prompt - T4</v>
      </c>
      <c r="E62">
        <v>8</v>
      </c>
      <c r="F62" t="str">
        <v>Arthur Wú</v>
      </c>
      <c r="G62">
        <v>2</v>
      </c>
      <c r="H62">
        <v>8</v>
      </c>
      <c r="I62">
        <v>2.4</v>
      </c>
      <c r="J62">
        <v>10.4</v>
      </c>
      <c r="R62" t="str">
        <v/>
      </c>
      <c r="S62" t="str">
        <v/>
      </c>
      <c r="X62" t="s">
        <v>2909</v>
      </c>
      <c r="Y62" t="s">
        <v>556</v>
      </c>
      <c r="Z62">
        <v>0</v>
      </c>
      <c r="AA62">
        <v>0</v>
      </c>
    </row>
    <row r="63" spans="1:27" x14ac:dyDescent="0.25">
      <c r="A63">
        <v>2026</v>
      </c>
      <c r="B63" t="str">
        <v>2026-036</v>
      </c>
      <c r="C63" t="str">
        <v>Realizado</v>
      </c>
      <c r="D63" t="str">
        <v>Introdução à Engenharia de Prompt - T4</v>
      </c>
      <c r="E63">
        <v>8</v>
      </c>
      <c r="F63" t="str">
        <v>Gustavo Takahashi</v>
      </c>
      <c r="G63">
        <v>2</v>
      </c>
      <c r="H63">
        <v>8</v>
      </c>
      <c r="I63">
        <v>0</v>
      </c>
      <c r="J63">
        <v>8</v>
      </c>
      <c r="R63" t="str">
        <v/>
      </c>
      <c r="S63" t="str">
        <v/>
      </c>
      <c r="X63" t="s">
        <v>2909</v>
      </c>
      <c r="Y63" s="111" t="s">
        <v>717</v>
      </c>
      <c r="Z63">
        <v>0</v>
      </c>
      <c r="AA63">
        <v>0</v>
      </c>
    </row>
    <row r="64" spans="1:27" x14ac:dyDescent="0.25">
      <c r="A64">
        <v>2026</v>
      </c>
      <c r="B64" t="str">
        <v>2026-038</v>
      </c>
      <c r="C64" t="str">
        <v>A realizar</v>
      </c>
      <c r="D64" t="str">
        <v>Introdução ao processo de controle externo - EAD</v>
      </c>
      <c r="E64">
        <v>16</v>
      </c>
      <c r="F64" t="str">
        <v>Gabriel Heller</v>
      </c>
      <c r="G64">
        <v>1</v>
      </c>
      <c r="H64">
        <v>0</v>
      </c>
      <c r="I64">
        <v>32</v>
      </c>
      <c r="J64">
        <v>32</v>
      </c>
      <c r="R64" t="str">
        <v/>
      </c>
      <c r="S64" t="str">
        <v/>
      </c>
      <c r="X64" t="s">
        <v>2909</v>
      </c>
      <c r="Y64" t="s">
        <v>3008</v>
      </c>
      <c r="Z64">
        <v>0</v>
      </c>
      <c r="AA64">
        <v>0</v>
      </c>
    </row>
    <row r="65" spans="1:27" x14ac:dyDescent="0.25">
      <c r="A65">
        <v>2026</v>
      </c>
      <c r="B65" t="str">
        <v>2026-016</v>
      </c>
      <c r="C65" t="str">
        <v>Realizado</v>
      </c>
      <c r="D65" t="str">
        <v>Mentoria de introdução à Engenharia de Prompt</v>
      </c>
      <c r="E65">
        <v>2</v>
      </c>
      <c r="F65" t="str">
        <v>Arthur Wú</v>
      </c>
      <c r="G65">
        <v>2</v>
      </c>
      <c r="H65">
        <v>1</v>
      </c>
      <c r="I65">
        <v>0.6</v>
      </c>
      <c r="J65">
        <v>1.6</v>
      </c>
      <c r="R65" t="str">
        <v/>
      </c>
      <c r="S65" t="str">
        <v/>
      </c>
      <c r="X65" t="s">
        <v>2950</v>
      </c>
      <c r="Y65" t="s">
        <v>2879</v>
      </c>
      <c r="Z65">
        <v>0</v>
      </c>
      <c r="AA65">
        <v>34.9</v>
      </c>
    </row>
    <row r="66" spans="1:27" x14ac:dyDescent="0.25">
      <c r="A66">
        <v>2026</v>
      </c>
      <c r="B66" t="str">
        <v>2026-016</v>
      </c>
      <c r="C66" t="str">
        <v>Realizado</v>
      </c>
      <c r="D66" t="str">
        <v>Mentoria de introdução à Engenharia de Prompt</v>
      </c>
      <c r="E66">
        <v>2</v>
      </c>
      <c r="F66" t="str">
        <v>Gustavo Takahashi</v>
      </c>
      <c r="G66">
        <v>2</v>
      </c>
      <c r="H66">
        <v>1</v>
      </c>
      <c r="I66">
        <v>0</v>
      </c>
      <c r="J66">
        <v>1</v>
      </c>
      <c r="R66" t="str">
        <v/>
      </c>
      <c r="S66" t="str">
        <v/>
      </c>
      <c r="X66" t="s">
        <v>2950</v>
      </c>
      <c r="Y66" t="s">
        <v>1479</v>
      </c>
      <c r="Z66">
        <v>0</v>
      </c>
      <c r="AA66">
        <v>34.9</v>
      </c>
    </row>
    <row r="67" spans="1:27" x14ac:dyDescent="0.25">
      <c r="A67">
        <v>2026</v>
      </c>
      <c r="B67" t="str">
        <v>2026-017</v>
      </c>
      <c r="C67" t="str">
        <v>Realizado</v>
      </c>
      <c r="D67" t="str">
        <v>Mostra Fotográfica “Meu Olhar sobre Brasília”</v>
      </c>
      <c r="E67">
        <v>0</v>
      </c>
      <c r="F67" t="str">
        <v>Servidores, colaboradores e estagiários do TCDF</v>
      </c>
      <c r="G67">
        <v>1</v>
      </c>
      <c r="H67">
        <v>0</v>
      </c>
      <c r="I67">
        <v>0</v>
      </c>
      <c r="J67">
        <v>0</v>
      </c>
      <c r="R67" t="str">
        <v/>
      </c>
      <c r="S67" t="str">
        <v/>
      </c>
      <c r="X67" t="s">
        <v>2783</v>
      </c>
      <c r="Y67" t="s">
        <v>1374</v>
      </c>
      <c r="Z67">
        <v>3</v>
      </c>
      <c r="AA67">
        <v>0.9</v>
      </c>
    </row>
    <row r="68" spans="1:27" x14ac:dyDescent="0.25">
      <c r="A68">
        <v>2026</v>
      </c>
      <c r="B68" t="str">
        <v>2026-039</v>
      </c>
      <c r="C68" t="str">
        <v>Realizado</v>
      </c>
      <c r="D68" t="str">
        <v>MROSC para os gestores das Organizações da Sociedade Civil – OSCs</v>
      </c>
      <c r="E68">
        <v>12</v>
      </c>
      <c r="F68" t="str">
        <v>Indio Artiaga do Brasil Rabelo</v>
      </c>
      <c r="G68">
        <v>2</v>
      </c>
      <c r="H68">
        <v>12</v>
      </c>
      <c r="I68">
        <v>3.6</v>
      </c>
      <c r="J68">
        <v>15.6</v>
      </c>
      <c r="R68" t="str">
        <v/>
      </c>
      <c r="S68" t="str">
        <v/>
      </c>
      <c r="X68" t="s">
        <v>2783</v>
      </c>
      <c r="Y68" t="s">
        <v>3006</v>
      </c>
      <c r="Z68">
        <v>3</v>
      </c>
      <c r="AA68">
        <v>0.9</v>
      </c>
    </row>
    <row r="69" spans="1:27" x14ac:dyDescent="0.25">
      <c r="A69">
        <v>2026</v>
      </c>
      <c r="B69" t="str">
        <v>2026-039</v>
      </c>
      <c r="C69" t="str">
        <v>Realizado</v>
      </c>
      <c r="D69" t="str">
        <v>MROSC para os gestores das Organizações da Sociedade Civil – OSCs</v>
      </c>
      <c r="E69">
        <v>12</v>
      </c>
      <c r="F69" t="str">
        <v>Leonardo de Melo</v>
      </c>
      <c r="G69">
        <v>2</v>
      </c>
      <c r="H69">
        <v>0</v>
      </c>
      <c r="I69">
        <v>0</v>
      </c>
      <c r="J69">
        <v>0</v>
      </c>
      <c r="R69" t="str">
        <v/>
      </c>
      <c r="S69" t="str">
        <v/>
      </c>
      <c r="X69" t="s">
        <v>2797</v>
      </c>
      <c r="Y69" t="s">
        <v>2710</v>
      </c>
      <c r="Z69">
        <v>0</v>
      </c>
      <c r="AA69">
        <v>0</v>
      </c>
    </row>
    <row r="70" spans="1:27" x14ac:dyDescent="0.25">
      <c r="A70">
        <v>2026</v>
      </c>
      <c r="B70" t="str">
        <v>2026-041</v>
      </c>
      <c r="C70" t="str">
        <v>Realizado</v>
      </c>
      <c r="D70" t="str">
        <v>O novo olhar sobre as políticas públicas para o Controle Externo</v>
      </c>
      <c r="E70">
        <v>24</v>
      </c>
      <c r="F70" t="str">
        <v>Reinaldo Alencar</v>
      </c>
      <c r="G70">
        <v>2</v>
      </c>
      <c r="H70">
        <v>24</v>
      </c>
      <c r="I70">
        <v>3.5999999999999996</v>
      </c>
      <c r="J70">
        <v>27.6</v>
      </c>
      <c r="R70" t="str">
        <v/>
      </c>
      <c r="S70" t="str">
        <v/>
      </c>
      <c r="X70" t="s">
        <v>2842</v>
      </c>
      <c r="Y70" s="18" t="s">
        <v>2730</v>
      </c>
      <c r="AA70">
        <v>2.4</v>
      </c>
    </row>
    <row r="71" spans="1:27" x14ac:dyDescent="0.25">
      <c r="A71">
        <v>2026</v>
      </c>
      <c r="B71" t="str">
        <v>2026-041</v>
      </c>
      <c r="C71" t="str">
        <v>Realizado</v>
      </c>
      <c r="D71" t="str">
        <v>O novo olhar sobre as políticas públicas para o Controle Externo</v>
      </c>
      <c r="E71">
        <v>24</v>
      </c>
      <c r="F71" t="str">
        <v>Rogério Ribeiro</v>
      </c>
      <c r="G71">
        <v>2</v>
      </c>
      <c r="H71">
        <v>24</v>
      </c>
      <c r="I71">
        <v>3.5999999999999996</v>
      </c>
      <c r="J71">
        <v>27.6</v>
      </c>
      <c r="R71" t="str">
        <v/>
      </c>
      <c r="S71" t="str">
        <v/>
      </c>
      <c r="X71" t="s">
        <v>2842</v>
      </c>
      <c r="Y71" s="18" t="s">
        <v>2990</v>
      </c>
      <c r="AA71">
        <v>0</v>
      </c>
    </row>
    <row r="72" spans="1:27" x14ac:dyDescent="0.25">
      <c r="A72">
        <v>2026</v>
      </c>
      <c r="B72" t="str">
        <v>2026-053</v>
      </c>
      <c r="C72" t="str">
        <v>A realizar</v>
      </c>
      <c r="D72" t="str">
        <v>Oficina Temática - SEMAT: Aditivos na Contratação Integrada de obras e serviços de engenharia</v>
      </c>
      <c r="E72">
        <v>4</v>
      </c>
      <c r="F72" t="str">
        <v>Douglas Vieira Silva Filho</v>
      </c>
      <c r="G72">
        <v>2</v>
      </c>
      <c r="H72">
        <v>4</v>
      </c>
      <c r="I72">
        <v>1.2</v>
      </c>
      <c r="J72">
        <v>5.2</v>
      </c>
      <c r="R72" t="str">
        <v/>
      </c>
      <c r="S72" t="str">
        <v/>
      </c>
      <c r="X72" t="s">
        <v>2849</v>
      </c>
      <c r="Y72" t="s">
        <v>862</v>
      </c>
      <c r="AA72">
        <v>3.6</v>
      </c>
    </row>
    <row r="73" spans="1:27" x14ac:dyDescent="0.25">
      <c r="A73">
        <v>2026</v>
      </c>
      <c r="B73" t="str">
        <v>2026-053</v>
      </c>
      <c r="C73" t="str">
        <v>A realizar</v>
      </c>
      <c r="D73" t="str">
        <v>Oficina Temática - SEMAT: Aditivos na Contratação Integrada de obras e serviços de engenharia</v>
      </c>
      <c r="E73">
        <v>4</v>
      </c>
      <c r="F73" t="str">
        <v>Silvia Lima Damasceno Carvalho</v>
      </c>
      <c r="G73">
        <v>2</v>
      </c>
      <c r="H73">
        <v>4</v>
      </c>
      <c r="I73">
        <v>1.2</v>
      </c>
      <c r="J73">
        <v>5.2</v>
      </c>
      <c r="R73" t="str">
        <v/>
      </c>
      <c r="S73" t="str">
        <v/>
      </c>
      <c r="X73" t="s">
        <v>2849</v>
      </c>
      <c r="Y73" t="s">
        <v>2995</v>
      </c>
      <c r="Z73">
        <v>0</v>
      </c>
      <c r="AA73">
        <v>0</v>
      </c>
    </row>
    <row r="74" spans="1:27" x14ac:dyDescent="0.25">
      <c r="A74">
        <v>2026</v>
      </c>
      <c r="B74" t="str">
        <v>2026-051</v>
      </c>
      <c r="C74" t="str">
        <v>A realizar</v>
      </c>
      <c r="D74" t="str">
        <v>Oficina Temática – SEMAT: Controle Tecnológico de obras e serviços de engenharia</v>
      </c>
      <c r="E74">
        <v>4</v>
      </c>
      <c r="F74" t="str">
        <v>Silvia Lima Damasceno Carvalho</v>
      </c>
      <c r="G74">
        <v>2</v>
      </c>
      <c r="H74">
        <v>4</v>
      </c>
      <c r="I74">
        <v>1.2</v>
      </c>
      <c r="J74">
        <v>5.2</v>
      </c>
      <c r="R74" t="str">
        <v/>
      </c>
      <c r="S74" t="str">
        <v/>
      </c>
      <c r="X74" t="s">
        <v>2864</v>
      </c>
      <c r="Y74" t="s">
        <v>479</v>
      </c>
      <c r="Z74">
        <v>0</v>
      </c>
      <c r="AA74">
        <v>0</v>
      </c>
    </row>
    <row r="75" spans="1:27" x14ac:dyDescent="0.25">
      <c r="A75">
        <v>2026</v>
      </c>
      <c r="B75" t="str">
        <v>2026-051</v>
      </c>
      <c r="C75" t="str">
        <v>A realizar</v>
      </c>
      <c r="D75" t="str">
        <v>Oficina Temática – SEMAT: Controle Tecnológico de obras e serviços de engenharia</v>
      </c>
      <c r="E75">
        <v>4</v>
      </c>
      <c r="F75" t="str">
        <v>Marcelo Silva Santana</v>
      </c>
      <c r="G75">
        <v>2</v>
      </c>
      <c r="H75">
        <v>4</v>
      </c>
      <c r="I75">
        <v>1.2</v>
      </c>
      <c r="J75">
        <v>5.2</v>
      </c>
      <c r="R75" t="str">
        <v/>
      </c>
      <c r="S75" t="str">
        <v/>
      </c>
      <c r="X75" t="s">
        <v>2873</v>
      </c>
      <c r="Y75" t="s">
        <v>2710</v>
      </c>
      <c r="Z75">
        <v>0</v>
      </c>
      <c r="AA75">
        <v>0</v>
      </c>
    </row>
    <row r="76" spans="1:27" x14ac:dyDescent="0.25">
      <c r="A76">
        <v>2026</v>
      </c>
      <c r="B76" t="str">
        <v>2026-046</v>
      </c>
      <c r="C76" t="str">
        <v>A realizar</v>
      </c>
      <c r="D76" t="str">
        <v>Oficina Temática – SEMAT: Falhas recorrentes em contratações de TI</v>
      </c>
      <c r="E76">
        <v>8</v>
      </c>
      <c r="F76" t="str">
        <v>Felipe da Costa Malaquias</v>
      </c>
      <c r="G76">
        <v>1</v>
      </c>
      <c r="H76">
        <v>8</v>
      </c>
      <c r="I76">
        <v>2.4</v>
      </c>
      <c r="J76">
        <v>10.4</v>
      </c>
      <c r="R76" t="str">
        <v/>
      </c>
      <c r="S76" t="str">
        <v/>
      </c>
      <c r="X76" t="s">
        <v>2888</v>
      </c>
      <c r="Y76" t="s">
        <v>942</v>
      </c>
      <c r="AA76">
        <v>1.2</v>
      </c>
    </row>
    <row r="77" spans="1:27" x14ac:dyDescent="0.25">
      <c r="A77">
        <v>2026</v>
      </c>
      <c r="B77" t="str">
        <v>2026-068</v>
      </c>
      <c r="C77" t="str">
        <v>A realizar</v>
      </c>
      <c r="D77" t="str">
        <v>Oficina Temática - SEMAT: Matriz de Riscos em contratos de obras e serviços de engenharia</v>
      </c>
      <c r="E77">
        <v>4</v>
      </c>
      <c r="F77" t="str">
        <v>Silvia Lima Damasceno Carvalho</v>
      </c>
      <c r="G77">
        <v>2</v>
      </c>
      <c r="H77">
        <v>4</v>
      </c>
      <c r="I77">
        <v>1.2</v>
      </c>
      <c r="J77">
        <v>5.2</v>
      </c>
      <c r="R77" t="str">
        <v/>
      </c>
      <c r="S77" t="str">
        <v/>
      </c>
      <c r="X77" t="s">
        <v>2888</v>
      </c>
      <c r="Y77" t="s">
        <v>3009</v>
      </c>
      <c r="AA77">
        <v>1.2</v>
      </c>
    </row>
    <row r="78" spans="1:27" x14ac:dyDescent="0.25">
      <c r="A78">
        <v>2026</v>
      </c>
      <c r="B78" t="str">
        <v>2026-068</v>
      </c>
      <c r="C78" t="str">
        <v>A realizar</v>
      </c>
      <c r="D78" t="str">
        <v>Oficina Temática - SEMAT: Matriz de Riscos em contratos de obras e serviços de engenharia</v>
      </c>
      <c r="E78">
        <v>4</v>
      </c>
      <c r="F78" t="str">
        <v>Renan Dias da Silva</v>
      </c>
      <c r="G78">
        <v>2</v>
      </c>
      <c r="H78">
        <v>4</v>
      </c>
      <c r="I78">
        <v>1.2</v>
      </c>
      <c r="J78">
        <v>5.2</v>
      </c>
      <c r="R78" t="str">
        <v/>
      </c>
      <c r="S78" t="str">
        <v/>
      </c>
      <c r="X78" t="s">
        <v>2896</v>
      </c>
      <c r="Y78" t="s">
        <v>942</v>
      </c>
      <c r="AA78">
        <v>1.2</v>
      </c>
    </row>
    <row r="79" spans="1:27" x14ac:dyDescent="0.25">
      <c r="A79">
        <v>2026</v>
      </c>
      <c r="B79" t="str">
        <v>2026-047</v>
      </c>
      <c r="C79" t="str">
        <v>A realizar</v>
      </c>
      <c r="D79" t="str">
        <v>Oficina Temática - SEMAT: MROSC para servidores do GDF</v>
      </c>
      <c r="E79">
        <v>4</v>
      </c>
      <c r="F79" t="str">
        <v>Indio Artiaga do Brasil Rabelo</v>
      </c>
      <c r="G79">
        <v>2</v>
      </c>
      <c r="H79">
        <v>4</v>
      </c>
      <c r="I79">
        <v>1.2</v>
      </c>
      <c r="J79">
        <v>5.2</v>
      </c>
      <c r="R79" t="str">
        <v/>
      </c>
      <c r="S79" t="str">
        <v/>
      </c>
      <c r="X79" t="s">
        <v>2896</v>
      </c>
      <c r="Y79" t="s">
        <v>3013</v>
      </c>
      <c r="AA79">
        <v>1.2</v>
      </c>
    </row>
    <row r="80" spans="1:27" x14ac:dyDescent="0.25">
      <c r="A80">
        <v>2026</v>
      </c>
      <c r="B80" t="str">
        <v>2026-047</v>
      </c>
      <c r="C80" t="str">
        <v>A realizar</v>
      </c>
      <c r="D80" t="str">
        <v>Oficina Temática - SEMAT: MROSC para servidores do GDF</v>
      </c>
      <c r="E80">
        <v>4</v>
      </c>
      <c r="F80" t="str">
        <v>Leonardo de Melo</v>
      </c>
      <c r="G80">
        <v>2</v>
      </c>
      <c r="H80">
        <v>0</v>
      </c>
      <c r="I80">
        <v>0</v>
      </c>
      <c r="J80">
        <v>0</v>
      </c>
      <c r="R80" t="str">
        <v/>
      </c>
      <c r="S80" t="str">
        <v/>
      </c>
      <c r="X80" t="s">
        <v>2900</v>
      </c>
      <c r="Y80" t="s">
        <v>3010</v>
      </c>
      <c r="AA80">
        <v>1.2</v>
      </c>
    </row>
    <row r="81" spans="1:27" x14ac:dyDescent="0.25">
      <c r="A81">
        <v>2026</v>
      </c>
      <c r="B81" t="str">
        <v>2026-049</v>
      </c>
      <c r="C81" t="str">
        <v>A realizar</v>
      </c>
      <c r="D81" t="str">
        <v>Oficina Temática - SEMAT: Pesquisa de Preços em contratos de obras e serviços de engenharia</v>
      </c>
      <c r="E81">
        <v>4</v>
      </c>
      <c r="F81" t="str">
        <v>Silvia Lima Damasceno Carvalho</v>
      </c>
      <c r="G81">
        <v>2</v>
      </c>
      <c r="H81">
        <v>4</v>
      </c>
      <c r="I81">
        <v>1.2</v>
      </c>
      <c r="J81">
        <v>5.2</v>
      </c>
      <c r="R81" t="str">
        <v/>
      </c>
      <c r="S81" t="str">
        <v/>
      </c>
      <c r="X81" t="s">
        <v>2905</v>
      </c>
      <c r="Y81" t="s">
        <v>942</v>
      </c>
      <c r="AA81">
        <v>1.2</v>
      </c>
    </row>
    <row r="82" spans="1:27" x14ac:dyDescent="0.25">
      <c r="A82">
        <v>2026</v>
      </c>
      <c r="B82" t="str">
        <v>2026-049</v>
      </c>
      <c r="C82" t="str">
        <v>A realizar</v>
      </c>
      <c r="D82" t="str">
        <v>Oficina Temática - SEMAT: Pesquisa de Preços em contratos de obras e serviços de engenharia</v>
      </c>
      <c r="E82">
        <v>4</v>
      </c>
      <c r="F82" t="str">
        <v>Wibys Pereira</v>
      </c>
      <c r="G82">
        <v>2</v>
      </c>
      <c r="H82">
        <v>4</v>
      </c>
      <c r="I82">
        <v>1.2</v>
      </c>
      <c r="J82">
        <v>5.2</v>
      </c>
      <c r="R82" t="str">
        <v/>
      </c>
      <c r="S82" t="str">
        <v/>
      </c>
      <c r="X82" t="s">
        <v>2905</v>
      </c>
      <c r="Y82" t="s">
        <v>3014</v>
      </c>
      <c r="AA82">
        <v>1.2</v>
      </c>
    </row>
    <row r="83" spans="1:27" x14ac:dyDescent="0.25">
      <c r="A83">
        <v>2026</v>
      </c>
      <c r="B83" t="str">
        <v>2026-048</v>
      </c>
      <c r="C83" t="str">
        <v>A realizar</v>
      </c>
      <c r="D83" t="str">
        <v>Oficina Temática - SEMAT: Reajuste de preços em contratos de obras e serviços de engenharia</v>
      </c>
      <c r="E83">
        <v>4</v>
      </c>
      <c r="F83" t="str">
        <v>Thiago Magalhães de Oliveira</v>
      </c>
      <c r="G83">
        <v>2</v>
      </c>
      <c r="H83">
        <v>4</v>
      </c>
      <c r="I83">
        <v>1.2</v>
      </c>
      <c r="J83">
        <v>5.2</v>
      </c>
      <c r="R83" t="str">
        <v/>
      </c>
      <c r="S83" t="str">
        <v/>
      </c>
    </row>
    <row r="84" spans="1:27" x14ac:dyDescent="0.25">
      <c r="A84">
        <v>2026</v>
      </c>
      <c r="B84" t="str">
        <v>2026-048</v>
      </c>
      <c r="C84" t="str">
        <v>A realizar</v>
      </c>
      <c r="D84" t="str">
        <v>Oficina Temática - SEMAT: Reajuste de preços em contratos de obras e serviços de engenharia</v>
      </c>
      <c r="E84">
        <v>4</v>
      </c>
      <c r="F84" t="str">
        <v>Silvia Lima Damasceno Carvalho</v>
      </c>
      <c r="G84">
        <v>2</v>
      </c>
      <c r="H84">
        <v>4</v>
      </c>
      <c r="I84">
        <v>1.2</v>
      </c>
      <c r="J84">
        <v>5.2</v>
      </c>
      <c r="R84" t="str">
        <v/>
      </c>
      <c r="S84" t="str">
        <v/>
      </c>
    </row>
    <row r="85" spans="1:27" x14ac:dyDescent="0.25">
      <c r="A85">
        <v>2026</v>
      </c>
      <c r="B85" t="str">
        <v>2026-043</v>
      </c>
      <c r="C85" t="str">
        <v>Realizado</v>
      </c>
      <c r="D85" t="str">
        <v>Painel MROSC</v>
      </c>
      <c r="E85">
        <v>4</v>
      </c>
      <c r="F85" t="str">
        <v>Diversos</v>
      </c>
      <c r="G85">
        <v>1</v>
      </c>
      <c r="H85">
        <v>0</v>
      </c>
      <c r="I85">
        <v>0</v>
      </c>
      <c r="J85">
        <v>0</v>
      </c>
      <c r="R85" t="str">
        <v/>
      </c>
      <c r="S85" t="str">
        <v/>
      </c>
    </row>
    <row r="86" spans="1:27" x14ac:dyDescent="0.25">
      <c r="A86">
        <v>2026</v>
      </c>
      <c r="B86" t="str">
        <v>2026-007</v>
      </c>
      <c r="C86" t="str">
        <v>Realizado</v>
      </c>
      <c r="D86" t="str">
        <v>Planilhas de Terceirização de Mão de Obra, de acordo com a Lei nº 14.133/2021 - T1</v>
      </c>
      <c r="E86">
        <v>20</v>
      </c>
      <c r="F86" t="str">
        <v>Leonardo José Alves Leal Neri</v>
      </c>
      <c r="G86">
        <v>1</v>
      </c>
      <c r="H86">
        <v>20</v>
      </c>
      <c r="I86">
        <v>6</v>
      </c>
      <c r="J86">
        <v>26</v>
      </c>
      <c r="R86" t="str">
        <v/>
      </c>
      <c r="S86" t="str">
        <v/>
      </c>
    </row>
    <row r="87" spans="1:27" x14ac:dyDescent="0.25">
      <c r="A87">
        <v>2026</v>
      </c>
      <c r="B87" t="str">
        <v>2026-010</v>
      </c>
      <c r="C87" t="str">
        <v>Realizado</v>
      </c>
      <c r="D87" t="str">
        <v>Planilhas de Terceirização de Mão de Obra, de acordo com a Lei nº 14.133/2021 - T2</v>
      </c>
      <c r="E87">
        <v>20</v>
      </c>
      <c r="F87" t="str">
        <v>Leonardo José Alves Leal Neri</v>
      </c>
      <c r="G87">
        <v>1</v>
      </c>
      <c r="H87">
        <v>20</v>
      </c>
      <c r="I87">
        <v>6</v>
      </c>
      <c r="J87">
        <v>26</v>
      </c>
      <c r="R87" t="str">
        <v/>
      </c>
      <c r="S87" t="str">
        <v/>
      </c>
    </row>
    <row r="88" spans="1:27" x14ac:dyDescent="0.25">
      <c r="A88">
        <v>2026</v>
      </c>
      <c r="B88" t="str">
        <v>2026-055</v>
      </c>
      <c r="C88" t="str">
        <v>A realizar</v>
      </c>
      <c r="D88" t="str">
        <v>TCendo o Futuro</v>
      </c>
      <c r="E88">
        <v>4</v>
      </c>
      <c r="F88" t="str">
        <v>0</v>
      </c>
      <c r="G88">
        <v>1</v>
      </c>
      <c r="H88">
        <v>4</v>
      </c>
      <c r="I88">
        <v>1.2</v>
      </c>
      <c r="J88">
        <v>5.2</v>
      </c>
      <c r="R88" t="str">
        <v/>
      </c>
      <c r="S88" t="str">
        <v/>
      </c>
    </row>
    <row r="89" spans="1:27" x14ac:dyDescent="0.25">
      <c r="A89">
        <v>2026</v>
      </c>
      <c r="B89" t="str">
        <v>2026-056</v>
      </c>
      <c r="C89" t="str">
        <v>A realizar</v>
      </c>
      <c r="D89" t="str">
        <v>TCendo o Futuro</v>
      </c>
      <c r="E89">
        <v>4</v>
      </c>
      <c r="F89" t="str">
        <v>0</v>
      </c>
      <c r="G89">
        <v>1</v>
      </c>
      <c r="H89">
        <v>4</v>
      </c>
      <c r="I89">
        <v>1.2</v>
      </c>
      <c r="J89">
        <v>5.2</v>
      </c>
      <c r="R89" t="str">
        <v/>
      </c>
      <c r="S89" t="str">
        <v/>
      </c>
    </row>
    <row r="90" spans="1:27" x14ac:dyDescent="0.25">
      <c r="A90">
        <v>2026</v>
      </c>
      <c r="B90" t="str">
        <v>2026-059</v>
      </c>
      <c r="C90" t="str">
        <v>A realizar</v>
      </c>
      <c r="D90" t="str">
        <v>TCendo o Futuro</v>
      </c>
      <c r="E90">
        <v>4</v>
      </c>
      <c r="F90" t="str">
        <v>0</v>
      </c>
      <c r="G90">
        <v>1</v>
      </c>
      <c r="H90">
        <v>4</v>
      </c>
      <c r="I90">
        <v>1.2</v>
      </c>
      <c r="J90">
        <v>5.2</v>
      </c>
      <c r="R90" t="str">
        <v/>
      </c>
      <c r="S90" t="str">
        <v/>
      </c>
    </row>
    <row r="91" spans="1:27" x14ac:dyDescent="0.25">
      <c r="A91">
        <v>2026</v>
      </c>
      <c r="B91" t="str">
        <v>2026-060</v>
      </c>
      <c r="C91" t="str">
        <v>A realizar</v>
      </c>
      <c r="D91" t="str">
        <v>TCendo o Futuro</v>
      </c>
      <c r="E91">
        <v>4</v>
      </c>
      <c r="F91" t="str">
        <v>0</v>
      </c>
      <c r="G91">
        <v>1</v>
      </c>
      <c r="H91">
        <v>4</v>
      </c>
      <c r="I91">
        <v>1.2</v>
      </c>
      <c r="J91">
        <v>5.2</v>
      </c>
      <c r="R91" t="str">
        <v/>
      </c>
      <c r="S91" t="str">
        <v/>
      </c>
    </row>
    <row r="92" spans="1:27" x14ac:dyDescent="0.25">
      <c r="A92">
        <v>2026</v>
      </c>
      <c r="B92" t="str">
        <v>2026-061</v>
      </c>
      <c r="C92" t="str">
        <v>A realizar</v>
      </c>
      <c r="D92" t="str">
        <v>TCendo o Futuro</v>
      </c>
      <c r="E92">
        <v>4</v>
      </c>
      <c r="F92" t="str">
        <v>0</v>
      </c>
      <c r="G92">
        <v>1</v>
      </c>
      <c r="H92">
        <v>4</v>
      </c>
      <c r="I92">
        <v>1.2</v>
      </c>
      <c r="J92">
        <v>5.2</v>
      </c>
      <c r="R92" t="str">
        <v/>
      </c>
      <c r="S92" t="str">
        <v/>
      </c>
    </row>
    <row r="93" spans="1:27" x14ac:dyDescent="0.25">
      <c r="A93">
        <v>2026</v>
      </c>
      <c r="B93" t="str">
        <v>2026-062</v>
      </c>
      <c r="C93" t="str">
        <v>A realizar</v>
      </c>
      <c r="D93" t="str">
        <v>TCendo o Futuro</v>
      </c>
      <c r="E93">
        <v>4</v>
      </c>
      <c r="F93" t="str">
        <v>0</v>
      </c>
      <c r="G93">
        <v>1</v>
      </c>
      <c r="H93">
        <v>4</v>
      </c>
      <c r="I93">
        <v>1.2</v>
      </c>
      <c r="J93">
        <v>5.2</v>
      </c>
      <c r="R93" t="str">
        <v/>
      </c>
      <c r="S93" t="str">
        <v/>
      </c>
    </row>
    <row r="94" spans="1:27" x14ac:dyDescent="0.25">
      <c r="A94">
        <v>2026</v>
      </c>
      <c r="B94" t="str">
        <v>2026-002</v>
      </c>
      <c r="C94" t="str">
        <v>Realizado</v>
      </c>
      <c r="D94" t="str">
        <v>Tcendo o Futuro - Edição Especial Filhos</v>
      </c>
      <c r="E94">
        <v>4</v>
      </c>
      <c r="F94" t="str">
        <v>Cinthia Thais de Carvalho Luz Thomazi</v>
      </c>
      <c r="G94">
        <v>5</v>
      </c>
      <c r="H94">
        <v>4</v>
      </c>
      <c r="I94">
        <v>1.2</v>
      </c>
      <c r="J94">
        <v>5.2</v>
      </c>
      <c r="R94" t="str">
        <v/>
      </c>
      <c r="S94" t="str">
        <v/>
      </c>
    </row>
    <row r="95" spans="1:27" x14ac:dyDescent="0.25">
      <c r="A95">
        <v>2026</v>
      </c>
      <c r="B95" t="str">
        <v>2026-002</v>
      </c>
      <c r="C95" t="str">
        <v>Realizado</v>
      </c>
      <c r="D95" t="str">
        <v>Tcendo o Futuro - Edição Especial Filhos</v>
      </c>
      <c r="E95">
        <v>4</v>
      </c>
      <c r="F95" t="str">
        <v>Adriana Cuoco Portugal</v>
      </c>
      <c r="G95">
        <v>5</v>
      </c>
      <c r="H95">
        <v>4</v>
      </c>
      <c r="I95">
        <v>1.2</v>
      </c>
      <c r="J95">
        <v>5.2</v>
      </c>
      <c r="R95" t="str">
        <v/>
      </c>
      <c r="S95" t="str">
        <v/>
      </c>
    </row>
    <row r="96" spans="1:27" x14ac:dyDescent="0.25">
      <c r="A96">
        <v>2026</v>
      </c>
      <c r="B96" t="str">
        <v>2026-002</v>
      </c>
      <c r="C96" t="str">
        <v>Realizado</v>
      </c>
      <c r="D96" t="str">
        <v>Tcendo o Futuro - Edição Especial Filhos</v>
      </c>
      <c r="E96">
        <v>4</v>
      </c>
      <c r="F96" t="str">
        <v>Fernanda Viana de Souza</v>
      </c>
      <c r="G96">
        <v>5</v>
      </c>
      <c r="H96">
        <v>4</v>
      </c>
      <c r="I96">
        <v>1.2</v>
      </c>
      <c r="J96">
        <v>5.2</v>
      </c>
      <c r="R96" t="str">
        <v/>
      </c>
      <c r="S96" t="str">
        <v/>
      </c>
    </row>
    <row r="97" spans="1:19" x14ac:dyDescent="0.25">
      <c r="A97">
        <v>2026</v>
      </c>
      <c r="B97" t="str">
        <v>2026-002</v>
      </c>
      <c r="C97" t="str">
        <v>Realizado</v>
      </c>
      <c r="D97" t="str">
        <v>Tcendo o Futuro - Edição Especial Filhos</v>
      </c>
      <c r="E97">
        <v>4</v>
      </c>
      <c r="F97" t="str">
        <v>Denise Duarte Guirra Kuhlmann</v>
      </c>
      <c r="G97">
        <v>5</v>
      </c>
      <c r="H97">
        <v>4</v>
      </c>
      <c r="I97">
        <v>1.2</v>
      </c>
      <c r="J97">
        <v>5.2</v>
      </c>
      <c r="R97" t="str">
        <v/>
      </c>
      <c r="S97" t="str">
        <v/>
      </c>
    </row>
    <row r="98" spans="1:19" x14ac:dyDescent="0.25">
      <c r="A98">
        <v>2026</v>
      </c>
      <c r="B98" t="str">
        <v>2026-002</v>
      </c>
      <c r="C98" t="str">
        <v>Realizado</v>
      </c>
      <c r="D98" t="str">
        <v>Tcendo o Futuro - Edição Especial Filhos</v>
      </c>
      <c r="E98">
        <v>4</v>
      </c>
      <c r="F98" t="str">
        <v>Priscila Nolasco de Oliveira</v>
      </c>
      <c r="G98">
        <v>5</v>
      </c>
      <c r="H98">
        <v>4</v>
      </c>
      <c r="I98">
        <v>1.2</v>
      </c>
      <c r="J98">
        <v>5.2</v>
      </c>
      <c r="R98" t="str">
        <v/>
      </c>
      <c r="S98" t="str">
        <v/>
      </c>
    </row>
    <row r="99" spans="1:19" x14ac:dyDescent="0.25">
      <c r="A99">
        <v>2026</v>
      </c>
      <c r="B99" t="str">
        <v>2026-018</v>
      </c>
      <c r="C99" t="str">
        <v>Realizado</v>
      </c>
      <c r="D99" t="str">
        <v>Tcendo o Futuro 1</v>
      </c>
      <c r="E99">
        <v>4</v>
      </c>
      <c r="F99" t="str">
        <v>Cinthia Thais de Carvalho Luz Thomazi</v>
      </c>
      <c r="G99">
        <v>5</v>
      </c>
      <c r="H99">
        <v>4</v>
      </c>
      <c r="I99">
        <v>1.2</v>
      </c>
      <c r="J99">
        <v>5.2</v>
      </c>
      <c r="R99" t="str">
        <v/>
      </c>
      <c r="S99" t="str">
        <v/>
      </c>
    </row>
    <row r="100" spans="1:19" x14ac:dyDescent="0.25">
      <c r="A100">
        <v>2026</v>
      </c>
      <c r="B100" t="str">
        <v>2026-018</v>
      </c>
      <c r="C100" t="str">
        <v>Realizado</v>
      </c>
      <c r="D100" t="str">
        <v>Tcendo o Futuro 1</v>
      </c>
      <c r="E100">
        <v>4</v>
      </c>
      <c r="F100" t="str">
        <v>Adriana Cuoco Portugal</v>
      </c>
      <c r="G100">
        <v>5</v>
      </c>
      <c r="H100">
        <v>4</v>
      </c>
      <c r="I100">
        <v>1.2</v>
      </c>
      <c r="J100">
        <v>5.2</v>
      </c>
      <c r="R100" t="str">
        <v/>
      </c>
      <c r="S100" t="str">
        <v/>
      </c>
    </row>
    <row r="101" spans="1:19" x14ac:dyDescent="0.25">
      <c r="A101">
        <v>2026</v>
      </c>
      <c r="B101" t="str">
        <v>2026-018</v>
      </c>
      <c r="C101" t="str">
        <v>Realizado</v>
      </c>
      <c r="D101" t="str">
        <v>Tcendo o Futuro 1</v>
      </c>
      <c r="E101">
        <v>4</v>
      </c>
      <c r="F101" t="str">
        <v>Fernanda Viana de Souza</v>
      </c>
      <c r="G101">
        <v>5</v>
      </c>
      <c r="H101">
        <v>4</v>
      </c>
      <c r="I101">
        <v>1.2</v>
      </c>
      <c r="J101">
        <v>5.2</v>
      </c>
      <c r="R101" t="str">
        <v/>
      </c>
      <c r="S101" t="str">
        <v/>
      </c>
    </row>
    <row r="102" spans="1:19" x14ac:dyDescent="0.25">
      <c r="A102">
        <v>2026</v>
      </c>
      <c r="B102" t="str">
        <v>2026-018</v>
      </c>
      <c r="C102" t="str">
        <v>Realizado</v>
      </c>
      <c r="D102" t="str">
        <v>Tcendo o Futuro 1</v>
      </c>
      <c r="E102">
        <v>4</v>
      </c>
      <c r="F102" t="str">
        <v>Denise Duarte Guirra Kuhlmann</v>
      </c>
      <c r="G102">
        <v>5</v>
      </c>
      <c r="H102">
        <v>4</v>
      </c>
      <c r="I102">
        <v>1.2</v>
      </c>
      <c r="J102">
        <v>5.2</v>
      </c>
      <c r="R102" t="str">
        <v/>
      </c>
      <c r="S102" t="str">
        <v/>
      </c>
    </row>
    <row r="103" spans="1:19" x14ac:dyDescent="0.25">
      <c r="A103">
        <v>2026</v>
      </c>
      <c r="B103" t="str">
        <v>2026-018</v>
      </c>
      <c r="C103" t="str">
        <v>Realizado</v>
      </c>
      <c r="D103" t="str">
        <v>Tcendo o Futuro 1</v>
      </c>
      <c r="E103">
        <v>4</v>
      </c>
      <c r="F103" t="str">
        <v>Priscila Nolasco de Oliveira</v>
      </c>
      <c r="G103">
        <v>5</v>
      </c>
      <c r="H103">
        <v>4</v>
      </c>
      <c r="I103">
        <v>1.2</v>
      </c>
      <c r="J103">
        <v>5.2</v>
      </c>
      <c r="R103" t="str">
        <v/>
      </c>
      <c r="S103" t="str">
        <v/>
      </c>
    </row>
    <row r="104" spans="1:19" x14ac:dyDescent="0.25">
      <c r="A104">
        <v>2026</v>
      </c>
      <c r="B104" t="str">
        <v>2026-023</v>
      </c>
      <c r="C104" t="str">
        <v>Realizado</v>
      </c>
      <c r="D104" t="str">
        <v>Tcendo o Futuro 2</v>
      </c>
      <c r="E104">
        <v>4</v>
      </c>
      <c r="F104" t="str">
        <v>Cinthia Thais de Carvalho Luz Thomazi</v>
      </c>
      <c r="G104">
        <v>5</v>
      </c>
      <c r="H104">
        <v>4</v>
      </c>
      <c r="I104">
        <v>1.2</v>
      </c>
      <c r="J104">
        <v>5.2</v>
      </c>
      <c r="R104" t="str">
        <v/>
      </c>
      <c r="S104" t="str">
        <v/>
      </c>
    </row>
    <row r="105" spans="1:19" x14ac:dyDescent="0.25">
      <c r="A105">
        <v>2026</v>
      </c>
      <c r="B105" t="str">
        <v>2026-023</v>
      </c>
      <c r="C105" t="str">
        <v>Realizado</v>
      </c>
      <c r="D105" t="str">
        <v>Tcendo o Futuro 2</v>
      </c>
      <c r="E105">
        <v>4</v>
      </c>
      <c r="F105" t="str">
        <v>Adriana Cuoco Portugal</v>
      </c>
      <c r="G105">
        <v>5</v>
      </c>
      <c r="H105">
        <v>4</v>
      </c>
      <c r="I105">
        <v>1.2</v>
      </c>
      <c r="J105">
        <v>5.2</v>
      </c>
      <c r="R105" t="str">
        <v/>
      </c>
      <c r="S105" t="str">
        <v/>
      </c>
    </row>
    <row r="106" spans="1:19" x14ac:dyDescent="0.25">
      <c r="A106">
        <v>2026</v>
      </c>
      <c r="B106" t="str">
        <v>2026-023</v>
      </c>
      <c r="C106" t="str">
        <v>Realizado</v>
      </c>
      <c r="D106" t="str">
        <v>Tcendo o Futuro 2</v>
      </c>
      <c r="E106">
        <v>4</v>
      </c>
      <c r="F106" t="str">
        <v>Fernanda Viana de Souza</v>
      </c>
      <c r="G106">
        <v>5</v>
      </c>
      <c r="H106">
        <v>4</v>
      </c>
      <c r="I106">
        <v>1.2</v>
      </c>
      <c r="J106">
        <v>5.2</v>
      </c>
      <c r="R106" t="str">
        <v/>
      </c>
      <c r="S106" t="str">
        <v/>
      </c>
    </row>
    <row r="107" spans="1:19" x14ac:dyDescent="0.25">
      <c r="A107">
        <v>2026</v>
      </c>
      <c r="B107" t="str">
        <v>2026-023</v>
      </c>
      <c r="C107" t="str">
        <v>Realizado</v>
      </c>
      <c r="D107" t="str">
        <v>Tcendo o Futuro 2</v>
      </c>
      <c r="E107">
        <v>4</v>
      </c>
      <c r="F107" t="str">
        <v>Denise Duarte Guirra Kuhlmann</v>
      </c>
      <c r="G107">
        <v>5</v>
      </c>
      <c r="H107">
        <v>4</v>
      </c>
      <c r="I107">
        <v>1.2</v>
      </c>
      <c r="J107">
        <v>5.2</v>
      </c>
      <c r="R107" t="str">
        <v/>
      </c>
      <c r="S107" t="str">
        <v/>
      </c>
    </row>
    <row r="108" spans="1:19" x14ac:dyDescent="0.25">
      <c r="A108">
        <v>2026</v>
      </c>
      <c r="B108" t="str">
        <v>2026-023</v>
      </c>
      <c r="C108" t="str">
        <v>Realizado</v>
      </c>
      <c r="D108" t="str">
        <v>Tcendo o Futuro 2</v>
      </c>
      <c r="E108">
        <v>4</v>
      </c>
      <c r="F108" t="str">
        <v>Priscila Nolasco de Oliveira</v>
      </c>
      <c r="G108">
        <v>5</v>
      </c>
      <c r="H108">
        <v>4</v>
      </c>
      <c r="I108">
        <v>1.2</v>
      </c>
      <c r="J108">
        <v>5.2</v>
      </c>
      <c r="R108" t="str">
        <v/>
      </c>
      <c r="S108" t="str">
        <v/>
      </c>
    </row>
    <row r="109" spans="1:19" x14ac:dyDescent="0.25">
      <c r="A109">
        <v>2026</v>
      </c>
      <c r="B109" t="str">
        <v>2026-022</v>
      </c>
      <c r="C109" t="str">
        <v>Realizado</v>
      </c>
      <c r="D109" t="str">
        <v>UniTCDF: Ciências Contábeis</v>
      </c>
      <c r="E109">
        <v>3</v>
      </c>
      <c r="F109" t="str">
        <v>Fernanda Viana de Souza</v>
      </c>
      <c r="G109">
        <v>2</v>
      </c>
      <c r="H109">
        <v>3</v>
      </c>
      <c r="I109">
        <v>0.9</v>
      </c>
      <c r="J109">
        <v>3.9</v>
      </c>
      <c r="R109" t="str">
        <v/>
      </c>
      <c r="S109" t="str">
        <v/>
      </c>
    </row>
    <row r="110" spans="1:19" x14ac:dyDescent="0.25">
      <c r="A110">
        <v>2026</v>
      </c>
      <c r="B110" t="str">
        <v>2026-022</v>
      </c>
      <c r="C110" t="str">
        <v>Realizado</v>
      </c>
      <c r="D110" t="str">
        <v>UniTCDF: Ciências Contábeis</v>
      </c>
      <c r="E110">
        <v>3</v>
      </c>
      <c r="F110" t="str">
        <v>Túllio Herbeth Teixeira Moraes</v>
      </c>
      <c r="G110">
        <v>2</v>
      </c>
      <c r="H110">
        <v>3</v>
      </c>
      <c r="I110">
        <v>0.9</v>
      </c>
      <c r="J110">
        <v>3.9</v>
      </c>
      <c r="R110" t="str">
        <v/>
      </c>
      <c r="S110" t="str">
        <v/>
      </c>
    </row>
    <row r="111" spans="1:19" x14ac:dyDescent="0.25">
      <c r="A111">
        <v>2026</v>
      </c>
      <c r="B111" t="str">
        <v>2026-029</v>
      </c>
      <c r="C111" t="str">
        <v>Realizado</v>
      </c>
      <c r="D111" t="str">
        <v>UniTCDF: TCDF e a Fiscalização de Obras</v>
      </c>
      <c r="E111">
        <v>4</v>
      </c>
      <c r="F111" t="str">
        <v>Adriana Cuoco Portugal</v>
      </c>
      <c r="G111">
        <v>1</v>
      </c>
      <c r="H111">
        <v>4</v>
      </c>
      <c r="I111">
        <v>1.2</v>
      </c>
      <c r="J111">
        <v>5.2</v>
      </c>
      <c r="R111" t="str">
        <v/>
      </c>
      <c r="S111" t="str">
        <v/>
      </c>
    </row>
    <row r="112" spans="1:19" x14ac:dyDescent="0.25">
      <c r="R112" t="str">
        <v/>
      </c>
      <c r="S112" t="str">
        <v/>
      </c>
    </row>
    <row r="113" spans="18:19" x14ac:dyDescent="0.25">
      <c r="R113" t="str">
        <v/>
      </c>
      <c r="S113" t="str">
        <v/>
      </c>
    </row>
    <row r="114" spans="18:19" x14ac:dyDescent="0.25">
      <c r="R114" t="str">
        <v/>
      </c>
      <c r="S114" t="str">
        <v/>
      </c>
    </row>
    <row r="115" spans="18:19" x14ac:dyDescent="0.25">
      <c r="R115" t="str">
        <v/>
      </c>
      <c r="S115" t="str">
        <v/>
      </c>
    </row>
    <row r="116" spans="18:19" x14ac:dyDescent="0.25">
      <c r="R116" t="str">
        <v/>
      </c>
      <c r="S116" t="str">
        <v/>
      </c>
    </row>
    <row r="117" spans="18:19" x14ac:dyDescent="0.25">
      <c r="R117" t="str">
        <v/>
      </c>
      <c r="S117" t="str">
        <v/>
      </c>
    </row>
    <row r="118" spans="18:19" x14ac:dyDescent="0.25">
      <c r="R118" t="str">
        <v/>
      </c>
      <c r="S118" t="str">
        <v/>
      </c>
    </row>
    <row r="119" spans="18:19" x14ac:dyDescent="0.25">
      <c r="R119" t="str">
        <v/>
      </c>
      <c r="S119" t="str">
        <v/>
      </c>
    </row>
    <row r="120" spans="18:19" x14ac:dyDescent="0.25">
      <c r="R120" t="str">
        <v/>
      </c>
      <c r="S120" t="str">
        <v/>
      </c>
    </row>
    <row r="121" spans="18:19" x14ac:dyDescent="0.25">
      <c r="R121" t="str">
        <v/>
      </c>
      <c r="S121" t="str">
        <v/>
      </c>
    </row>
    <row r="122" spans="18:19" x14ac:dyDescent="0.25">
      <c r="R122" t="str">
        <v/>
      </c>
      <c r="S122" t="str">
        <v/>
      </c>
    </row>
    <row r="123" spans="18:19" x14ac:dyDescent="0.25">
      <c r="R123" t="str">
        <v/>
      </c>
      <c r="S123" t="str">
        <v/>
      </c>
    </row>
    <row r="124" spans="18:19" x14ac:dyDescent="0.25">
      <c r="R124" t="str">
        <v/>
      </c>
      <c r="S124" t="str">
        <v/>
      </c>
    </row>
    <row r="125" spans="18:19" x14ac:dyDescent="0.25">
      <c r="R125" t="str">
        <v/>
      </c>
      <c r="S125" t="str">
        <v/>
      </c>
    </row>
    <row r="126" spans="18:19" x14ac:dyDescent="0.25">
      <c r="R126" t="str">
        <v/>
      </c>
      <c r="S126" t="str">
        <v/>
      </c>
    </row>
    <row r="127" spans="18:19" x14ac:dyDescent="0.25">
      <c r="R127" t="str">
        <v/>
      </c>
      <c r="S127" t="str">
        <v/>
      </c>
    </row>
    <row r="128" spans="18:19" x14ac:dyDescent="0.25"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18" t="s">
        <v>3056</v>
      </c>
      <c r="B1" s="218"/>
      <c r="C1" s="218"/>
      <c r="D1" s="218"/>
      <c r="E1" s="218"/>
      <c r="F1" s="218"/>
      <c r="G1" s="218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19" t="s">
        <v>3057</v>
      </c>
      <c r="B4" s="220"/>
      <c r="D4" s="221" t="s">
        <v>3058</v>
      </c>
      <c r="E4" s="222"/>
      <c r="G4" s="45" t="s">
        <v>3059</v>
      </c>
    </row>
    <row r="5" spans="1:7" ht="54.95" customHeight="1" thickBot="1" x14ac:dyDescent="0.75">
      <c r="A5" s="35">
        <f>COUNTIF('Ações InCompany'!B:B,2026)</f>
        <v>79</v>
      </c>
      <c r="B5" s="36" t="s">
        <v>3060</v>
      </c>
      <c r="D5" s="43">
        <f>COUNTIFS('Ações InCompany'!B:B,2026,'Ações InCompany'!C:C,"Realizado")</f>
        <v>38</v>
      </c>
      <c r="E5" s="44" t="s">
        <v>3060</v>
      </c>
      <c r="G5" s="46">
        <f>COUNTIFS('Ações InCompany'!B:B,2026,'Ações InCompany'!C:C,"A realizar")</f>
        <v>27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16" t="s">
        <v>3061</v>
      </c>
      <c r="B8" s="216"/>
      <c r="D8" s="216" t="s">
        <v>3062</v>
      </c>
      <c r="E8" s="216"/>
    </row>
    <row r="9" spans="1:7" ht="5.0999999999999996" customHeight="1" x14ac:dyDescent="0.25">
      <c r="A9" s="217"/>
      <c r="B9" s="217"/>
      <c r="D9" s="217"/>
      <c r="E9" s="217"/>
    </row>
    <row r="10" spans="1:7" ht="24.95" customHeight="1" x14ac:dyDescent="0.25">
      <c r="A10" s="28" t="s">
        <v>5</v>
      </c>
      <c r="B10" s="28" t="s">
        <v>3063</v>
      </c>
      <c r="D10" s="28" t="s">
        <v>3064</v>
      </c>
      <c r="E10" s="28" t="s">
        <v>3065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18</v>
      </c>
      <c r="D11" s="29" t="s">
        <v>3066</v>
      </c>
      <c r="E11" s="30">
        <f>SUMIFS('Ações InCompany'!O:O,'Ações InCompany'!B:B,2026,'Ações InCompany'!C:C,"Realizado")</f>
        <v>550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13</v>
      </c>
      <c r="D12" s="31" t="s">
        <v>3067</v>
      </c>
      <c r="E12" s="32">
        <f>SUMIFS('Ações InCompany'!P:P,'Ações InCompany'!B:B,2026,'Ações InCompany'!C:C,"Realizado")</f>
        <v>808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3068</v>
      </c>
      <c r="E13" s="30">
        <f>SUMIFS('Ações InCompany'!Q:Q,'Ações InCompany'!B:B,2026,'Ações InCompany'!C:C,"Realizado")</f>
        <v>481</v>
      </c>
    </row>
    <row r="14" spans="1:7" ht="27.95" customHeight="1" x14ac:dyDescent="0.3">
      <c r="A14" s="33" t="s">
        <v>3069</v>
      </c>
      <c r="B14" s="34">
        <f>SUM(B11:B13)</f>
        <v>38</v>
      </c>
      <c r="D14" s="33" t="s">
        <v>3070</v>
      </c>
      <c r="E14" s="34">
        <f>SUM(E11:E13)</f>
        <v>1839</v>
      </c>
    </row>
    <row r="30" spans="1:5" ht="17.25" x14ac:dyDescent="0.3">
      <c r="A30" s="216" t="s">
        <v>3071</v>
      </c>
      <c r="B30" s="216"/>
      <c r="C30" s="216"/>
      <c r="D30" s="216"/>
      <c r="E30" s="216"/>
    </row>
    <row r="31" spans="1:5" ht="5.0999999999999996" customHeight="1" x14ac:dyDescent="0.25">
      <c r="A31" s="217"/>
      <c r="B31" s="217"/>
      <c r="C31" s="217"/>
      <c r="D31" s="217"/>
      <c r="E31" s="217"/>
    </row>
    <row r="32" spans="1:5" ht="24.95" customHeight="1" x14ac:dyDescent="0.25">
      <c r="A32" s="28" t="s">
        <v>6</v>
      </c>
      <c r="B32" s="28" t="s">
        <v>3072</v>
      </c>
      <c r="C32" s="28" t="s">
        <v>3073</v>
      </c>
      <c r="D32" s="28" t="s">
        <v>3074</v>
      </c>
      <c r="E32" s="28" t="s">
        <v>3075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7</v>
      </c>
      <c r="C33" s="47">
        <f>COUNTIFS('Ações InCompany'!B:B,2026,'Ações InCompany'!C:C,"A realizar",'Ações InCompany'!G:G,A33)</f>
        <v>14</v>
      </c>
      <c r="D33" s="37">
        <f t="shared" ref="D33:D44" si="0">B33+C33</f>
        <v>21</v>
      </c>
      <c r="E33" s="38">
        <f t="shared" ref="E33:E44" si="1">D33/$D$45</f>
        <v>0.32307692307692309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0</v>
      </c>
      <c r="D34" s="39">
        <f t="shared" si="0"/>
        <v>3</v>
      </c>
      <c r="E34" s="40">
        <f t="shared" si="1"/>
        <v>4.6153846153846156E-2</v>
      </c>
    </row>
    <row r="35" spans="1:5" ht="24" customHeight="1" x14ac:dyDescent="0.25">
      <c r="A35" s="29" t="s">
        <v>2728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1</v>
      </c>
      <c r="D35" s="37">
        <f t="shared" si="0"/>
        <v>6</v>
      </c>
      <c r="E35" s="38">
        <f t="shared" si="1"/>
        <v>9.2307692307692313E-2</v>
      </c>
    </row>
    <row r="36" spans="1:5" ht="24" customHeight="1" x14ac:dyDescent="0.25">
      <c r="A36" s="31" t="s">
        <v>2708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3.0769230769230771E-2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2</v>
      </c>
      <c r="C37" s="47">
        <f>COUNTIFS('Ações InCompany'!B:B,2026,'Ações InCompany'!C:C,"A realizar",'Ações InCompany'!G:G,A37)</f>
        <v>2</v>
      </c>
      <c r="D37" s="37">
        <f t="shared" si="0"/>
        <v>4</v>
      </c>
      <c r="E37" s="38">
        <f t="shared" si="1"/>
        <v>6.1538461538461542E-2</v>
      </c>
    </row>
    <row r="38" spans="1:5" ht="24" customHeight="1" x14ac:dyDescent="0.25">
      <c r="A38" s="31" t="s">
        <v>2749</v>
      </c>
      <c r="B38" s="39">
        <f>COUNTIFS('Ações InCompany'!B:B,2026,'Ações InCompany'!C:C,"Realizado",'Ações InCompany'!G:G,A38)</f>
        <v>7</v>
      </c>
      <c r="C38" s="48">
        <f>COUNTIFS('Ações InCompany'!B:B,2026,'Ações InCompany'!C:C,"A realizar",'Ações InCompany'!G:G,A38)</f>
        <v>7</v>
      </c>
      <c r="D38" s="39">
        <f t="shared" si="0"/>
        <v>14</v>
      </c>
      <c r="E38" s="40">
        <f t="shared" si="1"/>
        <v>0.2153846153846154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6.1538461538461542E-2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3.0769230769230771E-2</v>
      </c>
    </row>
    <row r="41" spans="1:5" ht="24" customHeight="1" x14ac:dyDescent="0.25">
      <c r="A41" s="74" t="s">
        <v>2702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0.1076923076923077</v>
      </c>
    </row>
    <row r="42" spans="1:5" ht="24" customHeight="1" x14ac:dyDescent="0.25">
      <c r="A42" s="75" t="s">
        <v>3076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3.0769230769230771E-2</v>
      </c>
    </row>
    <row r="44" spans="1:5" ht="24" customHeight="1" x14ac:dyDescent="0.25">
      <c r="A44" s="67" t="s">
        <v>3077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3069</v>
      </c>
      <c r="B45" s="41">
        <f>SUM(B33:B44)</f>
        <v>38</v>
      </c>
      <c r="C45" s="41">
        <f>SUM(C33:C44)</f>
        <v>27</v>
      </c>
      <c r="D45" s="41">
        <f>SUM(D33:D44)</f>
        <v>65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3078</v>
      </c>
      <c r="B1" s="12" t="s">
        <v>3079</v>
      </c>
      <c r="C1" s="13" t="s">
        <v>3080</v>
      </c>
      <c r="D1" s="13" t="s">
        <v>3081</v>
      </c>
      <c r="E1" s="13" t="s">
        <v>3082</v>
      </c>
    </row>
    <row r="2" spans="1:5" ht="18" customHeight="1" x14ac:dyDescent="0.25">
      <c r="A2" s="12" t="s">
        <v>3083</v>
      </c>
      <c r="B2" s="12" t="s">
        <v>3084</v>
      </c>
      <c r="C2" s="12" t="s">
        <v>1736</v>
      </c>
      <c r="D2" s="12" t="s">
        <v>3085</v>
      </c>
      <c r="E2" s="12" t="s">
        <v>3086</v>
      </c>
    </row>
    <row r="3" spans="1:5" ht="18" customHeight="1" x14ac:dyDescent="0.25">
      <c r="A3" s="12" t="s">
        <v>3083</v>
      </c>
      <c r="B3" s="12" t="s">
        <v>3084</v>
      </c>
      <c r="C3" s="14" t="s">
        <v>25</v>
      </c>
      <c r="D3" s="12" t="s">
        <v>3087</v>
      </c>
      <c r="E3" s="12" t="s">
        <v>3088</v>
      </c>
    </row>
    <row r="4" spans="1:5" ht="18" customHeight="1" x14ac:dyDescent="0.25">
      <c r="A4" s="12" t="s">
        <v>3083</v>
      </c>
      <c r="B4" s="12" t="s">
        <v>3084</v>
      </c>
      <c r="C4" s="12" t="s">
        <v>75</v>
      </c>
      <c r="D4" s="12" t="s">
        <v>3085</v>
      </c>
      <c r="E4" s="12" t="s">
        <v>3089</v>
      </c>
    </row>
    <row r="5" spans="1:5" ht="18" customHeight="1" x14ac:dyDescent="0.25">
      <c r="A5" s="12" t="s">
        <v>3083</v>
      </c>
      <c r="B5" s="12" t="s">
        <v>3084</v>
      </c>
      <c r="C5" s="12" t="s">
        <v>79</v>
      </c>
      <c r="D5" s="12" t="s">
        <v>3090</v>
      </c>
      <c r="E5" s="12" t="s">
        <v>3091</v>
      </c>
    </row>
    <row r="6" spans="1:5" ht="18" customHeight="1" x14ac:dyDescent="0.25">
      <c r="A6" s="12" t="s">
        <v>3083</v>
      </c>
      <c r="B6" s="12" t="s">
        <v>3084</v>
      </c>
      <c r="C6" s="12" t="s">
        <v>2749</v>
      </c>
      <c r="D6" s="12" t="s">
        <v>3092</v>
      </c>
      <c r="E6" s="12" t="s">
        <v>3093</v>
      </c>
    </row>
    <row r="7" spans="1:5" ht="18" customHeight="1" x14ac:dyDescent="0.25">
      <c r="A7" s="12" t="s">
        <v>3083</v>
      </c>
      <c r="B7" s="12" t="s">
        <v>3094</v>
      </c>
      <c r="C7" s="12" t="s">
        <v>36</v>
      </c>
      <c r="D7" s="12" t="s">
        <v>3095</v>
      </c>
      <c r="E7" s="12" t="s">
        <v>3096</v>
      </c>
    </row>
    <row r="8" spans="1:5" ht="18" customHeight="1" x14ac:dyDescent="0.25">
      <c r="A8" s="12" t="s">
        <v>3083</v>
      </c>
      <c r="B8" s="12" t="s">
        <v>3094</v>
      </c>
      <c r="C8" s="12" t="s">
        <v>42</v>
      </c>
      <c r="D8" s="12" t="s">
        <v>3097</v>
      </c>
      <c r="E8" s="12" t="s">
        <v>3098</v>
      </c>
    </row>
    <row r="9" spans="1:5" ht="18" customHeight="1" x14ac:dyDescent="0.25">
      <c r="A9" s="12" t="s">
        <v>3083</v>
      </c>
      <c r="B9" s="12" t="s">
        <v>3099</v>
      </c>
      <c r="C9" s="12" t="s">
        <v>464</v>
      </c>
      <c r="D9" s="12" t="s">
        <v>3100</v>
      </c>
      <c r="E9" s="12" t="s">
        <v>3101</v>
      </c>
    </row>
    <row r="10" spans="1:5" ht="18" customHeight="1" x14ac:dyDescent="0.25">
      <c r="A10" s="12" t="s">
        <v>3083</v>
      </c>
      <c r="B10" s="12" t="s">
        <v>3099</v>
      </c>
      <c r="C10" s="12" t="s">
        <v>206</v>
      </c>
      <c r="D10" s="12" t="s">
        <v>24</v>
      </c>
      <c r="E10" s="12" t="s">
        <v>3102</v>
      </c>
    </row>
    <row r="11" spans="1:5" ht="18" customHeight="1" x14ac:dyDescent="0.25">
      <c r="A11" s="12" t="s">
        <v>3083</v>
      </c>
      <c r="B11" s="12" t="s">
        <v>3099</v>
      </c>
      <c r="C11" s="12" t="s">
        <v>371</v>
      </c>
      <c r="D11" s="12" t="s">
        <v>24</v>
      </c>
      <c r="E11" s="12" t="s">
        <v>3103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3104</v>
      </c>
      <c r="B1" s="5" t="s">
        <v>10</v>
      </c>
      <c r="C1" s="15" t="s">
        <v>3105</v>
      </c>
      <c r="D1" s="15" t="s">
        <v>3028</v>
      </c>
    </row>
    <row r="2" spans="1:4" ht="21" customHeight="1" x14ac:dyDescent="0.25">
      <c r="A2" s="103" t="s">
        <v>24</v>
      </c>
      <c r="B2" s="103" t="s">
        <v>38</v>
      </c>
      <c r="C2" s="12" t="s">
        <v>3106</v>
      </c>
      <c r="D2" s="12" t="s">
        <v>2774</v>
      </c>
    </row>
    <row r="3" spans="1:4" ht="21" customHeight="1" x14ac:dyDescent="0.25">
      <c r="A3" s="12" t="s">
        <v>69</v>
      </c>
      <c r="B3" s="103" t="s">
        <v>27</v>
      </c>
      <c r="C3" s="12" t="s">
        <v>3107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2798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3108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3078</v>
      </c>
      <c r="B1" s="12" t="s">
        <v>3079</v>
      </c>
      <c r="C1" s="13" t="s">
        <v>3080</v>
      </c>
      <c r="D1" s="13" t="s">
        <v>3081</v>
      </c>
      <c r="E1" s="13" t="s">
        <v>3082</v>
      </c>
    </row>
    <row r="2" spans="1:5" ht="18" customHeight="1" x14ac:dyDescent="0.25">
      <c r="A2" s="12" t="s">
        <v>3109</v>
      </c>
      <c r="B2" s="12" t="s">
        <v>3084</v>
      </c>
      <c r="C2" s="14" t="s">
        <v>25</v>
      </c>
      <c r="D2" s="12" t="s">
        <v>3085</v>
      </c>
      <c r="E2" s="17" t="s">
        <v>3110</v>
      </c>
    </row>
    <row r="3" spans="1:5" ht="18" customHeight="1" x14ac:dyDescent="0.25">
      <c r="A3" s="12" t="s">
        <v>3109</v>
      </c>
      <c r="B3" s="12" t="s">
        <v>3084</v>
      </c>
      <c r="C3" s="12" t="s">
        <v>75</v>
      </c>
      <c r="D3" s="12" t="s">
        <v>3087</v>
      </c>
      <c r="E3" s="12" t="s">
        <v>3111</v>
      </c>
    </row>
    <row r="4" spans="1:5" ht="18" customHeight="1" x14ac:dyDescent="0.25">
      <c r="A4" s="12" t="s">
        <v>3109</v>
      </c>
      <c r="B4" s="12" t="s">
        <v>3084</v>
      </c>
      <c r="C4" s="12" t="s">
        <v>79</v>
      </c>
      <c r="D4" s="12" t="s">
        <v>3090</v>
      </c>
      <c r="E4" s="12" t="s">
        <v>3112</v>
      </c>
    </row>
    <row r="5" spans="1:5" ht="27.75" customHeight="1" x14ac:dyDescent="0.25">
      <c r="A5" s="12" t="s">
        <v>3109</v>
      </c>
      <c r="B5" s="12" t="s">
        <v>3084</v>
      </c>
      <c r="C5" s="12" t="s">
        <v>2702</v>
      </c>
      <c r="D5" s="17" t="s">
        <v>3113</v>
      </c>
      <c r="E5" s="12" t="s">
        <v>3114</v>
      </c>
    </row>
    <row r="6" spans="1:5" ht="18" customHeight="1" x14ac:dyDescent="0.25">
      <c r="A6" s="12" t="s">
        <v>3109</v>
      </c>
      <c r="B6" s="12" t="s">
        <v>3084</v>
      </c>
      <c r="C6" s="12" t="s">
        <v>2749</v>
      </c>
      <c r="D6" s="12" t="s">
        <v>3092</v>
      </c>
      <c r="E6" s="12" t="s">
        <v>3093</v>
      </c>
    </row>
    <row r="7" spans="1:5" ht="18" customHeight="1" x14ac:dyDescent="0.25">
      <c r="A7" s="12" t="s">
        <v>3109</v>
      </c>
      <c r="B7" s="12" t="s">
        <v>3094</v>
      </c>
      <c r="C7" s="12" t="s">
        <v>2728</v>
      </c>
      <c r="D7" s="12" t="s">
        <v>3115</v>
      </c>
      <c r="E7" s="12" t="s">
        <v>3116</v>
      </c>
    </row>
    <row r="8" spans="1:5" ht="18" customHeight="1" x14ac:dyDescent="0.25">
      <c r="A8" s="12" t="s">
        <v>3109</v>
      </c>
      <c r="B8" s="12" t="s">
        <v>3094</v>
      </c>
      <c r="C8" s="12" t="s">
        <v>42</v>
      </c>
      <c r="D8" s="12" t="s">
        <v>3097</v>
      </c>
      <c r="E8" s="12" t="s">
        <v>3098</v>
      </c>
    </row>
    <row r="9" spans="1:5" ht="18" customHeight="1" x14ac:dyDescent="0.25">
      <c r="A9" s="12" t="s">
        <v>3109</v>
      </c>
      <c r="B9" s="12" t="s">
        <v>3094</v>
      </c>
      <c r="C9" s="12" t="s">
        <v>2708</v>
      </c>
      <c r="D9" s="12" t="s">
        <v>3117</v>
      </c>
      <c r="E9" s="17" t="s">
        <v>3118</v>
      </c>
    </row>
    <row r="10" spans="1:5" ht="18" customHeight="1" x14ac:dyDescent="0.25">
      <c r="A10" s="12" t="s">
        <v>3109</v>
      </c>
      <c r="B10" s="12" t="s">
        <v>3119</v>
      </c>
      <c r="C10" s="12" t="s">
        <v>3076</v>
      </c>
      <c r="D10" s="12" t="s">
        <v>3120</v>
      </c>
      <c r="E10" s="17" t="s">
        <v>3121</v>
      </c>
    </row>
    <row r="11" spans="1:5" ht="18" customHeight="1" x14ac:dyDescent="0.25">
      <c r="A11" s="12" t="s">
        <v>3109</v>
      </c>
      <c r="B11" s="12" t="s">
        <v>3119</v>
      </c>
      <c r="C11" s="12" t="s">
        <v>206</v>
      </c>
      <c r="D11" s="12" t="s">
        <v>24</v>
      </c>
      <c r="E11" s="12" t="s">
        <v>3102</v>
      </c>
    </row>
    <row r="12" spans="1:5" ht="18" customHeight="1" x14ac:dyDescent="0.25">
      <c r="A12" s="12" t="s">
        <v>3109</v>
      </c>
      <c r="B12" s="12" t="s">
        <v>3119</v>
      </c>
      <c r="C12" s="12" t="s">
        <v>371</v>
      </c>
      <c r="D12" s="12" t="s">
        <v>24</v>
      </c>
      <c r="E12" s="12" t="s">
        <v>3103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23" t="s">
        <v>3122</v>
      </c>
      <c r="B1" s="223"/>
      <c r="C1" s="223"/>
      <c r="D1" s="223"/>
      <c r="E1" s="223"/>
      <c r="F1" s="223"/>
      <c r="G1" s="223"/>
      <c r="H1" s="223"/>
    </row>
    <row r="2" spans="1:8" x14ac:dyDescent="0.25">
      <c r="A2" s="49" t="s">
        <v>3123</v>
      </c>
    </row>
    <row r="4" spans="1:8" ht="21.95" customHeight="1" x14ac:dyDescent="0.25">
      <c r="A4" s="224" t="s">
        <v>3124</v>
      </c>
      <c r="B4" s="225"/>
      <c r="D4" s="224" t="s">
        <v>3125</v>
      </c>
      <c r="E4" s="225"/>
      <c r="G4" s="224" t="s">
        <v>3126</v>
      </c>
      <c r="H4" s="225"/>
    </row>
    <row r="5" spans="1:8" ht="35.1" customHeight="1" x14ac:dyDescent="0.25">
      <c r="A5" s="228">
        <f>COUNTIF('Ações InCompany'!E:E,"*maratona*")</f>
        <v>13</v>
      </c>
      <c r="B5" s="227"/>
      <c r="D5" s="226">
        <f>SUM(H8:H100)</f>
        <v>1762</v>
      </c>
      <c r="E5" s="227"/>
      <c r="G5" s="226">
        <f>IFERROR(ROUND(D5/A5,0),"-")</f>
        <v>136</v>
      </c>
      <c r="H5" s="227"/>
    </row>
    <row r="6" spans="1:8" ht="9.9499999999999993" customHeight="1" x14ac:dyDescent="0.25"/>
    <row r="7" spans="1:8" ht="24.95" customHeight="1" thickBot="1" x14ac:dyDescent="0.3">
      <c r="A7" s="62" t="s">
        <v>3127</v>
      </c>
      <c r="B7" s="62" t="s">
        <v>3128</v>
      </c>
      <c r="C7" s="62" t="s">
        <v>1</v>
      </c>
      <c r="D7" s="62" t="s">
        <v>3129</v>
      </c>
      <c r="E7" s="62" t="s">
        <v>3130</v>
      </c>
      <c r="F7" s="62" t="s">
        <v>3028</v>
      </c>
      <c r="G7" s="62" t="s">
        <v>5</v>
      </c>
      <c r="H7" s="62" t="s">
        <v>3131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12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0" activePane="bottomLeft" state="frozen"/>
      <selection pane="bottomLeft" activeCell="A43" sqref="A43:XFD43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29" t="s">
        <v>3132</v>
      </c>
      <c r="B1" s="229"/>
      <c r="C1" s="229"/>
      <c r="D1" s="229"/>
      <c r="E1" s="229"/>
      <c r="F1" s="229"/>
    </row>
    <row r="2" spans="1:7" x14ac:dyDescent="0.25">
      <c r="A2" s="230" t="s">
        <v>3133</v>
      </c>
      <c r="B2" s="230"/>
      <c r="C2" s="230"/>
      <c r="D2" s="230"/>
      <c r="E2" s="230"/>
      <c r="F2" s="230"/>
    </row>
    <row r="4" spans="1:7" x14ac:dyDescent="0.25">
      <c r="A4" s="25" t="s">
        <v>19</v>
      </c>
      <c r="B4" s="25" t="s">
        <v>3031</v>
      </c>
      <c r="C4" s="25" t="s">
        <v>3032</v>
      </c>
      <c r="D4" s="25" t="s">
        <v>3134</v>
      </c>
      <c r="E4" s="25" t="s">
        <v>3033</v>
      </c>
      <c r="F4" s="25" t="s">
        <v>3135</v>
      </c>
    </row>
    <row r="5" spans="1:7" x14ac:dyDescent="0.25">
      <c r="A5" t="str" cm="1">
        <f t="array" ref="A5:A55">IFERROR(_xlfn._xlws.SORT(_xlfn.UNIQUE(_xlfn._xlws.FILTER(_xlfn.VSTACK('GECC 2026'!F2:F200,'GECC 2026'!AD3:AD32),_xlfn.VSTACK('GECC 2026'!F2:F200,'GECC 2026'!AD3:AD32)&lt;&gt;""))),"")</f>
        <v>0</v>
      </c>
      <c r="B5" s="26">
        <f>IF($A5="","",SUMIFS('GECC 2026'!H$2:H$200,'GECC 2026'!F$2:F$200,$A5))</f>
        <v>24</v>
      </c>
      <c r="C5" s="26">
        <f>IF($A5="","",SUMIFS('GECC 2026'!I$2:I$200,'GECC 2026'!F$2:F$200,$A5))</f>
        <v>7.2</v>
      </c>
      <c r="D5" s="101">
        <f>IF($A5="","",SUMIFS('GECC 2026'!$AE$3:$AE$32,'GECC 2026'!$AD$3:$AD$32,$A5))</f>
        <v>0</v>
      </c>
      <c r="E5" s="93">
        <f>IF($A5="","",SUMIFS('GECC 2026'!J$2:J$200,'GECC 2026'!F$2:F$200,$A5)+SUMIFS('GECC 2026'!$AE$3:$AE$32,'GECC 2026'!$AD$3:$AD$32,$A5))</f>
        <v>31.2</v>
      </c>
      <c r="F5" s="24">
        <f>IF($A5="","",COUNTIFS('GECC 2026'!F$2:F$200,$A5))</f>
        <v>6</v>
      </c>
      <c r="G5" s="24">
        <f>IF($A5="","",COUNTIFS('GECC 2026'!G$2:G$200,$A5))</f>
        <v>0</v>
      </c>
    </row>
    <row r="6" spans="1:7" x14ac:dyDescent="0.25">
      <c r="A6" t="str">
        <v>Adriana Cuoco Portugal</v>
      </c>
      <c r="B6" s="26">
        <f>IF($A6="","",SUMIFS('GECC 2026'!H$2:H$200,'GECC 2026'!F$2:F$200,$A6))</f>
        <v>16</v>
      </c>
      <c r="C6" s="26">
        <f>IF($A6="","",SUMIFS('GECC 2026'!I$2:I$200,'GECC 2026'!F$2:F$200,$A6))</f>
        <v>4.8</v>
      </c>
      <c r="D6" s="101">
        <f>IF($A6="","",SUMIFS('GECC 2026'!$AE$3:$AE$32,'GECC 2026'!$AD$3:$AD$32,$A6))</f>
        <v>0</v>
      </c>
      <c r="E6" s="93">
        <f>IF($A6="","",SUMIFS('GECC 2026'!J$2:J$200,'GECC 2026'!F$2:F$200,$A6)+SUMIFS('GECC 2026'!$AE$3:$AE$32,'GECC 2026'!$AD$3:$AD$32,$A6))</f>
        <v>20.8</v>
      </c>
      <c r="F6" s="24">
        <f>IF($A6="","",COUNTIFS('GECC 2026'!F$2:F$200,$A6))</f>
        <v>4</v>
      </c>
    </row>
    <row r="7" spans="1:7" x14ac:dyDescent="0.25">
      <c r="A7" t="str">
        <v>Adriana Magalhães</v>
      </c>
      <c r="B7" s="26">
        <f>IF($A7="","",SUMIFS('GECC 2026'!H$2:H$200,'GECC 2026'!F$2:F$200,$A7))</f>
        <v>24</v>
      </c>
      <c r="C7" s="26">
        <f>IF($A7="","",SUMIFS('GECC 2026'!I$2:I$200,'GECC 2026'!F$2:F$200,$A7))</f>
        <v>3.5999999999999996</v>
      </c>
      <c r="D7" s="101">
        <f>IF($A7="","",SUMIFS('GECC 2026'!$AE$3:$AE$32,'GECC 2026'!$AD$3:$AD$32,$A7))</f>
        <v>0</v>
      </c>
      <c r="E7" s="93">
        <f>IF($A7="","",SUMIFS('GECC 2026'!J$2:J$200,'GECC 2026'!F$2:F$200,$A7)+SUMIFS('GECC 2026'!$AE$3:$AE$32,'GECC 2026'!$AD$3:$AD$32,$A7))</f>
        <v>27.6</v>
      </c>
      <c r="F7" s="24">
        <f>IF($A7="","",COUNTIFS('GECC 2026'!F$2:F$200,$A7))</f>
        <v>2</v>
      </c>
    </row>
    <row r="8" spans="1:7" x14ac:dyDescent="0.25">
      <c r="A8" t="str">
        <v>Alinne Patrícia de Andrade Carvalho</v>
      </c>
      <c r="B8" s="26">
        <f>IF($A8="","",SUMIFS('GECC 2026'!H$2:H$200,'GECC 2026'!F$2:F$200,$A8))</f>
        <v>0</v>
      </c>
      <c r="C8" s="26">
        <f>IF($A8="","",SUMIFS('GECC 2026'!I$2:I$200,'GECC 2026'!F$2:F$200,$A8))</f>
        <v>0</v>
      </c>
      <c r="D8" s="101">
        <f>IF($A8="","",SUMIFS('GECC 2026'!$AE$3:$AE$32,'GECC 2026'!$AD$3:$AD$32,$A8))</f>
        <v>0</v>
      </c>
      <c r="E8" s="93">
        <f>IF($A8="","",SUMIFS('GECC 2026'!J$2:J$200,'GECC 2026'!F$2:F$200,$A8)+SUMIFS('GECC 2026'!$AE$3:$AE$32,'GECC 2026'!$AD$3:$AD$32,$A8))</f>
        <v>0</v>
      </c>
      <c r="F8" s="24">
        <f>IF($A8="","",COUNTIFS('GECC 2026'!F$2:F$200,$A8))</f>
        <v>1</v>
      </c>
    </row>
    <row r="9" spans="1:7" x14ac:dyDescent="0.25">
      <c r="A9" t="str">
        <v>Arthur Wú</v>
      </c>
      <c r="B9" s="26">
        <f>IF($A9="","",SUMIFS('GECC 2026'!H$2:H$200,'GECC 2026'!F$2:F$200,$A9))</f>
        <v>41</v>
      </c>
      <c r="C9" s="26">
        <f>IF($A9="","",SUMIFS('GECC 2026'!I$2:I$200,'GECC 2026'!F$2:F$200,$A9))</f>
        <v>12.6</v>
      </c>
      <c r="D9" s="101">
        <f>IF($A9="","",SUMIFS('GECC 2026'!$AE$3:$AE$32,'GECC 2026'!$AD$3:$AD$32,$A9))</f>
        <v>0</v>
      </c>
      <c r="E9" s="93">
        <f>IF($A9="","",SUMIFS('GECC 2026'!J$2:J$200,'GECC 2026'!F$2:F$200,$A9)+SUMIFS('GECC 2026'!$AE$3:$AE$32,'GECC 2026'!$AD$3:$AD$32,$A9))</f>
        <v>53.6</v>
      </c>
      <c r="F9" s="24">
        <f>IF($A9="","",COUNTIFS('GECC 2026'!F$2:F$200,$A9))</f>
        <v>6</v>
      </c>
    </row>
    <row r="10" spans="1:7" x14ac:dyDescent="0.25">
      <c r="A10" t="str">
        <v>Carina de Souza Mariuba Herthel</v>
      </c>
      <c r="B10" s="26">
        <f>IF($A10="","",SUMIFS('GECC 2026'!H$2:H$200,'GECC 2026'!F$2:F$200,$A10))</f>
        <v>8</v>
      </c>
      <c r="C10" s="26">
        <f>IF($A10="","",SUMIFS('GECC 2026'!I$2:I$200,'GECC 2026'!F$2:F$200,$A10))</f>
        <v>2.4</v>
      </c>
      <c r="D10" s="101">
        <f>IF($A10="","",SUMIFS('GECC 2026'!$AE$3:$AE$32,'GECC 2026'!$AD$3:$AD$32,$A10))</f>
        <v>0</v>
      </c>
      <c r="E10" s="93">
        <f>IF($A10="","",SUMIFS('GECC 2026'!J$2:J$200,'GECC 2026'!F$2:F$200,$A10)+SUMIFS('GECC 2026'!$AE$3:$AE$32,'GECC 2026'!$AD$3:$AD$32,$A10))</f>
        <v>10.4</v>
      </c>
      <c r="F10" s="24">
        <f>IF($A10="","",COUNTIFS('GECC 2026'!F$2:F$200,$A10))</f>
        <v>1</v>
      </c>
    </row>
    <row r="11" spans="1:7" x14ac:dyDescent="0.25">
      <c r="A11" t="str">
        <v>Carlos Antônio</v>
      </c>
      <c r="B11" s="26">
        <f>IF($A11="","",SUMIFS('GECC 2026'!H$2:H$200,'GECC 2026'!F$2:F$200,$A11))</f>
        <v>4</v>
      </c>
      <c r="C11" s="26">
        <f>IF($A11="","",SUMIFS('GECC 2026'!I$2:I$200,'GECC 2026'!F$2:F$200,$A11))</f>
        <v>1.2</v>
      </c>
      <c r="D11" s="101">
        <f>IF($A11="","",SUMIFS('GECC 2026'!$AE$3:$AE$32,'GECC 2026'!$AD$3:$AD$32,$A11))</f>
        <v>0</v>
      </c>
      <c r="E11" s="93">
        <f>IF($A11="","",SUMIFS('GECC 2026'!J$2:J$200,'GECC 2026'!F$2:F$200,$A11)+SUMIFS('GECC 2026'!$AE$3:$AE$32,'GECC 2026'!$AD$3:$AD$32,$A11))</f>
        <v>5.2</v>
      </c>
      <c r="F11" s="24">
        <f>IF($A11="","",COUNTIFS('GECC 2026'!F$2:F$200,$A11))</f>
        <v>1</v>
      </c>
    </row>
    <row r="12" spans="1:7" x14ac:dyDescent="0.25">
      <c r="A12" t="str">
        <v>Carolina Pereira de Oliveira</v>
      </c>
      <c r="B12" s="26">
        <f>IF($A12="","",SUMIFS('GECC 2026'!H$2:H$200,'GECC 2026'!F$2:F$200,$A12))</f>
        <v>1</v>
      </c>
      <c r="C12" s="26">
        <f>IF($A12="","",SUMIFS('GECC 2026'!I$2:I$200,'GECC 2026'!F$2:F$200,$A12))</f>
        <v>0.3</v>
      </c>
      <c r="D12" s="101">
        <f>IF($A12="","",SUMIFS('GECC 2026'!$AE$3:$AE$32,'GECC 2026'!$AD$3:$AD$32,$A12))</f>
        <v>0</v>
      </c>
      <c r="E12" s="93">
        <f>IF($A12="","",SUMIFS('GECC 2026'!J$2:J$200,'GECC 2026'!F$2:F$200,$A12)+SUMIFS('GECC 2026'!$AE$3:$AE$32,'GECC 2026'!$AD$3:$AD$32,$A12))</f>
        <v>1.3</v>
      </c>
      <c r="F12" s="24">
        <f>IF($A12="","",COUNTIFS('GECC 2026'!F$2:F$200,$A12))</f>
        <v>1</v>
      </c>
    </row>
    <row r="13" spans="1:7" x14ac:dyDescent="0.25">
      <c r="A13" t="str">
        <v>Cássio Murilo Alves Costa Filho</v>
      </c>
      <c r="B13" s="26">
        <f>IF($A13="","",SUMIFS('GECC 2026'!H$2:H$200,'GECC 2026'!F$2:F$200,$A13))</f>
        <v>16</v>
      </c>
      <c r="C13" s="26">
        <f>IF($A13="","",SUMIFS('GECC 2026'!I$2:I$200,'GECC 2026'!F$2:F$200,$A13))</f>
        <v>4.8</v>
      </c>
      <c r="D13" s="101">
        <f>IF($A13="","",SUMIFS('GECC 2026'!$AE$3:$AE$32,'GECC 2026'!$AD$3:$AD$32,$A13))</f>
        <v>16</v>
      </c>
      <c r="E13" s="93">
        <f>IF($A13="","",SUMIFS('GECC 2026'!J$2:J$200,'GECC 2026'!F$2:F$200,$A13)+SUMIFS('GECC 2026'!$AE$3:$AE$32,'GECC 2026'!$AD$3:$AD$32,$A13))</f>
        <v>36.799999999999997</v>
      </c>
      <c r="F13" s="24">
        <f>IF($A13="","",COUNTIFS('GECC 2026'!F$2:F$200,$A13))</f>
        <v>1</v>
      </c>
    </row>
    <row r="14" spans="1:7" x14ac:dyDescent="0.25">
      <c r="A14" t="str">
        <v>Cinthia Thais de Carvalho Luz Thomazi</v>
      </c>
      <c r="B14" s="26">
        <f>IF($A14="","",SUMIFS('GECC 2026'!H$2:H$200,'GECC 2026'!F$2:F$200,$A14))</f>
        <v>37</v>
      </c>
      <c r="C14" s="26">
        <f>IF($A14="","",SUMIFS('GECC 2026'!I$2:I$200,'GECC 2026'!F$2:F$200,$A14))</f>
        <v>7.5</v>
      </c>
      <c r="D14" s="101">
        <f>IF($A14="","",SUMIFS('GECC 2026'!$AE$3:$AE$32,'GECC 2026'!$AD$3:$AD$32,$A14))</f>
        <v>0</v>
      </c>
      <c r="E14" s="93">
        <f>IF($A14="","",SUMIFS('GECC 2026'!J$2:J$200,'GECC 2026'!F$2:F$200,$A14)+SUMIFS('GECC 2026'!$AE$3:$AE$32,'GECC 2026'!$AD$3:$AD$32,$A14))</f>
        <v>44.500000000000007</v>
      </c>
      <c r="F14" s="24">
        <f>IF($A14="","",COUNTIFS('GECC 2026'!F$2:F$200,$A14))</f>
        <v>7</v>
      </c>
    </row>
    <row r="15" spans="1:7" x14ac:dyDescent="0.25">
      <c r="A15" t="str">
        <v>Davi Assunção Salvador Nery de Castro</v>
      </c>
      <c r="B15" s="26">
        <f>IF($A15="","",SUMIFS('GECC 2026'!H$2:H$200,'GECC 2026'!F$2:F$200,$A15))</f>
        <v>12</v>
      </c>
      <c r="C15" s="26">
        <f>IF($A15="","",SUMIFS('GECC 2026'!I$2:I$200,'GECC 2026'!F$2:F$200,$A15))</f>
        <v>1.2</v>
      </c>
      <c r="D15" s="101">
        <f>IF($A15="","",SUMIFS('GECC 2026'!$AE$3:$AE$32,'GECC 2026'!$AD$3:$AD$32,$A15))</f>
        <v>0</v>
      </c>
      <c r="E15" s="93">
        <f>IF($A15="","",SUMIFS('GECC 2026'!J$2:J$200,'GECC 2026'!F$2:F$200,$A15)+SUMIFS('GECC 2026'!$AE$3:$AE$32,'GECC 2026'!$AD$3:$AD$32,$A15))</f>
        <v>13.2</v>
      </c>
      <c r="F15" s="24">
        <f>IF($A15="","",COUNTIFS('GECC 2026'!F$2:F$200,$A15))</f>
        <v>1</v>
      </c>
    </row>
    <row r="16" spans="1:7" x14ac:dyDescent="0.25">
      <c r="A16" t="str">
        <v>David da Silva de Araújo</v>
      </c>
      <c r="B16" s="26">
        <f>IF($A16="","",SUMIFS('GECC 2026'!H$2:H$200,'GECC 2026'!F$2:F$200,$A16))</f>
        <v>12</v>
      </c>
      <c r="C16" s="26">
        <f>IF($A16="","",SUMIFS('GECC 2026'!I$2:I$200,'GECC 2026'!F$2:F$200,$A16))</f>
        <v>1.2</v>
      </c>
      <c r="D16" s="101">
        <f>IF($A16="","",SUMIFS('GECC 2026'!$AE$3:$AE$32,'GECC 2026'!$AD$3:$AD$32,$A16))</f>
        <v>0</v>
      </c>
      <c r="E16" s="93">
        <f>IF($A16="","",SUMIFS('GECC 2026'!J$2:J$200,'GECC 2026'!F$2:F$200,$A16)+SUMIFS('GECC 2026'!$AE$3:$AE$32,'GECC 2026'!$AD$3:$AD$32,$A16))</f>
        <v>13.2</v>
      </c>
      <c r="F16" s="24">
        <f>IF($A16="","",COUNTIFS('GECC 2026'!F$2:F$200,$A16))</f>
        <v>1</v>
      </c>
    </row>
    <row r="17" spans="1:6" x14ac:dyDescent="0.25">
      <c r="A17" t="str">
        <v>Denise Duarte Guirra Kuhlmann</v>
      </c>
      <c r="B17" s="26">
        <f>IF($A17="","",SUMIFS('GECC 2026'!H$2:H$200,'GECC 2026'!F$2:F$200,$A17))</f>
        <v>12</v>
      </c>
      <c r="C17" s="26">
        <f>IF($A17="","",SUMIFS('GECC 2026'!I$2:I$200,'GECC 2026'!F$2:F$200,$A17))</f>
        <v>3.5999999999999996</v>
      </c>
      <c r="D17" s="101">
        <f>IF($A17="","",SUMIFS('GECC 2026'!$AE$3:$AE$32,'GECC 2026'!$AD$3:$AD$32,$A17))</f>
        <v>0</v>
      </c>
      <c r="E17" s="93">
        <f>IF($A17="","",SUMIFS('GECC 2026'!J$2:J$200,'GECC 2026'!F$2:F$200,$A17)+SUMIFS('GECC 2026'!$AE$3:$AE$32,'GECC 2026'!$AD$3:$AD$32,$A17))</f>
        <v>15.600000000000001</v>
      </c>
      <c r="F17" s="24">
        <f>IF($A17="","",COUNTIFS('GECC 2026'!F$2:F$200,$A17))</f>
        <v>3</v>
      </c>
    </row>
    <row r="18" spans="1:6" x14ac:dyDescent="0.25">
      <c r="A18" t="str">
        <v>Diversos</v>
      </c>
      <c r="B18" s="26">
        <f>IF($A18="","",SUMIFS('GECC 2026'!H$2:H$200,'GECC 2026'!F$2:F$200,$A18))</f>
        <v>0</v>
      </c>
      <c r="C18" s="26">
        <f>IF($A18="","",SUMIFS('GECC 2026'!I$2:I$200,'GECC 2026'!F$2:F$200,$A18))</f>
        <v>0</v>
      </c>
      <c r="D18" s="101">
        <f>IF($A18="","",SUMIFS('GECC 2026'!$AE$3:$AE$32,'GECC 2026'!$AD$3:$AD$32,$A18))</f>
        <v>0</v>
      </c>
      <c r="E18" s="93">
        <f>IF($A18="","",SUMIFS('GECC 2026'!J$2:J$200,'GECC 2026'!F$2:F$200,$A18)+SUMIFS('GECC 2026'!$AE$3:$AE$32,'GECC 2026'!$AD$3:$AD$32,$A18))</f>
        <v>0</v>
      </c>
      <c r="F18" s="24">
        <f>IF($A18="","",COUNTIFS('GECC 2026'!F$2:F$200,$A18))</f>
        <v>2</v>
      </c>
    </row>
    <row r="19" spans="1:6" x14ac:dyDescent="0.25">
      <c r="A19" t="str">
        <v>Douglas Vieira Silva Filho</v>
      </c>
      <c r="B19" s="26">
        <f>IF($A19="","",SUMIFS('GECC 2026'!H$2:H$200,'GECC 2026'!F$2:F$200,$A19))</f>
        <v>4</v>
      </c>
      <c r="C19" s="26">
        <f>IF($A19="","",SUMIFS('GECC 2026'!I$2:I$200,'GECC 2026'!F$2:F$200,$A19))</f>
        <v>1.2</v>
      </c>
      <c r="D19" s="101">
        <f>IF($A19="","",SUMIFS('GECC 2026'!$AE$3:$AE$32,'GECC 2026'!$AD$3:$AD$32,$A19))</f>
        <v>0</v>
      </c>
      <c r="E19" s="93">
        <f>IF($A19="","",SUMIFS('GECC 2026'!J$2:J$200,'GECC 2026'!F$2:F$200,$A19)+SUMIFS('GECC 2026'!$AE$3:$AE$32,'GECC 2026'!$AD$3:$AD$32,$A19))</f>
        <v>5.2</v>
      </c>
      <c r="F19" s="24">
        <f>IF($A19="","",COUNTIFS('GECC 2026'!F$2:F$200,$A19))</f>
        <v>1</v>
      </c>
    </row>
    <row r="20" spans="1:6" x14ac:dyDescent="0.25">
      <c r="A20" t="str">
        <v>Elvis Aaron Teixeira dos Santos Lima</v>
      </c>
      <c r="B20" s="26">
        <f>IF($A20="","",SUMIFS('GECC 2026'!H$2:H$200,'GECC 2026'!F$2:F$200,$A20))</f>
        <v>0</v>
      </c>
      <c r="C20" s="26">
        <f>IF($A20="","",SUMIFS('GECC 2026'!I$2:I$200,'GECC 2026'!F$2:F$200,$A20))</f>
        <v>0</v>
      </c>
      <c r="D20" s="101">
        <f>IF($A20="","",SUMIFS('GECC 2026'!$AE$3:$AE$32,'GECC 2026'!$AD$3:$AD$32,$A20))</f>
        <v>0</v>
      </c>
      <c r="E20" s="93">
        <f>IF($A20="","",SUMIFS('GECC 2026'!J$2:J$200,'GECC 2026'!F$2:F$200,$A20)+SUMIFS('GECC 2026'!$AE$3:$AE$32,'GECC 2026'!$AD$3:$AD$32,$A20))</f>
        <v>0</v>
      </c>
      <c r="F20" s="24">
        <f>IF($A20="","",COUNTIFS('GECC 2026'!F$2:F$200,$A20))</f>
        <v>1</v>
      </c>
    </row>
    <row r="21" spans="1:6" x14ac:dyDescent="0.25">
      <c r="A21" t="str">
        <v>Eustáquio Rabelo de Souza</v>
      </c>
      <c r="B21" s="26">
        <f>IF($A21="","",SUMIFS('GECC 2026'!H$2:H$200,'GECC 2026'!F$2:F$200,$A21))</f>
        <v>1</v>
      </c>
      <c r="C21" s="26">
        <f>IF($A21="","",SUMIFS('GECC 2026'!I$2:I$200,'GECC 2026'!F$2:F$200,$A21))</f>
        <v>0.3</v>
      </c>
      <c r="D21" s="101">
        <f>IF($A21="","",SUMIFS('GECC 2026'!$AE$3:$AE$32,'GECC 2026'!$AD$3:$AD$32,$A21))</f>
        <v>0</v>
      </c>
      <c r="E21" s="93">
        <f>IF($A21="","",SUMIFS('GECC 2026'!J$2:J$200,'GECC 2026'!F$2:F$200,$A21)+SUMIFS('GECC 2026'!$AE$3:$AE$32,'GECC 2026'!$AD$3:$AD$32,$A21))</f>
        <v>1.3</v>
      </c>
      <c r="F21" s="24">
        <f>IF($A21="","",COUNTIFS('GECC 2026'!F$2:F$200,$A21))</f>
        <v>1</v>
      </c>
    </row>
    <row r="22" spans="1:6" x14ac:dyDescent="0.25">
      <c r="A22" t="str">
        <v>Felipe da Costa Malaquias</v>
      </c>
      <c r="B22" s="26">
        <f>IF($A22="","",SUMIFS('GECC 2026'!H$2:H$200,'GECC 2026'!F$2:F$200,$A22))</f>
        <v>8</v>
      </c>
      <c r="C22" s="26">
        <f>IF($A22="","",SUMIFS('GECC 2026'!I$2:I$200,'GECC 2026'!F$2:F$200,$A22))</f>
        <v>37.299999999999997</v>
      </c>
      <c r="D22" s="101">
        <f>IF($A22="","",SUMIFS('GECC 2026'!$AE$3:$AE$32,'GECC 2026'!$AD$3:$AD$32,$A22))</f>
        <v>0</v>
      </c>
      <c r="E22" s="93">
        <f>IF($A22="","",SUMIFS('GECC 2026'!J$2:J$200,'GECC 2026'!F$2:F$200,$A22)+SUMIFS('GECC 2026'!$AE$3:$AE$32,'GECC 2026'!$AD$3:$AD$32,$A22))</f>
        <v>45.3</v>
      </c>
      <c r="F22" s="24">
        <f>IF($A22="","",COUNTIFS('GECC 2026'!F$2:F$200,$A22))</f>
        <v>2</v>
      </c>
    </row>
    <row r="23" spans="1:6" x14ac:dyDescent="0.25">
      <c r="A23" t="str">
        <v>Felipe Ramos Barbosa</v>
      </c>
      <c r="B23" s="26">
        <f>IF($A23="","",SUMIFS('GECC 2026'!H$2:H$200,'GECC 2026'!F$2:F$200,$A23))</f>
        <v>1</v>
      </c>
      <c r="C23" s="26">
        <f>IF($A23="","",SUMIFS('GECC 2026'!I$2:I$200,'GECC 2026'!F$2:F$200,$A23))</f>
        <v>0.3</v>
      </c>
      <c r="D23" s="101">
        <f>IF($A23="","",SUMIFS('GECC 2026'!$AE$3:$AE$32,'GECC 2026'!$AD$3:$AD$32,$A23))</f>
        <v>0</v>
      </c>
      <c r="E23" s="93">
        <f>IF($A23="","",SUMIFS('GECC 2026'!J$2:J$200,'GECC 2026'!F$2:F$200,$A23)+SUMIFS('GECC 2026'!$AE$3:$AE$32,'GECC 2026'!$AD$3:$AD$32,$A23))</f>
        <v>1.3</v>
      </c>
      <c r="F23" s="24">
        <f>IF($A23="","",COUNTIFS('GECC 2026'!F$2:F$200,$A23))</f>
        <v>1</v>
      </c>
    </row>
    <row r="24" spans="1:6" x14ac:dyDescent="0.25">
      <c r="A24" t="str">
        <v>Fernanda Viana de Souza</v>
      </c>
      <c r="B24" s="26">
        <f>IF($A24="","",SUMIFS('GECC 2026'!H$2:H$200,'GECC 2026'!F$2:F$200,$A24))</f>
        <v>15</v>
      </c>
      <c r="C24" s="26">
        <f>IF($A24="","",SUMIFS('GECC 2026'!I$2:I$200,'GECC 2026'!F$2:F$200,$A24))</f>
        <v>4.5</v>
      </c>
      <c r="D24" s="101">
        <f>IF($A24="","",SUMIFS('GECC 2026'!$AE$3:$AE$32,'GECC 2026'!$AD$3:$AD$32,$A24))</f>
        <v>0</v>
      </c>
      <c r="E24" s="93">
        <f>IF($A24="","",SUMIFS('GECC 2026'!J$2:J$200,'GECC 2026'!F$2:F$200,$A24)+SUMIFS('GECC 2026'!$AE$3:$AE$32,'GECC 2026'!$AD$3:$AD$32,$A24))</f>
        <v>19.5</v>
      </c>
      <c r="F24" s="24">
        <f>IF($A24="","",COUNTIFS('GECC 2026'!F$2:F$200,$A24))</f>
        <v>4</v>
      </c>
    </row>
    <row r="25" spans="1:6" x14ac:dyDescent="0.25">
      <c r="A25" t="str">
        <v>Flávio José Fonseca de Souza</v>
      </c>
      <c r="B25" s="26">
        <f>IF($A25="","",SUMIFS('GECC 2026'!H$2:H$200,'GECC 2026'!F$2:F$200,$A25))</f>
        <v>8</v>
      </c>
      <c r="C25" s="26">
        <f>IF($A25="","",SUMIFS('GECC 2026'!I$2:I$200,'GECC 2026'!F$2:F$200,$A25))</f>
        <v>37.299999999999997</v>
      </c>
      <c r="D25" s="101">
        <f>IF($A25="","",SUMIFS('GECC 2026'!$AE$3:$AE$32,'GECC 2026'!$AD$3:$AD$32,$A25))</f>
        <v>0</v>
      </c>
      <c r="E25" s="93">
        <f>IF($A25="","",SUMIFS('GECC 2026'!J$2:J$200,'GECC 2026'!F$2:F$200,$A25)+SUMIFS('GECC 2026'!$AE$3:$AE$32,'GECC 2026'!$AD$3:$AD$32,$A25))</f>
        <v>45.3</v>
      </c>
      <c r="F25" s="24">
        <f>IF($A25="","",COUNTIFS('GECC 2026'!F$2:F$200,$A25))</f>
        <v>2</v>
      </c>
    </row>
    <row r="26" spans="1:6" x14ac:dyDescent="0.25">
      <c r="A26" t="str">
        <v>Gabriel Heller</v>
      </c>
      <c r="B26" s="26">
        <f>IF($A26="","",SUMIFS('GECC 2026'!H$2:H$200,'GECC 2026'!F$2:F$200,$A26))</f>
        <v>4</v>
      </c>
      <c r="C26" s="26">
        <f>IF($A26="","",SUMIFS('GECC 2026'!I$2:I$200,'GECC 2026'!F$2:F$200,$A26))</f>
        <v>33.200000000000003</v>
      </c>
      <c r="D26" s="101">
        <f>IF($A26="","",SUMIFS('GECC 2026'!$AE$3:$AE$32,'GECC 2026'!$AD$3:$AD$32,$A26))</f>
        <v>0</v>
      </c>
      <c r="E26" s="93">
        <f>IF($A26="","",SUMIFS('GECC 2026'!J$2:J$200,'GECC 2026'!F$2:F$200,$A26)+SUMIFS('GECC 2026'!$AE$3:$AE$32,'GECC 2026'!$AD$3:$AD$32,$A26))</f>
        <v>37.200000000000003</v>
      </c>
      <c r="F26" s="24">
        <f>IF($A26="","",COUNTIFS('GECC 2026'!F$2:F$200,$A26))</f>
        <v>3</v>
      </c>
    </row>
    <row r="27" spans="1:6" x14ac:dyDescent="0.25">
      <c r="A27" t="str">
        <v>Guilherme Bride Fernandes</v>
      </c>
      <c r="B27" s="26">
        <f>IF($A27="","",SUMIFS('GECC 2026'!H$2:H$200,'GECC 2026'!F$2:F$200,$A27))</f>
        <v>0</v>
      </c>
      <c r="C27" s="26">
        <f>IF($A27="","",SUMIFS('GECC 2026'!I$2:I$200,'GECC 2026'!F$2:F$200,$A27))</f>
        <v>0</v>
      </c>
      <c r="D27" s="101">
        <f>IF($A27="","",SUMIFS('GECC 2026'!$AE$3:$AE$32,'GECC 2026'!$AD$3:$AD$32,$A27))</f>
        <v>0</v>
      </c>
      <c r="E27" s="93">
        <f>IF($A27="","",SUMIFS('GECC 2026'!J$2:J$200,'GECC 2026'!F$2:F$200,$A27)+SUMIFS('GECC 2026'!$AE$3:$AE$32,'GECC 2026'!$AD$3:$AD$32,$A27))</f>
        <v>0</v>
      </c>
      <c r="F27" s="24">
        <f>IF($A27="","",COUNTIFS('GECC 2026'!F$2:F$200,$A27))</f>
        <v>1</v>
      </c>
    </row>
    <row r="28" spans="1:6" x14ac:dyDescent="0.25">
      <c r="A28" t="str">
        <v>Gustavo Takahashi</v>
      </c>
      <c r="B28" s="26">
        <f>IF($A28="","",SUMIFS('GECC 2026'!H$2:H$200,'GECC 2026'!F$2:F$200,$A28))</f>
        <v>33</v>
      </c>
      <c r="C28" s="26">
        <f>IF($A28="","",SUMIFS('GECC 2026'!I$2:I$200,'GECC 2026'!F$2:F$200,$A28))</f>
        <v>0</v>
      </c>
      <c r="D28" s="101">
        <f>IF($A28="","",SUMIFS('GECC 2026'!$AE$3:$AE$32,'GECC 2026'!$AD$3:$AD$32,$A28))</f>
        <v>0</v>
      </c>
      <c r="E28" s="93">
        <f>IF($A28="","",SUMIFS('GECC 2026'!J$2:J$200,'GECC 2026'!F$2:F$200,$A28)+SUMIFS('GECC 2026'!$AE$3:$AE$32,'GECC 2026'!$AD$3:$AD$32,$A28))</f>
        <v>33</v>
      </c>
      <c r="F28" s="24">
        <f>IF($A28="","",COUNTIFS('GECC 2026'!F$2:F$200,$A28))</f>
        <v>5</v>
      </c>
    </row>
    <row r="29" spans="1:6" x14ac:dyDescent="0.25">
      <c r="A29" t="str">
        <v>Hamilton de Jesus Lopes Neto</v>
      </c>
      <c r="B29" s="26">
        <f>IF($A29="","",SUMIFS('GECC 2026'!H$2:H$200,'GECC 2026'!F$2:F$200,$A29))</f>
        <v>12</v>
      </c>
      <c r="C29" s="26">
        <f>IF($A29="","",SUMIFS('GECC 2026'!I$2:I$200,'GECC 2026'!F$2:F$200,$A29))</f>
        <v>1.2</v>
      </c>
      <c r="D29" s="101">
        <f>IF($A29="","",SUMIFS('GECC 2026'!$AE$3:$AE$32,'GECC 2026'!$AD$3:$AD$32,$A29))</f>
        <v>0</v>
      </c>
      <c r="E29" s="93">
        <f>IF($A29="","",SUMIFS('GECC 2026'!J$2:J$200,'GECC 2026'!F$2:F$200,$A29)+SUMIFS('GECC 2026'!$AE$3:$AE$32,'GECC 2026'!$AD$3:$AD$32,$A29))</f>
        <v>13.2</v>
      </c>
      <c r="F29" s="24">
        <f>IF($A29="","",COUNTIFS('GECC 2026'!F$2:F$200,$A29))</f>
        <v>1</v>
      </c>
    </row>
    <row r="30" spans="1:6" x14ac:dyDescent="0.25">
      <c r="A30" t="str">
        <v>Igor Queiroz</v>
      </c>
      <c r="B30" s="26">
        <f>IF($A30="","",SUMIFS('GECC 2026'!H$2:H$200,'GECC 2026'!F$2:F$200,$A30))</f>
        <v>1</v>
      </c>
      <c r="C30" s="26">
        <f>IF($A30="","",SUMIFS('GECC 2026'!I$2:I$200,'GECC 2026'!F$2:F$200,$A30))</f>
        <v>0.3</v>
      </c>
      <c r="D30" s="101">
        <f>IF($A30="","",SUMIFS('GECC 2026'!$AE$3:$AE$32,'GECC 2026'!$AD$3:$AD$32,$A30))</f>
        <v>0</v>
      </c>
      <c r="E30" s="93">
        <f>IF($A30="","",SUMIFS('GECC 2026'!J$2:J$200,'GECC 2026'!F$2:F$200,$A30)+SUMIFS('GECC 2026'!$AE$3:$AE$32,'GECC 2026'!$AD$3:$AD$32,$A30))</f>
        <v>1.3</v>
      </c>
      <c r="F30" s="24">
        <f>IF($A30="","",COUNTIFS('GECC 2026'!F$2:F$200,$A30))</f>
        <v>1</v>
      </c>
    </row>
    <row r="31" spans="1:6" x14ac:dyDescent="0.25">
      <c r="A31" t="str">
        <v>Indio Artiaga do Brasil Rabelo</v>
      </c>
      <c r="B31" s="26">
        <f>IF($A31="","",SUMIFS('GECC 2026'!H$2:H$200,'GECC 2026'!F$2:F$200,$A31))</f>
        <v>16</v>
      </c>
      <c r="C31" s="26">
        <f>IF($A31="","",SUMIFS('GECC 2026'!I$2:I$200,'GECC 2026'!F$2:F$200,$A31))</f>
        <v>4.8</v>
      </c>
      <c r="D31" s="101">
        <f>IF($A31="","",SUMIFS('GECC 2026'!$AE$3:$AE$32,'GECC 2026'!$AD$3:$AD$32,$A31))</f>
        <v>0</v>
      </c>
      <c r="E31" s="93">
        <f>IF($A31="","",SUMIFS('GECC 2026'!J$2:J$200,'GECC 2026'!F$2:F$200,$A31)+SUMIFS('GECC 2026'!$AE$3:$AE$32,'GECC 2026'!$AD$3:$AD$32,$A31))</f>
        <v>20.8</v>
      </c>
      <c r="F31" s="24">
        <f>IF($A31="","",COUNTIFS('GECC 2026'!F$2:F$200,$A31))</f>
        <v>2</v>
      </c>
    </row>
    <row r="32" spans="1:6" x14ac:dyDescent="0.25">
      <c r="A32" t="str">
        <v>Isac Mendes Caixeta de Pamplona Araújo</v>
      </c>
      <c r="B32" s="26">
        <f>IF($A32="","",SUMIFS('GECC 2026'!H$2:H$200,'GECC 2026'!F$2:F$200,$A32))</f>
        <v>0</v>
      </c>
      <c r="C32" s="26">
        <f>IF($A32="","",SUMIFS('GECC 2026'!I$2:I$200,'GECC 2026'!F$2:F$200,$A32))</f>
        <v>0</v>
      </c>
      <c r="D32" s="101">
        <f>IF($A32="","",SUMIFS('GECC 2026'!$AE$3:$AE$32,'GECC 2026'!$AD$3:$AD$32,$A32))</f>
        <v>0</v>
      </c>
      <c r="E32" s="93">
        <f>IF($A32="","",SUMIFS('GECC 2026'!J$2:J$200,'GECC 2026'!F$2:F$200,$A32)+SUMIFS('GECC 2026'!$AE$3:$AE$32,'GECC 2026'!$AD$3:$AD$32,$A32))</f>
        <v>0</v>
      </c>
      <c r="F32" s="24">
        <f>IF($A32="","",COUNTIFS('GECC 2026'!F$2:F$200,$A32))</f>
        <v>1</v>
      </c>
    </row>
    <row r="33" spans="1:6" x14ac:dyDescent="0.25">
      <c r="A33" t="str">
        <v>Jamile Medeiros Fon</v>
      </c>
      <c r="B33" s="26">
        <f>IF($A33="","",SUMIFS('GECC 2026'!H$2:H$200,'GECC 2026'!F$2:F$200,$A33))</f>
        <v>4</v>
      </c>
      <c r="C33" s="26">
        <f>IF($A33="","",SUMIFS('GECC 2026'!I$2:I$200,'GECC 2026'!F$2:F$200,$A33))</f>
        <v>1.2</v>
      </c>
      <c r="D33" s="101">
        <f>IF($A33="","",SUMIFS('GECC 2026'!$AE$3:$AE$32,'GECC 2026'!$AD$3:$AD$32,$A33))</f>
        <v>0</v>
      </c>
      <c r="E33" s="93">
        <f>IF($A33="","",SUMIFS('GECC 2026'!J$2:J$200,'GECC 2026'!F$2:F$200,$A33)+SUMIFS('GECC 2026'!$AE$3:$AE$32,'GECC 2026'!$AD$3:$AD$32,$A33))</f>
        <v>5.2</v>
      </c>
      <c r="F33" s="24">
        <f>IF($A33="","",COUNTIFS('GECC 2026'!F$2:F$200,$A33))</f>
        <v>1</v>
      </c>
    </row>
    <row r="34" spans="1:6" x14ac:dyDescent="0.25">
      <c r="A34" t="str">
        <v>José Roberto Alcuri Júnior</v>
      </c>
      <c r="B34" s="26">
        <f>IF($A34="","",SUMIFS('GECC 2026'!H$2:H$200,'GECC 2026'!F$2:F$200,$A34))</f>
        <v>1</v>
      </c>
      <c r="C34" s="26">
        <f>IF($A34="","",SUMIFS('GECC 2026'!I$2:I$200,'GECC 2026'!F$2:F$200,$A34))</f>
        <v>0.3</v>
      </c>
      <c r="D34" s="101">
        <f>IF($A34="","",SUMIFS('GECC 2026'!$AE$3:$AE$32,'GECC 2026'!$AD$3:$AD$32,$A34))</f>
        <v>0</v>
      </c>
      <c r="E34" s="93">
        <f>IF($A34="","",SUMIFS('GECC 2026'!J$2:J$200,'GECC 2026'!F$2:F$200,$A34)+SUMIFS('GECC 2026'!$AE$3:$AE$32,'GECC 2026'!$AD$3:$AD$32,$A34))</f>
        <v>1.3</v>
      </c>
      <c r="F34" s="24">
        <f>IF($A34="","",COUNTIFS('GECC 2026'!F$2:F$200,$A34))</f>
        <v>2</v>
      </c>
    </row>
    <row r="35" spans="1:6" x14ac:dyDescent="0.25">
      <c r="A35" t="str">
        <v>Leonardo de Melo</v>
      </c>
      <c r="B35" s="26">
        <f>IF($A35="","",SUMIFS('GECC 2026'!H$2:H$200,'GECC 2026'!F$2:F$200,$A35))</f>
        <v>0</v>
      </c>
      <c r="C35" s="26">
        <f>IF($A35="","",SUMIFS('GECC 2026'!I$2:I$200,'GECC 2026'!F$2:F$200,$A35))</f>
        <v>0</v>
      </c>
      <c r="D35" s="101">
        <f>IF($A35="","",SUMIFS('GECC 2026'!$AE$3:$AE$32,'GECC 2026'!$AD$3:$AD$32,$A35))</f>
        <v>0</v>
      </c>
      <c r="E35" s="93">
        <f>IF($A35="","",SUMIFS('GECC 2026'!J$2:J$200,'GECC 2026'!F$2:F$200,$A35)+SUMIFS('GECC 2026'!$AE$3:$AE$32,'GECC 2026'!$AD$3:$AD$32,$A35))</f>
        <v>0</v>
      </c>
      <c r="F35" s="24">
        <f>IF($A35="","",COUNTIFS('GECC 2026'!F$2:F$200,$A35))</f>
        <v>2</v>
      </c>
    </row>
    <row r="36" spans="1:6" x14ac:dyDescent="0.25">
      <c r="A36" t="str">
        <v>Leonardo José Alves Leal Neri</v>
      </c>
      <c r="B36" s="26">
        <f>IF($A36="","",SUMIFS('GECC 2026'!H$2:H$200,'GECC 2026'!F$2:F$200,$A36))</f>
        <v>40</v>
      </c>
      <c r="C36" s="26">
        <f>IF($A36="","",SUMIFS('GECC 2026'!I$2:I$200,'GECC 2026'!F$2:F$200,$A36))</f>
        <v>12</v>
      </c>
      <c r="D36" s="101">
        <f>IF($A36="","",SUMIFS('GECC 2026'!$AE$3:$AE$32,'GECC 2026'!$AD$3:$AD$32,$A36))</f>
        <v>0</v>
      </c>
      <c r="E36" s="93">
        <f>IF($A36="","",SUMIFS('GECC 2026'!J$2:J$200,'GECC 2026'!F$2:F$200,$A36)+SUMIFS('GECC 2026'!$AE$3:$AE$32,'GECC 2026'!$AD$3:$AD$32,$A36))</f>
        <v>52</v>
      </c>
      <c r="F36" s="24">
        <f>IF($A36="","",COUNTIFS('GECC 2026'!F$2:F$200,$A36))</f>
        <v>2</v>
      </c>
    </row>
    <row r="37" spans="1:6" x14ac:dyDescent="0.25">
      <c r="A37" t="str">
        <v>Luciana Alvim</v>
      </c>
      <c r="B37" s="26">
        <f>IF($A37="","",SUMIFS('GECC 2026'!H$2:H$200,'GECC 2026'!F$2:F$200,$A37))</f>
        <v>60</v>
      </c>
      <c r="C37" s="26">
        <f>IF($A37="","",SUMIFS('GECC 2026'!I$2:I$200,'GECC 2026'!F$2:F$200,$A37))</f>
        <v>74</v>
      </c>
      <c r="D37" s="101">
        <f>IF($A37="","",SUMIFS('GECC 2026'!$AE$3:$AE$32,'GECC 2026'!$AD$3:$AD$32,$A37))</f>
        <v>0</v>
      </c>
      <c r="E37" s="93">
        <f>IF($A37="","",SUMIFS('GECC 2026'!J$2:J$200,'GECC 2026'!F$2:F$200,$A37)+SUMIFS('GECC 2026'!$AE$3:$AE$32,'GECC 2026'!$AD$3:$AD$32,$A37))</f>
        <v>134</v>
      </c>
      <c r="F37" s="24">
        <f>IF($A37="","",COUNTIFS('GECC 2026'!F$2:F$200,$A37))</f>
        <v>6</v>
      </c>
    </row>
    <row r="38" spans="1:6" x14ac:dyDescent="0.25">
      <c r="A38" t="str">
        <v>Marcelo Bálbio Moraes</v>
      </c>
      <c r="B38" s="26">
        <f>IF($A38="","",SUMIFS('GECC 2026'!H$2:H$200,'GECC 2026'!F$2:F$200,$A38))</f>
        <v>0</v>
      </c>
      <c r="C38" s="26">
        <f>IF($A38="","",SUMIFS('GECC 2026'!I$2:I$200,'GECC 2026'!F$2:F$200,$A38))</f>
        <v>0</v>
      </c>
      <c r="D38" s="101">
        <f>IF($A38="","",SUMIFS('GECC 2026'!$AE$3:$AE$32,'GECC 2026'!$AD$3:$AD$32,$A38))</f>
        <v>16</v>
      </c>
      <c r="E38" s="93">
        <f>IF($A38="","",SUMIFS('GECC 2026'!J$2:J$200,'GECC 2026'!F$2:F$200,$A38)+SUMIFS('GECC 2026'!$AE$3:$AE$32,'GECC 2026'!$AD$3:$AD$32,$A38))</f>
        <v>16</v>
      </c>
      <c r="F38" s="24">
        <f>IF($A38="","",COUNTIFS('GECC 2026'!F$2:F$200,$A38))</f>
        <v>0</v>
      </c>
    </row>
    <row r="39" spans="1:6" x14ac:dyDescent="0.25">
      <c r="A39" t="str">
        <v>Marcelo Silva Santana</v>
      </c>
      <c r="B39" s="26">
        <f>IF($A39="","",SUMIFS('GECC 2026'!H$2:H$200,'GECC 2026'!F$2:F$200,$A39))</f>
        <v>12</v>
      </c>
      <c r="C39" s="26">
        <f>IF($A39="","",SUMIFS('GECC 2026'!I$2:I$200,'GECC 2026'!F$2:F$200,$A39))</f>
        <v>1.44</v>
      </c>
      <c r="D39" s="101">
        <f>IF($A39="","",SUMIFS('GECC 2026'!$AE$3:$AE$32,'GECC 2026'!$AD$3:$AD$32,$A39))</f>
        <v>0</v>
      </c>
      <c r="E39" s="93">
        <f>IF($A39="","",SUMIFS('GECC 2026'!J$2:J$200,'GECC 2026'!F$2:F$200,$A39)+SUMIFS('GECC 2026'!$AE$3:$AE$32,'GECC 2026'!$AD$3:$AD$32,$A39))</f>
        <v>13.440000000000001</v>
      </c>
      <c r="F39" s="24">
        <f>IF($A39="","",COUNTIFS('GECC 2026'!F$2:F$200,$A39))</f>
        <v>2</v>
      </c>
    </row>
    <row r="40" spans="1:6" x14ac:dyDescent="0.25">
      <c r="A40" t="str">
        <v>Mauri Siqueira Montessi</v>
      </c>
      <c r="B40" s="26">
        <f>IF($A40="","",SUMIFS('GECC 2026'!H$2:H$200,'GECC 2026'!F$2:F$200,$A40))</f>
        <v>0</v>
      </c>
      <c r="C40" s="26">
        <f>IF($A40="","",SUMIFS('GECC 2026'!I$2:I$200,'GECC 2026'!F$2:F$200,$A40))</f>
        <v>0</v>
      </c>
      <c r="D40" s="101">
        <f>IF($A40="","",SUMIFS('GECC 2026'!$AE$3:$AE$32,'GECC 2026'!$AD$3:$AD$32,$A40))</f>
        <v>16</v>
      </c>
      <c r="E40" s="93">
        <f>IF($A40="","",SUMIFS('GECC 2026'!J$2:J$200,'GECC 2026'!F$2:F$200,$A40)+SUMIFS('GECC 2026'!$AE$3:$AE$32,'GECC 2026'!$AD$3:$AD$32,$A40))</f>
        <v>16</v>
      </c>
      <c r="F40" s="24">
        <f>IF($A40="","",COUNTIFS('GECC 2026'!F$2:F$200,$A40))</f>
        <v>0</v>
      </c>
    </row>
    <row r="41" spans="1:6" x14ac:dyDescent="0.25">
      <c r="A41" t="str">
        <v>Michel Martins de Morais</v>
      </c>
      <c r="B41" s="26">
        <f>IF($A41="","",SUMIFS('GECC 2026'!H$2:H$200,'GECC 2026'!F$2:F$200,$A41))</f>
        <v>0</v>
      </c>
      <c r="C41" s="26">
        <f>IF($A41="","",SUMIFS('GECC 2026'!I$2:I$200,'GECC 2026'!F$2:F$200,$A41))</f>
        <v>0</v>
      </c>
      <c r="D41" s="101">
        <f>IF($A41="","",SUMIFS('GECC 2026'!$AE$3:$AE$32,'GECC 2026'!$AD$3:$AD$32,$A41))</f>
        <v>16</v>
      </c>
      <c r="E41" s="93">
        <f>IF($A41="","",SUMIFS('GECC 2026'!J$2:J$200,'GECC 2026'!F$2:F$200,$A41)+SUMIFS('GECC 2026'!$AE$3:$AE$32,'GECC 2026'!$AD$3:$AD$32,$A41))</f>
        <v>16</v>
      </c>
      <c r="F41" s="24">
        <f>IF($A41="","",COUNTIFS('GECC 2026'!F$2:F$200,$A41))</f>
        <v>0</v>
      </c>
    </row>
    <row r="42" spans="1:6" x14ac:dyDescent="0.25">
      <c r="A42" t="str">
        <v>Paulo José Góes Daltro</v>
      </c>
      <c r="B42" s="26">
        <f>IF($A42="","",SUMIFS('GECC 2026'!H$2:H$200,'GECC 2026'!F$2:F$200,$A42))</f>
        <v>0</v>
      </c>
      <c r="C42" s="26">
        <f>IF($A42="","",SUMIFS('GECC 2026'!I$2:I$200,'GECC 2026'!F$2:F$200,$A42))</f>
        <v>0</v>
      </c>
      <c r="D42" s="101">
        <f>IF($A42="","",SUMIFS('GECC 2026'!$AE$3:$AE$32,'GECC 2026'!$AD$3:$AD$32,$A42))</f>
        <v>0</v>
      </c>
      <c r="E42" s="93">
        <f>IF($A42="","",SUMIFS('GECC 2026'!J$2:J$200,'GECC 2026'!F$2:F$200,$A42)+SUMIFS('GECC 2026'!$AE$3:$AE$32,'GECC 2026'!$AD$3:$AD$32,$A42))</f>
        <v>0</v>
      </c>
      <c r="F42" s="24">
        <f>IF($A42="","",COUNTIFS('GECC 2026'!F$2:F$200,$A42))</f>
        <v>2</v>
      </c>
    </row>
    <row r="43" spans="1:6" x14ac:dyDescent="0.25">
      <c r="A43" t="str">
        <v>Priscila Nolasco de Oliveira</v>
      </c>
      <c r="B43" s="26">
        <f>IF($A43="","",SUMIFS('GECC 2026'!H$2:H$200,'GECC 2026'!F$2:F$200,$A43))</f>
        <v>12</v>
      </c>
      <c r="C43" s="26">
        <f>IF($A43="","",SUMIFS('GECC 2026'!I$2:I$200,'GECC 2026'!F$2:F$200,$A43))</f>
        <v>3.5999999999999996</v>
      </c>
      <c r="D43" s="101">
        <f>IF($A43="","",SUMIFS('GECC 2026'!$AE$3:$AE$32,'GECC 2026'!$AD$3:$AD$32,$A43))</f>
        <v>0</v>
      </c>
      <c r="E43" s="93">
        <f>IF($A43="","",SUMIFS('GECC 2026'!J$2:J$200,'GECC 2026'!F$2:F$200,$A43)+SUMIFS('GECC 2026'!$AE$3:$AE$32,'GECC 2026'!$AD$3:$AD$32,$A43))</f>
        <v>15.600000000000001</v>
      </c>
      <c r="F43" s="24">
        <f>IF($A43="","",COUNTIFS('GECC 2026'!F$2:F$200,$A43))</f>
        <v>3</v>
      </c>
    </row>
    <row r="44" spans="1:6" x14ac:dyDescent="0.25">
      <c r="A44" t="str">
        <v>Reinaldo Alencar</v>
      </c>
      <c r="B44" s="26">
        <f>IF($A44="","",SUMIFS('GECC 2026'!H$2:H$200,'GECC 2026'!F$2:F$200,$A44))</f>
        <v>48</v>
      </c>
      <c r="C44" s="26">
        <f>IF($A44="","",SUMIFS('GECC 2026'!I$2:I$200,'GECC 2026'!F$2:F$200,$A44))</f>
        <v>7.1999999999999993</v>
      </c>
      <c r="D44" s="101">
        <f>IF($A44="","",SUMIFS('GECC 2026'!$AE$3:$AE$32,'GECC 2026'!$AD$3:$AD$32,$A44))</f>
        <v>0</v>
      </c>
      <c r="E44" s="93">
        <f>IF($A44="","",SUMIFS('GECC 2026'!J$2:J$200,'GECC 2026'!F$2:F$200,$A44)+SUMIFS('GECC 2026'!$AE$3:$AE$32,'GECC 2026'!$AD$3:$AD$32,$A44))</f>
        <v>55.2</v>
      </c>
      <c r="F44" s="24">
        <f>IF($A44="","",COUNTIFS('GECC 2026'!F$2:F$200,$A44))</f>
        <v>3</v>
      </c>
    </row>
    <row r="45" spans="1:6" x14ac:dyDescent="0.25">
      <c r="A45" t="str">
        <v>Renan Dias da Silva</v>
      </c>
      <c r="B45" s="26">
        <f>IF($A45="","",SUMIFS('GECC 2026'!H$2:H$200,'GECC 2026'!F$2:F$200,$A45))</f>
        <v>4</v>
      </c>
      <c r="C45" s="26">
        <f>IF($A45="","",SUMIFS('GECC 2026'!I$2:I$200,'GECC 2026'!F$2:F$200,$A45))</f>
        <v>1.2</v>
      </c>
      <c r="D45" s="101">
        <f>IF($A45="","",SUMIFS('GECC 2026'!$AE$3:$AE$32,'GECC 2026'!$AD$3:$AD$32,$A45))</f>
        <v>0</v>
      </c>
      <c r="E45" s="93">
        <f>IF($A45="","",SUMIFS('GECC 2026'!J$2:J$200,'GECC 2026'!F$2:F$200,$A45)+SUMIFS('GECC 2026'!$AE$3:$AE$32,'GECC 2026'!$AD$3:$AD$32,$A45))</f>
        <v>5.2</v>
      </c>
      <c r="F45" s="24">
        <f>IF($A45="","",COUNTIFS('GECC 2026'!F$2:F$200,$A45))</f>
        <v>1</v>
      </c>
    </row>
    <row r="46" spans="1:6" x14ac:dyDescent="0.25">
      <c r="A46" t="str">
        <v>Rogério Ribeiro</v>
      </c>
      <c r="B46" s="26">
        <f>IF($A46="","",SUMIFS('GECC 2026'!H$2:H$200,'GECC 2026'!F$2:F$200,$A46))</f>
        <v>48</v>
      </c>
      <c r="C46" s="26">
        <f>IF($A46="","",SUMIFS('GECC 2026'!I$2:I$200,'GECC 2026'!F$2:F$200,$A46))</f>
        <v>7.1999999999999993</v>
      </c>
      <c r="D46" s="101">
        <f>IF($A46="","",SUMIFS('GECC 2026'!$AE$3:$AE$32,'GECC 2026'!$AD$3:$AD$32,$A46))</f>
        <v>0</v>
      </c>
      <c r="E46" s="93">
        <f>IF($A46="","",SUMIFS('GECC 2026'!J$2:J$200,'GECC 2026'!F$2:F$200,$A46)+SUMIFS('GECC 2026'!$AE$3:$AE$32,'GECC 2026'!$AD$3:$AD$32,$A46))</f>
        <v>55.2</v>
      </c>
      <c r="F46" s="24">
        <f>IF($A46="","",COUNTIFS('GECC 2026'!F$2:F$200,$A46))</f>
        <v>3</v>
      </c>
    </row>
    <row r="47" spans="1:6" x14ac:dyDescent="0.25">
      <c r="A47" t="str">
        <v>Rômulo Miranda Alvim</v>
      </c>
      <c r="B47" s="26">
        <f>IF($A47="","",SUMIFS('GECC 2026'!H$2:H$200,'GECC 2026'!F$2:F$200,$A47))</f>
        <v>24</v>
      </c>
      <c r="C47" s="26">
        <f>IF($A47="","",SUMIFS('GECC 2026'!I$2:I$200,'GECC 2026'!F$2:F$200,$A47))</f>
        <v>3.6</v>
      </c>
      <c r="D47" s="101">
        <f>IF($A47="","",SUMIFS('GECC 2026'!$AE$3:$AE$32,'GECC 2026'!$AD$3:$AD$32,$A47))</f>
        <v>16</v>
      </c>
      <c r="E47" s="93">
        <f>IF($A47="","",SUMIFS('GECC 2026'!J$2:J$200,'GECC 2026'!F$2:F$200,$A47)+SUMIFS('GECC 2026'!$AE$3:$AE$32,'GECC 2026'!$AD$3:$AD$32,$A47))</f>
        <v>43.6</v>
      </c>
      <c r="F47" s="24">
        <f>IF($A47="","",COUNTIFS('GECC 2026'!F$2:F$200,$A47))</f>
        <v>2</v>
      </c>
    </row>
    <row r="48" spans="1:6" x14ac:dyDescent="0.25">
      <c r="A48" t="str">
        <v>Sara Cristina Lins Ramos</v>
      </c>
      <c r="B48" s="26">
        <f>IF($A48="","",SUMIFS('GECC 2026'!H$2:H$200,'GECC 2026'!F$2:F$200,$A48))</f>
        <v>8</v>
      </c>
      <c r="C48" s="26">
        <f>IF($A48="","",SUMIFS('GECC 2026'!I$2:I$200,'GECC 2026'!F$2:F$200,$A48))</f>
        <v>2.4</v>
      </c>
      <c r="D48" s="101">
        <f>IF($A48="","",SUMIFS('GECC 2026'!$AE$3:$AE$32,'GECC 2026'!$AD$3:$AD$32,$A48))</f>
        <v>0</v>
      </c>
      <c r="E48" s="93">
        <f>IF($A48="","",SUMIFS('GECC 2026'!J$2:J$200,'GECC 2026'!F$2:F$200,$A48)+SUMIFS('GECC 2026'!$AE$3:$AE$32,'GECC 2026'!$AD$3:$AD$32,$A48))</f>
        <v>10.4</v>
      </c>
      <c r="F48" s="24">
        <f>IF($A48="","",COUNTIFS('GECC 2026'!F$2:F$200,$A48))</f>
        <v>1</v>
      </c>
    </row>
    <row r="49" spans="1:6" x14ac:dyDescent="0.25">
      <c r="A49" t="str">
        <v>Servidores, colaboradores e estagiários do TCDF</v>
      </c>
      <c r="B49" s="26">
        <f>IF($A49="","",SUMIFS('GECC 2026'!H$2:H$200,'GECC 2026'!F$2:F$200,$A49))</f>
        <v>0</v>
      </c>
      <c r="C49" s="26">
        <f>IF($A49="","",SUMIFS('GECC 2026'!I$2:I$200,'GECC 2026'!F$2:F$200,$A49))</f>
        <v>0</v>
      </c>
      <c r="D49" s="101">
        <f>IF($A49="","",SUMIFS('GECC 2026'!$AE$3:$AE$32,'GECC 2026'!$AD$3:$AD$32,$A49))</f>
        <v>0</v>
      </c>
      <c r="E49" s="93">
        <f>IF($A49="","",SUMIFS('GECC 2026'!J$2:J$200,'GECC 2026'!F$2:F$200,$A49)+SUMIFS('GECC 2026'!$AE$3:$AE$32,'GECC 2026'!$AD$3:$AD$32,$A49))</f>
        <v>0</v>
      </c>
      <c r="F49" s="24">
        <f>IF($A49="","",COUNTIFS('GECC 2026'!F$2:F$200,$A49))</f>
        <v>1</v>
      </c>
    </row>
    <row r="50" spans="1:6" x14ac:dyDescent="0.25">
      <c r="A50" t="str">
        <v>Silvia Lima Damasceno Carvalho</v>
      </c>
      <c r="B50" s="26">
        <f>IF($A50="","",SUMIFS('GECC 2026'!H$2:H$200,'GECC 2026'!F$2:F$200,$A50))</f>
        <v>21</v>
      </c>
      <c r="C50" s="26">
        <f>IF($A50="","",SUMIFS('GECC 2026'!I$2:I$200,'GECC 2026'!F$2:F$200,$A50))</f>
        <v>6.3000000000000007</v>
      </c>
      <c r="D50" s="101">
        <f>IF($A50="","",SUMIFS('GECC 2026'!$AE$3:$AE$32,'GECC 2026'!$AD$3:$AD$32,$A50))</f>
        <v>0</v>
      </c>
      <c r="E50" s="93">
        <f>IF($A50="","",SUMIFS('GECC 2026'!J$2:J$200,'GECC 2026'!F$2:F$200,$A50)+SUMIFS('GECC 2026'!$AE$3:$AE$32,'GECC 2026'!$AD$3:$AD$32,$A50))</f>
        <v>27.299999999999997</v>
      </c>
      <c r="F50" s="24">
        <f>IF($A50="","",COUNTIFS('GECC 2026'!F$2:F$200,$A50))</f>
        <v>6</v>
      </c>
    </row>
    <row r="51" spans="1:6" x14ac:dyDescent="0.25">
      <c r="A51" t="str">
        <v>Tarsila Firmino Ely</v>
      </c>
      <c r="B51" s="26">
        <f>IF($A51="","",SUMIFS('GECC 2026'!H$2:H$200,'GECC 2026'!F$2:F$200,$A51))</f>
        <v>76</v>
      </c>
      <c r="C51" s="26">
        <f>IF($A51="","",SUMIFS('GECC 2026'!I$2:I$200,'GECC 2026'!F$2:F$200,$A51))</f>
        <v>80</v>
      </c>
      <c r="D51" s="101">
        <f>IF($A51="","",SUMIFS('GECC 2026'!$AE$3:$AE$32,'GECC 2026'!$AD$3:$AD$32,$A51))</f>
        <v>0</v>
      </c>
      <c r="E51" s="93">
        <f>IF($A51="","",SUMIFS('GECC 2026'!J$2:J$200,'GECC 2026'!F$2:F$200,$A51)+SUMIFS('GECC 2026'!$AE$3:$AE$32,'GECC 2026'!$AD$3:$AD$32,$A51))</f>
        <v>156</v>
      </c>
      <c r="F51" s="24">
        <f>IF($A51="","",COUNTIFS('GECC 2026'!F$2:F$200,$A51))</f>
        <v>6</v>
      </c>
    </row>
    <row r="52" spans="1:6" x14ac:dyDescent="0.25">
      <c r="A52" t="str">
        <v>Thiago Magalhães de Oliveira</v>
      </c>
      <c r="B52" s="26">
        <f>IF($A52="","",SUMIFS('GECC 2026'!H$2:H$200,'GECC 2026'!F$2:F$200,$A52))</f>
        <v>4</v>
      </c>
      <c r="C52" s="26">
        <f>IF($A52="","",SUMIFS('GECC 2026'!I$2:I$200,'GECC 2026'!F$2:F$200,$A52))</f>
        <v>1.2</v>
      </c>
      <c r="D52" s="101">
        <f>IF($A52="","",SUMIFS('GECC 2026'!$AE$3:$AE$32,'GECC 2026'!$AD$3:$AD$32,$A52))</f>
        <v>0</v>
      </c>
      <c r="E52" s="93">
        <f>IF($A52="","",SUMIFS('GECC 2026'!J$2:J$200,'GECC 2026'!F$2:F$200,$A52)+SUMIFS('GECC 2026'!$AE$3:$AE$32,'GECC 2026'!$AD$3:$AD$32,$A52))</f>
        <v>5.2</v>
      </c>
      <c r="F52" s="24">
        <f>IF($A52="","",COUNTIFS('GECC 2026'!F$2:F$200,$A52))</f>
        <v>1</v>
      </c>
    </row>
    <row r="53" spans="1:6" x14ac:dyDescent="0.25">
      <c r="A53" t="str">
        <v>Túllio Herbeth Teixeira Moraes</v>
      </c>
      <c r="B53" s="26">
        <f>IF($A53="","",SUMIFS('GECC 2026'!H$2:H$200,'GECC 2026'!F$2:F$200,$A53))</f>
        <v>3</v>
      </c>
      <c r="C53" s="26">
        <f>IF($A53="","",SUMIFS('GECC 2026'!I$2:I$200,'GECC 2026'!F$2:F$200,$A53))</f>
        <v>0.9</v>
      </c>
      <c r="D53" s="101">
        <f>IF($A53="","",SUMIFS('GECC 2026'!$AE$3:$AE$32,'GECC 2026'!$AD$3:$AD$32,$A53))</f>
        <v>0</v>
      </c>
      <c r="E53" s="93">
        <f>IF($A53="","",SUMIFS('GECC 2026'!J$2:J$200,'GECC 2026'!F$2:F$200,$A53)+SUMIFS('GECC 2026'!$AE$3:$AE$32,'GECC 2026'!$AD$3:$AD$32,$A53))</f>
        <v>3.9</v>
      </c>
      <c r="F53" s="24">
        <f>IF($A53="","",COUNTIFS('GECC 2026'!F$2:F$200,$A53))</f>
        <v>1</v>
      </c>
    </row>
    <row r="54" spans="1:6" x14ac:dyDescent="0.25">
      <c r="A54" t="str">
        <v>Valéria Feitoza</v>
      </c>
      <c r="B54" s="26">
        <f>IF($A54="","",SUMIFS('GECC 2026'!H$2:H$200,'GECC 2026'!F$2:F$200,$A54))</f>
        <v>0</v>
      </c>
      <c r="C54" s="26">
        <f>IF($A54="","",SUMIFS('GECC 2026'!I$2:I$200,'GECC 2026'!F$2:F$200,$A54))</f>
        <v>0</v>
      </c>
      <c r="D54" s="101">
        <f>IF($A54="","",SUMIFS('GECC 2026'!$AE$3:$AE$32,'GECC 2026'!$AD$3:$AD$32,$A54))</f>
        <v>0</v>
      </c>
      <c r="E54" s="93">
        <f>IF($A54="","",SUMIFS('GECC 2026'!J$2:J$200,'GECC 2026'!F$2:F$200,$A54)+SUMIFS('GECC 2026'!$AE$3:$AE$32,'GECC 2026'!$AD$3:$AD$32,$A54))</f>
        <v>0</v>
      </c>
      <c r="F54" s="24">
        <f>IF($A54="","",COUNTIFS('GECC 2026'!F$2:F$200,$A54))</f>
        <v>1</v>
      </c>
    </row>
    <row r="55" spans="1:6" x14ac:dyDescent="0.25">
      <c r="A55" t="str">
        <v>Wibys Pereira</v>
      </c>
      <c r="B55" s="26">
        <f>IF($A55="","",SUMIFS('GECC 2026'!H$2:H$200,'GECC 2026'!F$2:F$200,$A55))</f>
        <v>4</v>
      </c>
      <c r="C55" s="26">
        <f>IF($A55="","",SUMIFS('GECC 2026'!I$2:I$200,'GECC 2026'!F$2:F$200,$A55))</f>
        <v>1.2</v>
      </c>
      <c r="D55" s="101">
        <f>IF($A55="","",SUMIFS('GECC 2026'!$AE$3:$AE$32,'GECC 2026'!$AD$3:$AD$32,$A55))</f>
        <v>0</v>
      </c>
      <c r="E55" s="93">
        <f>IF($A55="","",SUMIFS('GECC 2026'!J$2:J$200,'GECC 2026'!F$2:F$200,$A55)+SUMIFS('GECC 2026'!$AE$3:$AE$32,'GECC 2026'!$AD$3:$AD$32,$A55))</f>
        <v>5.2</v>
      </c>
      <c r="F55" s="24">
        <f>IF($A55="","",COUNTIFS('GECC 2026'!F$2:F$200,$A55))</f>
        <v>1</v>
      </c>
    </row>
    <row r="56" spans="1:6" x14ac:dyDescent="0.25">
      <c r="B56" s="26" t="str">
        <f>IF($A56="","",SUMIFS('GECC 2026'!H$2:H$200,'GECC 2026'!F$2:F$200,$A56))</f>
        <v/>
      </c>
      <c r="C56" s="26" t="str">
        <f>IF($A56="","",SUMIFS('GECC 2026'!I$2:I$200,'GECC 2026'!F$2:F$200,$A56))</f>
        <v/>
      </c>
      <c r="D56" s="101" t="str">
        <f>IF($A56="","",SUMIFS('GECC 2026'!$AE$3:$AE$32,'GECC 2026'!$AD$3:$AD$32,$A56))</f>
        <v/>
      </c>
      <c r="E56" s="93" t="str">
        <f>IF($A56="","",SUMIFS('GECC 2026'!J$2:J$200,'GECC 2026'!F$2:F$200,$A56)+SUMIFS('GECC 2026'!$AE$3:$AE$32,'GECC 2026'!$AD$3:$AD$32,$A56))</f>
        <v/>
      </c>
      <c r="F56" s="24" t="str">
        <f>IF($A56="","",COUNTIFS('GECC 2026'!F$2:F$200,$A56))</f>
        <v/>
      </c>
    </row>
    <row r="57" spans="1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3070</v>
      </c>
      <c r="B105" s="95">
        <f>SUM(B5:B100)</f>
        <v>679</v>
      </c>
      <c r="C105" s="95">
        <f>SUM(C5:C100)</f>
        <v>374.53999999999996</v>
      </c>
      <c r="D105" s="101">
        <f>IF($A105="","",SUMIFS('GECC 2026'!$AE$3:$AE$32,'GECC 2026'!$AD$3:$AD$32,$A105))</f>
        <v>0</v>
      </c>
      <c r="E105" s="93">
        <f>IF($A105="","",SUMIFS('GECC 2026'!J$2:J$200,'GECC 2026'!F$2:F$200,$A105)+SUMIFS('GECC 2026'!$AE$3:$AE$32,'GECC 2026'!$AD$3:$AD$32,$A105))</f>
        <v>0</v>
      </c>
      <c r="F105" s="96">
        <f>SUM(F5:F100)</f>
        <v>110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3136</v>
      </c>
      <c r="B1" s="123" t="s">
        <v>3137</v>
      </c>
      <c r="C1" s="123" t="s">
        <v>3138</v>
      </c>
      <c r="D1" s="123" t="s">
        <v>3139</v>
      </c>
      <c r="E1" s="123" t="s">
        <v>3140</v>
      </c>
      <c r="F1" s="123" t="s">
        <v>3141</v>
      </c>
      <c r="G1" s="123" t="s">
        <v>10</v>
      </c>
      <c r="H1" s="123" t="s">
        <v>3142</v>
      </c>
      <c r="I1" s="123" t="s">
        <v>3143</v>
      </c>
      <c r="J1" s="123" t="s">
        <v>3144</v>
      </c>
      <c r="K1" s="123" t="s">
        <v>3145</v>
      </c>
      <c r="L1" s="123" t="s">
        <v>3146</v>
      </c>
      <c r="N1" s="124" t="s">
        <v>3147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3148</v>
      </c>
      <c r="L2" t="str">
        <f>IF(K2="","",IFERROR(INDEX(Tabela2[Curso],MATCH(K2,Tabela2[ID],0)),""))</f>
        <v/>
      </c>
      <c r="N2" s="123" t="s">
        <v>3027</v>
      </c>
      <c r="O2" s="123" t="s">
        <v>4</v>
      </c>
      <c r="P2" s="123" t="s">
        <v>3149</v>
      </c>
      <c r="Q2" s="123" t="s">
        <v>3150</v>
      </c>
      <c r="R2" s="123" t="s">
        <v>3151</v>
      </c>
      <c r="S2" s="123" t="s">
        <v>3152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3148</v>
      </c>
      <c r="L3" t="str">
        <f>IF(K3="","",IFERROR(INDEX(Tabela2[Curso],MATCH(K3,Tabela2[ID],0)),""))</f>
        <v/>
      </c>
      <c r="N3" t="s">
        <v>2868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3148</v>
      </c>
      <c r="L4" t="str">
        <f>IF(K4="","",IFERROR(INDEX(Tabela2[Curso],MATCH(K4,Tabela2[ID],0)),""))</f>
        <v/>
      </c>
      <c r="N4" t="s">
        <v>2778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3148</v>
      </c>
      <c r="L5" t="str">
        <f>IF(K5="","",IFERROR(INDEX(Tabela2[Curso],MATCH(K5,Tabela2[ID],0)),""))</f>
        <v/>
      </c>
      <c r="N5" t="s">
        <v>2929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3148</v>
      </c>
      <c r="L6" t="str">
        <f>IF(K6="","",IFERROR(INDEX(Tabela2[Curso],MATCH(K6,Tabela2[ID],0)),""))</f>
        <v/>
      </c>
      <c r="N6" t="s">
        <v>2790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3148</v>
      </c>
      <c r="L7" t="str">
        <f>IF(K7="","",IFERROR(INDEX(Tabela2[Curso],MATCH(K7,Tabela2[ID],0)),""))</f>
        <v/>
      </c>
      <c r="N7" t="s">
        <v>2839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3148</v>
      </c>
      <c r="L8" t="str">
        <f>IF(K8="","",IFERROR(INDEX(Tabela2[Curso],MATCH(K8,Tabela2[ID],0)),""))</f>
        <v/>
      </c>
      <c r="N8" t="s">
        <v>2830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3148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3148</v>
      </c>
      <c r="L10" t="str">
        <f>IF(K10="","",IFERROR(INDEX(Tabela2[Curso],MATCH(K10,Tabela2[ID],0)),""))</f>
        <v/>
      </c>
      <c r="N10" s="122" t="s">
        <v>3153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3148</v>
      </c>
      <c r="L11" t="str">
        <f>IF(K11="","",IFERROR(INDEX(Tabela2[Curso],MATCH(K11,Tabela2[ID],0)),""))</f>
        <v/>
      </c>
      <c r="N11" s="125" t="s">
        <v>3154</v>
      </c>
      <c r="O11" s="125" t="s">
        <v>3155</v>
      </c>
      <c r="P11" s="125" t="s">
        <v>3156</v>
      </c>
      <c r="Q11" s="125" t="s">
        <v>3139</v>
      </c>
      <c r="R11" s="125" t="s">
        <v>3140</v>
      </c>
      <c r="S11" s="125" t="s">
        <v>3157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3148</v>
      </c>
      <c r="L12" t="str">
        <f>IF(K12="","",IFERROR(INDEX(Tabela2[Curso],MATCH(K12,Tabela2[ID],0)),""))</f>
        <v/>
      </c>
      <c r="N12" t="s">
        <v>3158</v>
      </c>
      <c r="O12" t="s">
        <v>2778</v>
      </c>
      <c r="P12" t="s">
        <v>3159</v>
      </c>
      <c r="Q12">
        <v>0</v>
      </c>
      <c r="R12">
        <v>0</v>
      </c>
      <c r="S12" t="s">
        <v>3160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3148</v>
      </c>
      <c r="L13" t="str">
        <f>IF(K13="","",IFERROR(INDEX(Tabela2[Curso],MATCH(K13,Tabela2[ID],0)),""))</f>
        <v/>
      </c>
      <c r="N13" t="s">
        <v>3161</v>
      </c>
      <c r="O13" t="s">
        <v>2868</v>
      </c>
      <c r="P13" t="s">
        <v>3162</v>
      </c>
      <c r="Q13">
        <v>0</v>
      </c>
      <c r="R13">
        <v>0</v>
      </c>
      <c r="S13" t="s">
        <v>3163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3148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3148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3148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3148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3148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3148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3148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3148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3148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3148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3148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3148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3148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3148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3148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3148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3148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3148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3148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3148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3148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3148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3148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3148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3148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3148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3148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3148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3148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3148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3148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3148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3148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1</v>
      </c>
      <c r="E47">
        <f>'GECC 2026'!AA48</f>
        <v>0.3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3148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3148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3148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3148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3148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3148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3148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3148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3148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3148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3148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3148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3148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3148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3148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3148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3148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34.9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Flávio José Fonseca de Souza; Felipe da Costa Malaquias</v>
      </c>
      <c r="I64" t="str">
        <f t="shared" si="3"/>
        <v>sim</v>
      </c>
      <c r="J64" t="s">
        <v>3148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34.9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Flávio José Fonseca de Souza; Felipe da Costa Malaquias</v>
      </c>
      <c r="I65" t="str">
        <f t="shared" si="3"/>
        <v>sim</v>
      </c>
      <c r="J65" t="s">
        <v>3148</v>
      </c>
      <c r="L65" t="str">
        <f>IF(K65="","",IFERROR(INDEX(Tabela2[Curso],MATCH(K65,Tabela2[ID],0)),""))</f>
        <v/>
      </c>
    </row>
  </sheetData>
  <conditionalFormatting sqref="A2:L65">
    <cfRule type="expression" dxfId="11" priority="1">
      <formula>$J2="CORRIGIR"</formula>
    </cfRule>
  </conditionalFormatting>
  <conditionalFormatting sqref="A2:L65">
    <cfRule type="expression" dxfId="10" priority="2">
      <formula>$J2="REVISAR"</formula>
    </cfRule>
  </conditionalFormatting>
  <conditionalFormatting sqref="A2:L65">
    <cfRule type="expression" dxfId="9" priority="3">
      <formula>$J2="OK"</formula>
    </cfRule>
  </conditionalFormatting>
  <conditionalFormatting sqref="I2:I65">
    <cfRule type="containsText" dxfId="8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http://purl.org/dc/elements/1.1/"/>
    <ds:schemaRef ds:uri="http://purl.org/dc/dcmitype/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91ce1707-6d34-452b-b217-9734c03e6729"/>
    <ds:schemaRef ds:uri="fe686eaa-0658-4f15-b230-9e46c4d089fd"/>
    <ds:schemaRef ds:uri="http://www.w3.org/XML/1998/namespace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Tatianne Cristine Oliveira Hatem</cp:lastModifiedBy>
  <cp:revision/>
  <dcterms:created xsi:type="dcterms:W3CDTF">2024-04-02T18:43:15Z</dcterms:created>
  <dcterms:modified xsi:type="dcterms:W3CDTF">2026-08-04T21:56:11Z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