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203" documentId="13_ncr:1_{6A2CC3E2-FAFB-4D8F-B284-5E8FB5045DFE}" xr6:coauthVersionLast="47" xr6:coauthVersionMax="47" xr10:uidLastSave="{5DD0B024-4426-4772-81C8-5A2C021A1070}"/>
  <bookViews>
    <workbookView xWindow="-28800" yWindow="2220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<sst xmlns="http://schemas.openxmlformats.org/spreadsheetml/2006/main" count="7457" uniqueCount="3278">
  <si>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</si>
  <si>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</si>
  <si>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</si>
  <si>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</si>
  <si>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</si>
  <si>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</si>
  <si>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</si>
  <si>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</si>
  <si>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</si>
  <si>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</si>
  <si>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</si>
  <si>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</si>
  <si>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</si>
  <si>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</si>
  <si>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</si>
  <si>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</si>
  <si>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</si>
  <si>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</si>
  <si>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</si>
  <si>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</si>
  <si>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</si>
  <si>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</si>
  <si>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</si>
  <si>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</si>
  <si>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</si>
  <si>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</si>
  <si>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</si>
  <si>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</si>
  <si>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</si>
  <si>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</si>
  <si>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</si>
  <si>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</si>
  <si>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</si>
  <si>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</si>
  <si>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</si>
  <si>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</si>
  <si>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</si>
  <si>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</si>
  <si>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</si>
  <si>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</si>
  <si>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</si>
  <si>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</si>
  <si>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</si>
  <si>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</si>
  <si>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</si>
  <si>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</si>
  <si>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</si>
  <si>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</si>
  <si>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</si>
  <si>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</si>
  <si>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</si>
  <si>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</si>
  <si>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</si>
  <si>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</si>
  <si>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</si>
  <si>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</si>
  <si>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</si>
  <si>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</si>
  <si>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</si>
  <si>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</si>
  <si>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</si>
  <si>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</si>
  <si>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</si>
  <si>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</si>
  <si>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</si>
  <si>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</si>
  <si>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</si>
  <si>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</si>
  <si>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</si>
  <si>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</si>
  <si>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</si>
  <si>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</si>
  <si>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</si>
  <si>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</si>
  <si>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</si>
  <si>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</si>
  <si>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</si>
  <si>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</si>
  <si>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</si>
  <si>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</si>
  <si>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</si>
  <si>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</si>
  <si>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</si>
  <si>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</si>
  <si>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</si>
  <si>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</si>
  <si>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</si>
  <si>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</si>
  <si>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</si>
  <si>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</si>
  <si>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</si>
  <si>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</si>
  <si>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</si>
  <si>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</si>
  <si>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</si>
  <si>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</si>
  <si>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</si>
  <si>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</si>
  <si>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</si>
  <si>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</si>
  <si>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</si>
  <si>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</si>
  <si>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</si>
  <si>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</si>
  <si>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</si>
  <si>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</si>
  <si>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</si>
  <si>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</si>
  <si>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</si>
  <si>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</si>
  <si>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</si>
  <si>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</si>
  <si>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</si>
  <si>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</si>
  <si>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</si>
  <si>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</si>
  <si>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</si>
  <si>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</si>
  <si>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</si>
  <si>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</si>
  <si>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</si>
  <si>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</si>
  <si>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</si>
  <si>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</si>
  <si>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</si>
  <si>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</si>
  <si>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</si>
  <si>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</si>
  <si>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</si>
  <si>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</si>
  <si>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</si>
  <si>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</si>
  <si>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</si>
  <si>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</si>
  <si>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</si>
  <si>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</si>
  <si>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</si>
  <si>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</si>
  <si>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</si>
  <si>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</si>
  <si>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</si>
  <si>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</si>
  <si>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</si>
  <si>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</si>
  <si>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</si>
  <si>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</si>
  <si>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</si>
  <si>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</si>
  <si>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</si>
  <si>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</si>
  <si>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</si>
  <si>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</si>
  <si>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</si>
  <si>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</si>
  <si>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</si>
  <si>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</si>
  <si>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</si>
  <si>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</si>
  <si>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</si>
  <si>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</si>
  <si>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</si>
  <si>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</si>
  <si>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</si>
  <si>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</si>
  <si>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</si>
  <si>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</si>
  <si>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</si>
  <si>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</si>
  <si>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</si>
  <si>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</si>
  <si>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</si>
  <si>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</si>
  <si>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</si>
  <si>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</si>
  <si>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</si>
  <si>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</si>
  <si>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</si>
  <si>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</si>
  <si>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</si>
  <si>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</si>
  <si>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</si>
  <si>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</si>
  <si>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</si>
  <si>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</si>
  <si>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</si>
  <si>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</si>
  <si>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</si>
  <si>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</si>
  <si>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</si>
  <si>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</si>
  <si>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</si>
  <si>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</si>
  <si>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</si>
  <si>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</si>
  <si>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</si>
  <si>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</si>
  <si>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</si>
  <si>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</si>
  <si>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</si>
  <si>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</si>
  <si>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</si>
  <si>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</si>
  <si>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</si>
  <si>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</si>
  <si>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</si>
  <si>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</si>
  <si>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</si>
  <si>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</si>
  <si>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</si>
  <si>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</si>
  <si>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</si>
  <si>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</si>
  <si>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</si>
  <si>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</si>
  <si>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</si>
  <si>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</si>
  <si>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</si>
  <si>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</si>
  <si>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</si>
  <si>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</si>
  <si>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</si>
  <si>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</si>
  <si>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</si>
  <si>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</si>
  <si>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</si>
  <si>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</si>
  <si>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</si>
  <si>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</si>
  <si>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</si>
  <si>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</si>
  <si>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</si>
  <si>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</si>
  <si>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</si>
  <si>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</si>
  <si>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</si>
  <si>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</si>
  <si>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</si>
  <si>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</si>
  <si>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</si>
  <si>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</si>
  <si>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</si>
  <si>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</si>
  <si>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</si>
  <si>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</si>
  <si>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</si>
  <si>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</si>
  <si>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</si>
  <si>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</si>
  <si>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</si>
  <si>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</si>
  <si>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</si>
  <si>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</si>
  <si>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</si>
  <si>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</si>
  <si>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</si>
  <si>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</si>
  <si>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</si>
  <si>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</si>
  <si>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</si>
  <si>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</si>
  <si>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</si>
  <si>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</si>
  <si>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</si>
  <si>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</si>
  <si>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</si>
  <si>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</si>
  <si>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</si>
  <si>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</si>
  <si>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</si>
  <si>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</si>
  <si>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</si>
  <si>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</si>
  <si>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</si>
  <si>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</si>
  <si>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</si>
  <si>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</si>
  <si>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</si>
  <si>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</si>
  <si>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</si>
  <si>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</si>
  <si>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</si>
  <si>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</si>
  <si>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</si>
  <si>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</si>
  <si>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</si>
  <si>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</si>
  <si>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</si>
  <si>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</si>
  <si>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</si>
  <si>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</si>
  <si>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</si>
  <si>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</si>
  <si>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</si>
  <si>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</si>
  <si>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</si>
  <si>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</si>
  <si>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</si>
  <si>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</si>
  <si>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</si>
  <si>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</si>
  <si>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</si>
  <si>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</si>
  <si>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</si>
  <si>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</si>
  <si>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</si>
  <si>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</si>
  <si>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</si>
  <si>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</si>
  <si>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</si>
  <si>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</si>
  <si>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</si>
  <si>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</si>
  <si>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</si>
  <si>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</si>
  <si>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</si>
  <si>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</si>
  <si>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</si>
  <si>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</si>
  <si>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</si>
  <si>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</si>
  <si>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</si>
  <si>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</si>
  <si>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</si>
  <si>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</si>
  <si>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</si>
  <si>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</si>
  <si>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</si>
  <si>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</si>
  <si>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</si>
  <si>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</si>
  <si>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</si>
  <si>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</si>
  <si>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</si>
  <si>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</si>
  <si>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</si>
  <si>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</si>
  <si>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</si>
  <si>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</si>
  <si>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</si>
  <si>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</si>
  <si>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</si>
  <si>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</si>
  <si>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</si>
  <si>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</si>
  <si>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</si>
  <si>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</si>
  <si>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</si>
  <si>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</si>
  <si>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</si>
  <si>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</si>
  <si>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</si>
  <si>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</si>
  <si>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</si>
  <si>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</si>
  <si>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</si>
  <si>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</si>
  <si>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</si>
  <si>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</si>
  <si>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</si>
  <si>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</si>
  <si>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</si>
  <si>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</si>
  <si>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</si>
  <si>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</si>
  <si>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</si>
  <si>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</si>
  <si>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</si>
  <si>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</si>
  <si>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</si>
  <si>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</si>
  <si>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</si>
  <si>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</si>
  <si>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</si>
  <si>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</si>
  <si>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</si>
  <si>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</si>
  <si>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</si>
  <si>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</si>
  <si>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</si>
  <si>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</si>
  <si>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</si>
  <si>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</si>
  <si>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</si>
  <si>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</si>
  <si>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</si>
  <si>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</si>
  <si>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</si>
  <si>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</si>
  <si>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</si>
  <si>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</si>
  <si>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</si>
  <si>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</si>
  <si>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</si>
  <si>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</si>
  <si>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</si>
  <si>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</si>
  <si>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</si>
  <si>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</si>
  <si>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</si>
  <si>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</si>
  <si>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</si>
  <si>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</si>
  <si>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</si>
  <si>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</si>
  <si>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</si>
  <si>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</si>
  <si>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</si>
  <si>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</si>
  <si>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</si>
  <si>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</si>
  <si>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</si>
  <si>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</si>
  <si>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</si>
  <si>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</si>
  <si>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</si>
  <si>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</si>
  <si>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</si>
  <si>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</si>
  <si>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</si>
  <si>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</si>
  <si>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</si>
  <si>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</si>
  <si>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</si>
  <si>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</si>
  <si>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</si>
  <si>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</si>
  <si>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</si>
  <si>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</si>
  <si>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</si>
  <si>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</si>
  <si>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</si>
  <si>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</si>
  <si>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</si>
  <si>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</si>
  <si>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</si>
  <si>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</si>
  <si>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</si>
  <si>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</si>
  <si>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</si>
  <si>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</si>
  <si>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</si>
  <si>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</si>
  <si>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</si>
  <si>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</si>
  <si>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</si>
  <si>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</si>
  <si>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</si>
  <si>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</si>
  <si>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</si>
  <si>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</si>
  <si>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</si>
  <si>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</si>
  <si>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</si>
  <si>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</si>
  <si>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</si>
  <si>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</si>
  <si>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</si>
  <si>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</si>
  <si>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</si>
  <si>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</si>
  <si>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</si>
  <si>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</si>
  <si>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</si>
  <si>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</si>
  <si>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</si>
  <si>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</si>
  <si>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</si>
  <si>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</si>
  <si>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</si>
  <si>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</si>
  <si>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</si>
  <si>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</si>
  <si>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</si>
  <si>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</si>
  <si>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</si>
  <si>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</si>
  <si>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</si>
  <si>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</si>
  <si>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</si>
  <si>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</si>
  <si>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</si>
  <si>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</si>
  <si>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</si>
  <si>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</si>
  <si>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</si>
  <si>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</si>
  <si>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</si>
  <si>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</si>
  <si>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</si>
  <si>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</si>
  <si>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</si>
  <si>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</si>
  <si>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</si>
  <si>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</si>
  <si>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</si>
  <si>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</si>
  <si>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</si>
  <si>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</si>
  <si>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</si>
  <si>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</si>
  <si>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</si>
  <si>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</si>
  <si>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</si>
  <si>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</si>
  <si>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</si>
  <si>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</si>
  <si>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</si>
  <si>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</si>
  <si>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</si>
  <si>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</si>
  <si>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</si>
  <si>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</si>
  <si>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</si>
  <si>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</si>
  <si>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</si>
  <si>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</si>
  <si>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</si>
  <si>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</si>
  <si>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</si>
  <si>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</si>
  <si>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</si>
  <si>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</si>
  <si>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</si>
  <si>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</si>
  <si>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</si>
  <si>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</si>
  <si>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</si>
  <si>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</si>
  <si>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</si>
  <si>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</si>
  <si>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</si>
  <si>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</si>
  <si>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</si>
  <si>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</si>
  <si>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</si>
  <si>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</si>
  <si>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</si>
  <si>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</si>
  <si>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</si>
  <si>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</si>
  <si>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</si>
  <si>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</si>
  <si>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</si>
  <si>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</si>
  <si>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</si>
  <si>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</si>
  <si>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</si>
  <si>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</si>
  <si>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</si>
  <si>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</si>
  <si>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</si>
  <si>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</si>
  <si>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</si>
  <si>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</si>
  <si>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</si>
  <si>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</si>
  <si>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</si>
  <si>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</si>
  <si>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</si>
  <si>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</si>
  <si>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</si>
  <si>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</si>
  <si>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</si>
  <si>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</si>
  <si>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</si>
  <si>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</si>
  <si>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</si>
  <si>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</si>
  <si>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</si>
  <si>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</si>
  <si>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</si>
  <si>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</si>
  <si>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</si>
  <si>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</si>
  <si>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</si>
  <si>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</si>
  <si>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</si>
  <si>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</si>
  <si>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</si>
  <si>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</si>
  <si>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</si>
  <si>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</si>
  <si>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</si>
  <si>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</si>
  <si>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</si>
  <si>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</si>
  <si>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</si>
  <si>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</si>
  <si>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</si>
  <si>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</si>
  <si>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</si>
  <si>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</si>
  <si>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</si>
  <si>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</si>
  <si>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</si>
  <si>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</si>
  <si>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</si>
  <si>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</si>
  <si>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</si>
  <si>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</si>
  <si>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</si>
  <si>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</si>
  <si>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</si>
  <si>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</si>
  <si>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</si>
  <si>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</si>
  <si>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</si>
  <si>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</si>
  <si>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</si>
  <si>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</si>
  <si>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</si>
  <si>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</si>
  <si>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</si>
  <si>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</si>
  <si>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</si>
  <si>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</si>
  <si>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</si>
  <si>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</si>
  <si>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</si>
  <si>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</si>
  <si>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</si>
  <si>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</si>
  <si>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</si>
  <si>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</si>
  <si>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</si>
  <si>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</si>
  <si>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</si>
  <si>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</si>
  <si>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</si>
  <si>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</si>
  <si>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</si>
  <si>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</si>
  <si>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</si>
  <si>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</si>
  <si>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</si>
  <si>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</si>
  <si>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</si>
  <si>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</si>
  <si>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</si>
  <si>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</si>
  <si>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</si>
  <si>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</si>
  <si>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</si>
  <si>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</si>
  <si>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</si>
  <si>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</si>
  <si>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</si>
  <si>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</si>
  <si>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</si>
  <si>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</si>
  <si>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</si>
  <si>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</si>
  <si>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</si>
  <si>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</si>
  <si>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</si>
  <si>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</si>
  <si>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</si>
  <si>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</si>
  <si>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</si>
  <si>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</si>
  <si>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</si>
  <si>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</si>
  <si>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</si>
  <si>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</si>
  <si>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</si>
  <si>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</si>
  <si>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</si>
  <si>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</si>
  <si>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</si>
  <si>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</si>
  <si>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</si>
  <si>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</si>
  <si>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</si>
  <si>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</si>
  <si>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</si>
  <si>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</si>
  <si>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</si>
  <si>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</si>
  <si>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</si>
  <si>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</si>
  <si>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</si>
  <si>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</si>
  <si>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</si>
  <si>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</si>
  <si>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</si>
  <si>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</si>
  <si>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</si>
  <si>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</si>
  <si>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</si>
  <si>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</si>
  <si>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</si>
  <si>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</si>
  <si>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</si>
  <si>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</si>
  <si>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</si>
  <si>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</si>
  <si>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</si>
  <si>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</si>
  <si>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</si>
  <si>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</si>
  <si>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</si>
  <si>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</si>
  <si>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</si>
  <si>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</si>
  <si>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</si>
  <si>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</si>
  <si>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</si>
  <si>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</si>
  <si>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</si>
  <si>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</si>
  <si>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</si>
  <si>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</si>
  <si>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</si>
  <si>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</si>
  <si>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</si>
  <si>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</si>
  <si>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</si>
  <si>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</si>
  <si>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</si>
  <si>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</si>
  <si>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</si>
  <si>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</si>
  <si>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</si>
  <si>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</si>
  <si>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</si>
  <si>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</si>
  <si>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</si>
  <si>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</si>
  <si>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</si>
  <si>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</si>
  <si>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</si>
  <si>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</si>
  <si>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</si>
  <si>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</si>
  <si>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</si>
  <si>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</si>
  <si>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</si>
  <si>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</si>
  <si>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</si>
  <si>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</si>
  <si>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</si>
  <si>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</si>
  <si>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</si>
  <si>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</si>
  <si>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</si>
  <si>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</si>
  <si>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</si>
  <si>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</si>
  <si>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</si>
  <si>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</si>
  <si>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</si>
  <si>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</si>
  <si>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</si>
  <si>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</si>
  <si>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</si>
  <si>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</si>
  <si>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</si>
  <si>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</si>
  <si>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</si>
  <si>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</si>
  <si>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</si>
  <si>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</si>
  <si>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</si>
  <si>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</si>
  <si>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</si>
  <si>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</si>
  <si>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</si>
  <si>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</si>
  <si>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</si>
  <si>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</si>
  <si>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</si>
  <si>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</si>
  <si>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</si>
  <si>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</si>
  <si>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</si>
  <si>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</si>
  <si>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</si>
  <si>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</si>
  <si>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</si>
  <si>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</si>
  <si>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</si>
  <si>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</si>
  <si>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</si>
  <si>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</si>
  <si>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</si>
  <si>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</si>
  <si>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</si>
  <si>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</si>
  <si>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</si>
  <si>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</si>
  <si>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</si>
  <si>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</si>
  <si>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</si>
  <si>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</si>
  <si>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</si>
  <si>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</si>
  <si>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</si>
  <si>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</si>
  <si>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</si>
  <si>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</si>
  <si>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</si>
  <si>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</si>
  <si>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</si>
  <si>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</si>
  <si>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</si>
  <si>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</si>
  <si>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</si>
  <si>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</si>
  <si>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</si>
  <si>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</si>
  <si>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</si>
  <si>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</si>
  <si>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</si>
  <si>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</si>
  <si>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</si>
  <si>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</si>
  <si>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</si>
  <si>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</si>
  <si>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</si>
  <si>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</si>
  <si>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</si>
  <si>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</si>
  <si>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</si>
  <si>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</si>
  <si>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</si>
  <si>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</si>
  <si>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</si>
  <si>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</si>
  <si>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</si>
  <si>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</si>
  <si>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</si>
  <si>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</si>
  <si>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</si>
  <si>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</si>
  <si>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</si>
  <si>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</si>
  <si>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</si>
  <si>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</si>
  <si>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</si>
  <si>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</si>
  <si>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</si>
  <si>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</si>
  <si>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</si>
  <si>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</si>
  <si>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</si>
  <si>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</si>
  <si>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</si>
  <si>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</si>
  <si>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</si>
  <si>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</si>
  <si>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</si>
  <si>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</si>
  <si>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</si>
  <si>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</si>
  <si>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</si>
  <si>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</si>
  <si>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</si>
  <si>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</si>
  <si>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</si>
  <si>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</si>
  <si>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</si>
  <si>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</si>
  <si>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</si>
  <si>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</si>
  <si>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</si>
  <si>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</si>
  <si>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</si>
  <si>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</si>
  <si>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</si>
  <si>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</si>
  <si>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</si>
  <si>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</si>
  <si>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</si>
  <si>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</si>
  <si>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</si>
  <si>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</si>
  <si>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</si>
  <si>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</si>
  <si>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</si>
  <si>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</si>
  <si>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</si>
  <si>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</si>
  <si>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</si>
  <si>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</si>
  <si>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</si>
  <si>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</si>
  <si>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</si>
  <si>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</si>
  <si>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</si>
  <si>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</si>
  <si>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</si>
  <si>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</si>
  <si>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</si>
  <si>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</si>
  <si>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</si>
  <si>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</si>
  <si>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</si>
  <si>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</si>
  <si>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</si>
  <si>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</si>
  <si>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</si>
  <si>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</si>
  <si>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</si>
  <si>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</si>
  <si>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</si>
  <si>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</si>
  <si>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</si>
  <si>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</si>
  <si>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</si>
  <si>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</si>
  <si>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</si>
  <si>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</si>
  <si>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</si>
  <si>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</si>
  <si>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</si>
  <si>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</si>
  <si>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</si>
  <si>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</si>
  <si>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</si>
  <si>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</si>
  <si>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</si>
  <si>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</si>
  <si>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</si>
  <si>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</si>
  <si>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</si>
  <si>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</si>
  <si>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</si>
  <si>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</si>
  <si>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</si>
  <si>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</si>
  <si>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</si>
  <si>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</si>
  <si>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</si>
  <si>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</si>
  <si>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</si>
  <si>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</si>
  <si>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</si>
  <si>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</si>
  <si>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</si>
  <si>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</si>
  <si>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</si>
  <si>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</si>
  <si>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</si>
  <si>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</si>
  <si>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</si>
  <si>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</si>
  <si>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</si>
  <si>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</si>
  <si>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</si>
  <si>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</si>
  <si>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</si>
  <si>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</si>
  <si>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</si>
  <si>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</si>
  <si>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</si>
  <si>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</si>
  <si>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</si>
  <si>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</si>
  <si>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</si>
  <si>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</si>
  <si>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</si>
  <si>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</si>
  <si>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</si>
  <si>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</si>
  <si>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</si>
  <si>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</si>
  <si>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</si>
  <si>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</si>
  <si>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</si>
  <si>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</si>
  <si>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</si>
  <si>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</si>
  <si>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</si>
  <si>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</si>
  <si>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</si>
  <si>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</si>
  <si>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</si>
  <si>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</si>
  <si>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</si>
  <si>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</si>
  <si>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</si>
  <si>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</si>
  <si>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</si>
  <si>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</si>
  <si>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</si>
  <si>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</si>
  <si>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</si>
  <si>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</si>
  <si>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</si>
  <si>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</si>
  <si>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</si>
  <si>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</si>
  <si>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</si>
  <si>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</si>
  <si>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</si>
  <si>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</si>
  <si>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</si>
  <si>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</si>
  <si>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</si>
  <si>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</si>
  <si>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</si>
  <si>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</si>
  <si>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</si>
  <si>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</si>
  <si>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</si>
  <si>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</si>
  <si>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</si>
  <si>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</si>
  <si>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</si>
  <si>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</si>
  <si>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</si>
  <si>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</si>
  <si>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</si>
  <si>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</si>
  <si>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</si>
  <si>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</si>
  <si>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</si>
  <si>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</si>
  <si>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</si>
  <si>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</si>
  <si>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</si>
  <si>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</si>
  <si>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</si>
  <si>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</si>
  <si>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</si>
  <si>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</si>
  <si>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</si>
  <si>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</si>
  <si>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</si>
  <si>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</si>
  <si>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</si>
  <si>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</si>
  <si>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</si>
  <si>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</si>
  <si>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</si>
  <si>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</si>
  <si>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</si>
  <si>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</si>
  <si>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</si>
  <si>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</si>
  <si>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</si>
  <si>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</si>
  <si>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</si>
  <si>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</si>
  <si>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</si>
  <si>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</si>
  <si>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</si>
  <si>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</si>
  <si>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</si>
  <si>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</si>
  <si>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</si>
  <si>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</si>
  <si>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</si>
  <si>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</si>
  <si>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</si>
  <si>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</si>
  <si>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</si>
  <si>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</si>
  <si>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</si>
  <si>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</si>
  <si>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</si>
  <si>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</si>
  <si>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</si>
  <si>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</si>
  <si>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</si>
  <si>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</si>
  <si>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</si>
  <si>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</si>
  <si>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</si>
  <si>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</si>
  <si>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</si>
  <si>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</si>
  <si>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</si>
  <si>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</si>
  <si>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</si>
  <si>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</si>
  <si>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</si>
  <si>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</si>
  <si>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</si>
  <si>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</si>
  <si>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</si>
  <si>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</si>
  <si>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</si>
  <si>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</si>
  <si>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</si>
  <si>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</si>
  <si>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</si>
  <si>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</si>
  <si>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</si>
  <si>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</si>
  <si>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</si>
  <si>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</si>
  <si>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</si>
  <si>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</si>
  <si>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</si>
  <si>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</si>
  <si>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</si>
  <si>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</si>
  <si>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</si>
  <si>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</si>
  <si>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</si>
  <si>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</si>
  <si>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</si>
  <si>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</si>
  <si>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</si>
  <si>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</si>
  <si>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</si>
  <si>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</si>
  <si>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</si>
  <si>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</si>
  <si>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</si>
  <si>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</si>
  <si>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</si>
  <si>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</si>
  <si>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</si>
  <si>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</si>
  <si>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</si>
  <si>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</si>
  <si>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</si>
  <si>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</si>
  <si>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</si>
  <si>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</si>
  <si>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</si>
  <si>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</si>
  <si>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</si>
  <si>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</si>
  <si>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</si>
  <si>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</si>
  <si>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</si>
  <si>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</si>
  <si>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</si>
  <si>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</si>
  <si>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</si>
  <si>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</si>
  <si>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</si>
  <si>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</si>
  <si>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</si>
  <si>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</si>
  <si>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</si>
  <si>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</si>
  <si>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</si>
  <si>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</si>
  <si>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</si>
  <si>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</si>
  <si>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</si>
  <si>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</si>
  <si>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</si>
  <si>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</si>
  <si>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</si>
  <si>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</si>
  <si>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</si>
  <si>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</si>
  <si>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</si>
  <si>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</si>
  <si>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</si>
  <si>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</si>
  <si>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</si>
  <si>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</si>
  <si>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</si>
  <si>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</si>
  <si>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</si>
  <si>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</si>
  <si>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</si>
  <si>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</si>
  <si>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</si>
  <si>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</si>
  <si>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</si>
  <si>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</si>
  <si>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</si>
  <si>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</si>
  <si>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</si>
  <si>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</si>
  <si>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</si>
  <si>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</si>
  <si>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</si>
  <si>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</si>
  <si>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</si>
  <si>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</si>
  <si>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</si>
  <si>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</si>
  <si>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</si>
  <si>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</si>
  <si>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</si>
  <si>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</si>
  <si>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</si>
  <si>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</si>
  <si>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</si>
  <si>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</si>
  <si>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</si>
  <si>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</si>
  <si>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</si>
  <si>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</si>
  <si>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</si>
  <si>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</si>
  <si>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</si>
  <si>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</si>
  <si>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</si>
  <si>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</si>
  <si>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</si>
  <si>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</si>
  <si>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</si>
  <si>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</si>
  <si>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</si>
  <si>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</si>
  <si>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</si>
  <si>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</si>
  <si>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</si>
  <si>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</si>
  <si>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</si>
  <si>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</si>
  <si>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</si>
  <si>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</si>
  <si>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</si>
  <si>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</si>
  <si>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</si>
  <si>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</si>
  <si>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</si>
  <si>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</si>
  <si>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</si>
  <si>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</si>
  <si>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</si>
  <si>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</si>
  <si>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</si>
  <si>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</si>
  <si>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</si>
  <si>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</si>
  <si>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</si>
  <si>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</si>
  <si>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</si>
  <si>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</si>
  <si>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</si>
  <si>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</si>
  <si>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</si>
  <si>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</si>
  <si>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</si>
  <si>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</si>
  <si>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</si>
  <si>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</si>
  <si>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</si>
  <si>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</si>
  <si>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</si>
  <si>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</si>
  <si>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</si>
  <si>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</si>
  <si>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</si>
  <si>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</si>
  <si>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</si>
  <si>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</si>
  <si>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</si>
  <si>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</si>
  <si>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</si>
  <si>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</si>
  <si>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</si>
  <si>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</si>
  <si>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</si>
  <si>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</si>
  <si>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</si>
  <si>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</si>
  <si>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</si>
  <si>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</si>
  <si>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</si>
  <si>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</si>
  <si>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</si>
  <si>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</si>
  <si>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</si>
  <si>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</si>
  <si>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</si>
  <si>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</si>
  <si>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</si>
  <si>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</si>
  <si>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</si>
  <si>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</si>
  <si>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</si>
  <si>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</si>
  <si>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</si>
  <si>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</si>
  <si>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</si>
  <si>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</si>
  <si>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</si>
  <si>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</si>
  <si>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</si>
  <si>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</si>
  <si>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</si>
  <si>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</si>
  <si>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</si>
  <si>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</si>
  <si>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</si>
  <si>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</si>
  <si>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</si>
  <si>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</si>
  <si>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</si>
  <si>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</si>
  <si>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</si>
  <si>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</si>
  <si>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</si>
  <si>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</si>
  <si>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</si>
  <si>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</si>
  <si>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</si>
  <si>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</si>
  <si>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</si>
  <si>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</si>
  <si>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</si>
  <si>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</si>
  <si>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</si>
  <si>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</si>
  <si>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</si>
  <si>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</si>
  <si>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</si>
  <si>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</si>
  <si>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</si>
  <si>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</si>
  <si>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</si>
  <si>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</si>
  <si>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</si>
  <si>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</si>
  <si>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</si>
  <si>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</si>
  <si>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</si>
  <si>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</si>
  <si>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</si>
  <si>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</si>
  <si>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</si>
  <si>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</si>
  <si>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</si>
  <si>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</si>
  <si>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</si>
  <si>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</si>
  <si>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</si>
  <si>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</si>
  <si>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</si>
  <si>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</si>
  <si>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</si>
  <si>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</si>
  <si>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</si>
  <si>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</si>
  <si>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</si>
  <si>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</si>
  <si>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</si>
  <si>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</si>
  <si>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</si>
  <si>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</si>
  <si>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</si>
  <si>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</si>
  <si>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</si>
  <si>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</si>
  <si>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</si>
  <si>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</si>
  <si>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</si>
  <si>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</si>
  <si>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</si>
  <si>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</si>
  <si>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</si>
  <si>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</si>
  <si>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</si>
  <si>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</si>
  <si>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</si>
  <si>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</si>
  <si>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</si>
  <si>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</si>
  <si>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</si>
  <si>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</si>
  <si>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</si>
  <si>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</si>
  <si>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</si>
  <si>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</si>
  <si>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</si>
  <si>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</si>
  <si>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</si>
  <si>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</si>
  <si>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</si>
  <si>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</si>
  <si>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</si>
  <si>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</si>
  <si>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</si>
  <si>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</si>
  <si>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</si>
  <si>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</si>
  <si>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</si>
  <si>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</si>
  <si>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</si>
  <si>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</si>
  <si>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</si>
  <si>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</si>
  <si>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</si>
  <si>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</si>
  <si>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</si>
  <si>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</si>
  <si>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</si>
  <si>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</si>
  <si>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</si>
  <si>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</si>
  <si>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</si>
  <si>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</si>
  <si>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</si>
  <si>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</si>
  <si>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</si>
  <si>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</si>
  <si>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</si>
  <si>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</si>
  <si>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</si>
  <si>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</si>
  <si>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</si>
  <si>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</si>
  <si>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</si>
  <si>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</si>
  <si>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</si>
  <si>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</si>
  <si>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</si>
  <si>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</si>
  <si>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</si>
  <si>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</si>
  <si>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</si>
  <si>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</si>
  <si>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</si>
  <si>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</si>
  <si>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</si>
  <si>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</si>
  <si>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</si>
  <si>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</si>
  <si>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</si>
  <si>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</si>
  <si>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</si>
  <si>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</si>
  <si>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</si>
  <si>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</si>
  <si>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</si>
  <si>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</si>
  <si>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</si>
  <si>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</si>
  <si>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</si>
  <si>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</si>
  <si>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</si>
  <si>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</si>
  <si>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</si>
  <si>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</si>
  <si>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</si>
  <si>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</si>
  <si>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</si>
  <si>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</si>
  <si>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</si>
  <si>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</si>
  <si>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</si>
  <si>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</si>
  <si>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</si>
  <si>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</si>
  <si>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</si>
  <si>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</si>
  <si>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</si>
  <si>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</si>
  <si>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</si>
  <si>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</si>
  <si>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</si>
  <si>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</si>
  <si>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</si>
  <si>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</si>
  <si>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</si>
  <si>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</si>
  <si>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</si>
  <si>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</si>
  <si>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</si>
  <si>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</si>
  <si>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</si>
  <si>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</si>
  <si>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</si>
  <si>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</si>
  <si>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</si>
  <si>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</si>
  <si>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</si>
  <si>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</si>
  <si>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</si>
  <si>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</si>
  <si>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</si>
  <si>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</si>
  <si>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</si>
  <si>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</si>
  <si>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</si>
  <si>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</si>
  <si>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</si>
  <si>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</si>
  <si>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</si>
  <si>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</si>
  <si>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</si>
  <si>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</si>
  <si>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</si>
  <si>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</si>
  <si>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</si>
  <si>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</si>
  <si>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</si>
  <si>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</si>
  <si>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</si>
  <si>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</si>
  <si>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</si>
  <si>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</si>
  <si>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</si>
  <si>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</si>
  <si>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</si>
  <si>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</si>
  <si>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</si>
  <si>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</si>
  <si>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</si>
  <si>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</si>
  <si>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</si>
  <si>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</si>
  <si>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</si>
  <si>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</si>
  <si>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</si>
  <si>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</si>
  <si>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</si>
  <si>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</si>
  <si>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</si>
  <si>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</si>
  <si>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</si>
  <si>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</si>
  <si>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</si>
  <si>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</si>
  <si>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</si>
  <si>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</si>
  <si>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</si>
  <si>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</si>
  <si>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</si>
  <si>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</si>
  <si>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</si>
  <si>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</si>
  <si>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</si>
  <si>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</si>
  <si>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</si>
  <si>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</si>
  <si>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</si>
  <si>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</si>
  <si>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</si>
  <si>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</si>
  <si>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</si>
  <si>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</si>
  <si>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</si>
  <si>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</si>
  <si>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</si>
  <si>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</si>
  <si>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</si>
  <si>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</si>
  <si>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</si>
  <si>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</si>
  <si>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</si>
  <si>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</si>
  <si>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</si>
  <si>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</si>
  <si>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</si>
  <si>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</si>
  <si>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</si>
  <si>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</si>
  <si>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</si>
  <si>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</si>
  <si>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</si>
  <si>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</si>
  <si>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</si>
  <si>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</si>
  <si>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</si>
  <si>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</si>
  <si>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</si>
  <si>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</si>
  <si>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</si>
  <si>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</si>
  <si>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</si>
  <si>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</si>
  <si>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</si>
  <si>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</si>
  <si>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</si>
  <si>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</si>
  <si>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</si>
  <si>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</si>
  <si>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</si>
  <si>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</si>
  <si>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</si>
  <si>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</si>
  <si>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</si>
  <si>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</si>
  <si>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</si>
  <si>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</si>
  <si>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</si>
  <si>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</si>
  <si>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</si>
  <si>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</si>
  <si>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</si>
  <si>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</si>
  <si>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</si>
  <si>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</si>
  <si>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</si>
  <si>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</si>
  <si>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</si>
  <si>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</si>
  <si>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</si>
  <si>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</si>
  <si>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</si>
  <si>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</si>
  <si>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</si>
  <si>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</si>
  <si>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</si>
  <si>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</si>
  <si>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</si>
  <si>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</si>
  <si>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</si>
  <si>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</si>
  <si>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</si>
  <si>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</si>
  <si>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</si>
  <si>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</si>
  <si>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</si>
  <si>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</si>
  <si>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</si>
  <si>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</si>
  <si>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</si>
  <si>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</si>
  <si>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</si>
  <si>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</si>
  <si>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</si>
  <si>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</si>
  <si>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</si>
  <si>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</si>
  <si>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</si>
  <si>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</si>
  <si>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</si>
  <si>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</si>
  <si>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</si>
  <si>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</si>
  <si>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</si>
  <si>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</si>
  <si>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</si>
  <si>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</si>
  <si>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</si>
  <si>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</si>
  <si>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</si>
  <si>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</si>
  <si>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</si>
  <si>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</si>
  <si>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</si>
  <si>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</si>
  <si>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</si>
  <si>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</si>
  <si>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</si>
  <si>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</si>
  <si>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</si>
  <si>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</si>
  <si>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</si>
  <si>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</si>
  <si>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</si>
  <si>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</si>
  <si>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</si>
  <si>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</si>
  <si>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</si>
  <si>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</si>
  <si>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</si>
  <si>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</si>
  <si>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</si>
  <si>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</si>
  <si>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</si>
  <si>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</si>
  <si>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</si>
  <si>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</si>
  <si>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</si>
  <si>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</si>
  <si>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</si>
  <si>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</si>
  <si>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</si>
  <si>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</si>
  <si>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</si>
  <si>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</si>
  <si>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</si>
  <si>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</si>
  <si>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</si>
  <si>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</si>
  <si>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</si>
  <si>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</si>
  <si>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</si>
  <si>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</si>
  <si>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</si>
  <si>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</si>
  <si>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</si>
  <si>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</si>
  <si>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</si>
  <si>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</si>
  <si>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</si>
  <si>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</si>
  <si>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</si>
  <si>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</si>
  <si>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</si>
  <si>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</si>
  <si>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</si>
  <si>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</si>
  <si>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</si>
  <si>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</si>
  <si>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</si>
  <si>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</si>
  <si>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</si>
  <si>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</si>
  <si>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</si>
  <si>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</si>
  <si>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</si>
  <si>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</si>
  <si>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</si>
  <si>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</si>
  <si>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</si>
  <si>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</si>
  <si>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</si>
  <si>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</si>
  <si>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</si>
  <si>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</si>
  <si>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</si>
  <si>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</si>
  <si>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</si>
  <si>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</si>
  <si>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</si>
  <si>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</si>
  <si>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</si>
  <si>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</si>
  <si>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</si>
  <si>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</si>
  <si>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</si>
  <si>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</si>
  <si>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</si>
  <si>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</si>
  <si>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</si>
  <si>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</si>
  <si>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</si>
  <si>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</si>
  <si>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</si>
  <si>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</si>
  <si>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</si>
  <si>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</si>
  <si>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</si>
  <si>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</si>
  <si>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</si>
  <si>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</si>
  <si>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</si>
  <si>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</si>
  <si>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</si>
  <si>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</si>
  <si>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</si>
  <si>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</si>
  <si>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</si>
  <si>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</si>
  <si>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</si>
  <si>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</si>
  <si>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</si>
  <si>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</si>
  <si>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</si>
  <si>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</si>
  <si>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</si>
  <si>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</si>
  <si>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</si>
  <si>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</si>
  <si>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</si>
  <si>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</si>
  <si>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</si>
  <si>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</si>
  <si>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</si>
  <si>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</si>
  <si>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</si>
  <si>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</si>
  <si>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</si>
  <si>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</si>
  <si>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</si>
  <si>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</si>
  <si>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</si>
  <si>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</si>
  <si>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</si>
  <si>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</si>
  <si>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</si>
  <si>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</si>
  <si>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</si>
  <si>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</si>
  <si>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</si>
  <si>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</si>
  <si>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</si>
  <si>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</si>
  <si>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</si>
  <si>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</si>
  <si>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</si>
  <si>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</si>
  <si>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</si>
  <si>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</si>
  <si>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</si>
  <si>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</si>
  <si>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</si>
  <si>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</si>
  <si>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</si>
  <si>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</si>
  <si>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</si>
  <si>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</si>
  <si>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</si>
  <si>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</si>
  <si>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</si>
  <si>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</si>
  <si>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</si>
  <si>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</si>
  <si>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</si>
  <si>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</si>
  <si>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</si>
  <si>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</si>
  <si>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</si>
  <si>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</si>
  <si>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</si>
  <si>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</si>
  <si>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</si>
  <si>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</si>
  <si>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</si>
  <si>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</si>
  <si>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</si>
  <si>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</si>
  <si>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</si>
  <si>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</si>
  <si>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</si>
  <si>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</si>
  <si>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</si>
  <si>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</si>
  <si>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</si>
  <si>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</si>
  <si>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</si>
  <si>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</si>
  <si>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</si>
  <si>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</si>
  <si>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</si>
  <si>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</si>
  <si>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</si>
  <si>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</si>
  <si>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</si>
  <si>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</si>
  <si>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</si>
  <si>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</si>
  <si>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</si>
  <si>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</si>
  <si>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</si>
  <si>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</si>
  <si>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</si>
  <si>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</si>
  <si>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</si>
  <si>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</si>
  <si>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</si>
  <si>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</si>
  <si>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</si>
  <si>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</si>
  <si>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</si>
  <si>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</si>
  <si>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</si>
  <si>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</si>
  <si>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</si>
  <si>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</si>
  <si>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</si>
  <si>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</si>
  <si>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</si>
  <si>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</si>
  <si>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</si>
  <si>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</si>
  <si>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</si>
  <si>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</si>
  <si>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</si>
  <si>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</si>
  <si>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</si>
  <si>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</si>
  <si>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</si>
  <si>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</si>
  <si>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</si>
  <si>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</si>
  <si>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</si>
  <si>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</si>
  <si>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</si>
  <si>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</si>
  <si>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</si>
  <si>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</si>
  <si>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</si>
  <si>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</si>
  <si>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</si>
  <si>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</si>
  <si>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</si>
  <si>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</si>
  <si>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</si>
  <si>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</si>
  <si>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</si>
  <si>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</si>
  <si>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</si>
  <si>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</si>
  <si>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</si>
  <si>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</si>
  <si>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</si>
  <si>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</si>
  <si>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</si>
  <si>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</si>
  <si>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</si>
  <si>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</si>
  <si>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</si>
  <si>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</si>
  <si>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</si>
  <si>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</si>
  <si>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</si>
  <si>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</si>
  <si>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</si>
  <si>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</si>
  <si>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</si>
  <si>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</si>
  <si>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</si>
  <si>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</si>
  <si>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</si>
  <si>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</si>
  <si>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</si>
  <si>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</si>
  <si>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</si>
  <si>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</si>
  <si>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</si>
  <si>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</si>
  <si>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</si>
  <si>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</si>
  <si>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</si>
  <si>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</si>
  <si>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</si>
  <si>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</si>
  <si>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</si>
  <si>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</si>
  <si>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</si>
  <si>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</si>
  <si>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</si>
  <si>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</si>
  <si>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</si>
  <si>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</si>
  <si>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</si>
  <si>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</si>
  <si>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</si>
  <si>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</si>
  <si>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</si>
  <si>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</si>
  <si>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</si>
  <si>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</si>
  <si>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</si>
  <si>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</si>
  <si>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</si>
  <si>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</si>
  <si>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</si>
  <si>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</si>
  <si>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</si>
  <si>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</si>
  <si>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</si>
  <si>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</si>
  <si>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</si>
  <si>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</si>
  <si>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</si>
  <si>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</si>
  <si>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</si>
  <si>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</si>
  <si>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</si>
  <si>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</si>
  <si>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</si>
  <si>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</si>
  <si>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</si>
  <si>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</si>
  <si>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</si>
  <si>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</si>
  <si>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</si>
  <si>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</si>
  <si>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</si>
  <si>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</si>
  <si>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</si>
  <si>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</si>
  <si>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</si>
  <si>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</si>
  <si>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</si>
  <si>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</si>
  <si>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</si>
  <si>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</si>
  <si>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</si>
  <si>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</si>
  <si>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</si>
  <si>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</si>
  <si>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</si>
  <si>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</si>
  <si>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</si>
  <si>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</si>
  <si>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</si>
  <si>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</si>
  <si>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</si>
  <si>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</si>
  <si>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</si>
  <si>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</si>
  <si>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</si>
  <si>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</si>
  <si>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</si>
  <si>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</si>
  <si>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</si>
  <si>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</si>
  <si>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</si>
  <si>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</si>
  <si>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</si>
  <si>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</si>
  <si>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</si>
  <si>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</si>
  <si>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</si>
  <si>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</si>
  <si>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</si>
  <si>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</si>
  <si>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</si>
  <si>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</si>
  <si>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</si>
  <si>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</si>
  <si>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</si>
  <si>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</si>
  <si>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</si>
  <si>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</si>
  <si>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</si>
  <si>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</si>
  <si>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</si>
  <si>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</si>
  <si>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</si>
  <si>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</si>
  <si>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</si>
  <si>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</si>
  <si>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</si>
  <si>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</si>
  <si>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</si>
  <si>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</si>
  <si>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</si>
  <si>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</si>
  <si>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</si>
  <si>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</si>
  <si>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</si>
  <si>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</si>
  <si>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</si>
  <si>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</si>
  <si>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</si>
  <si>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</si>
  <si>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</si>
  <si>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</si>
  <si>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</si>
  <si>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</si>
  <si>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</si>
  <si>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</si>
  <si>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</si>
  <si>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</si>
  <si>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</si>
  <si>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</si>
  <si>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</si>
  <si>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</si>
  <si>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</si>
  <si>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</si>
  <si>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</si>
  <si>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</si>
  <si>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</si>
  <si>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</si>
  <si>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</si>
  <si>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</si>
  <si>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</si>
  <si>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</si>
  <si>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</si>
  <si>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</si>
  <si>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</si>
  <si>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</si>
  <si>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</si>
  <si>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</si>
  <si>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</si>
  <si>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</si>
  <si>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</si>
  <si>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</si>
  <si>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</si>
  <si>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</si>
  <si>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</si>
  <si>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</si>
  <si>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</si>
  <si>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</si>
  <si>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</si>
  <si>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</si>
  <si>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</si>
  <si>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</si>
  <si>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</si>
  <si>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</si>
  <si>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</si>
  <si>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</si>
  <si>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</si>
  <si>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</si>
  <si>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</si>
  <si>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</si>
  <si>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</si>
  <si>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</si>
  <si>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</si>
  <si>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</si>
  <si>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</si>
  <si>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</si>
  <si>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</si>
  <si>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</si>
  <si>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</si>
  <si>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</si>
  <si>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</si>
  <si>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</si>
  <si>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</si>
  <si>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</si>
  <si>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</si>
  <si>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</si>
  <si>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</si>
  <si>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</si>
  <si>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</si>
  <si>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</si>
  <si>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</si>
  <si>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</si>
  <si>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</si>
  <si>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</si>
  <si>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</si>
  <si>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</si>
  <si>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</si>
  <si>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</si>
  <si>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</si>
  <si>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</si>
  <si>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</si>
  <si>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</si>
  <si>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</si>
  <si>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</si>
  <si>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</si>
  <si>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</si>
  <si>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</si>
  <si>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</si>
  <si>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</si>
  <si>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</si>
  <si>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</si>
  <si>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</si>
  <si>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</si>
  <si>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</si>
  <si>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</si>
  <si>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</si>
  <si>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</si>
  <si>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</si>
  <si>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</si>
  <si>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</si>
  <si>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</si>
  <si>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</si>
  <si>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</si>
  <si>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</si>
  <si>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</si>
  <si>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</si>
  <si>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</si>
  <si>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</si>
  <si>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</si>
  <si>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</si>
  <si>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</si>
  <si>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</si>
  <si>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</si>
  <si>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</si>
  <si>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</si>
  <si>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</si>
  <si>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</si>
  <si>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</si>
  <si>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</si>
  <si>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</si>
  <si>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</si>
  <si>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</si>
  <si>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</si>
  <si>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</si>
  <si>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</si>
  <si>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</si>
  <si>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</si>
  <si>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</si>
  <si>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</si>
  <si>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</si>
  <si>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</si>
  <si>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</si>
  <si>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</si>
  <si>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</si>
  <si>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</si>
  <si>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</si>
  <si>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</si>
  <si>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</si>
  <si>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</si>
  <si>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</si>
  <si>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</si>
  <si>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</si>
  <si>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</si>
  <si>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</si>
  <si>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</si>
  <si>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</si>
  <si>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</si>
  <si>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</si>
  <si>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</si>
  <si>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</si>
  <si>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</si>
  <si>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</si>
  <si>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</si>
  <si>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</si>
  <si>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</si>
  <si>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</si>
  <si>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</si>
  <si>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</si>
  <si>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</si>
  <si>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</si>
  <si>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</si>
  <si>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</si>
  <si>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</si>
  <si>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</si>
  <si>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</si>
  <si>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</si>
  <si>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</si>
  <si>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</si>
  <si>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</si>
  <si>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</si>
  <si>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</si>
  <si>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</si>
  <si>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</si>
  <si>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</si>
  <si>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</si>
  <si>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</si>
  <si>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</si>
  <si>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</si>
  <si>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</si>
  <si>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</si>
  <si>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</si>
  <si>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</si>
  <si>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</si>
  <si>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</si>
  <si>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</si>
  <si>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</si>
  <si>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</si>
  <si>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</si>
  <si>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</si>
  <si>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</si>
  <si>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</si>
  <si>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</si>
  <si>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</si>
  <si>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</si>
  <si>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</si>
  <si>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</si>
  <si>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</si>
  <si>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</si>
  <si>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</si>
  <si>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</si>
  <si>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</si>
  <si>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</si>
  <si>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</si>
  <si>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</si>
  <si>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</si>
  <si>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</si>
  <si>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</si>
  <si>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</si>
  <si>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</si>
  <si>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</si>
  <si>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</si>
  <si>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</si>
  <si>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</si>
  <si>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</si>
  <si>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</si>
  <si>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</si>
  <si>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</si>
  <si>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</si>
  <si>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</si>
  <si>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</si>
  <si>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</si>
  <si>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</si>
  <si>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</si>
  <si>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</si>
  <si>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</si>
  <si>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</si>
  <si>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</si>
  <si>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</si>
  <si>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</si>
  <si>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</si>
  <si>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</si>
  <si>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</si>
  <si>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</si>
  <si>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</si>
  <si>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</si>
  <si>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</si>
  <si>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</si>
  <si>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</si>
  <si>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</si>
  <si>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</si>
  <si>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</si>
  <si>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</si>
  <si>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</si>
  <si>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</si>
  <si>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</si>
  <si>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</si>
  <si>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</si>
  <si>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</si>
  <si>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</si>
  <si>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</si>
  <si>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</si>
  <si>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</si>
  <si>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</si>
  <si>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</si>
  <si>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</si>
  <si>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</si>
  <si>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</si>
  <si>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</si>
  <si>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</si>
  <si>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</si>
  <si>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</si>
  <si>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</si>
  <si>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</si>
  <si>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</si>
  <si>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</si>
  <si>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</si>
  <si>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</si>
  <si>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</si>
  <si>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</si>
  <si>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</si>
  <si>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</si>
  <si>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</si>
  <si>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</si>
  <si>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</si>
  <si>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</si>
  <si>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</si>
  <si>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</si>
  <si>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</si>
  <si>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</si>
  <si>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</si>
  <si>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</si>
  <si>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</si>
  <si>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</si>
  <si>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</si>
  <si>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</si>
  <si>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</si>
  <si>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</si>
  <si>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</si>
  <si>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</si>
  <si>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</si>
  <si>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</si>
  <si>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</si>
  <si>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</si>
  <si>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</si>
  <si>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</si>
  <si>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</si>
  <si>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</si>
  <si>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</si>
  <si>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</si>
  <si>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</si>
  <si>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</si>
  <si>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</si>
  <si>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</si>
  <si>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</si>
  <si>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</si>
  <si>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</si>
  <si>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</si>
  <si>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</si>
  <si>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</si>
  <si>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</si>
  <si>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</si>
  <si>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</si>
  <si>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</si>
  <si>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</si>
  <si>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</si>
  <si>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</si>
  <si>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</si>
  <si>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</si>
  <si>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</si>
  <si>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</si>
  <si>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</si>
  <si>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</si>
  <si>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</si>
  <si>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</si>
  <si>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</si>
  <si>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</si>
  <si>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</si>
  <si>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</si>
  <si>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</si>
  <si>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</si>
  <si>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</si>
  <si>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</si>
  <si>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</si>
  <si>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</si>
  <si>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</si>
  <si>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</si>
  <si>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</si>
  <si>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</si>
  <si>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</si>
  <si>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</si>
  <si>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</si>
  <si>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</si>
  <si>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</si>
  <si>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</si>
  <si>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</si>
  <si>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</si>
  <si>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</si>
  <si>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</si>
  <si>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</si>
  <si>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</si>
  <si>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</si>
  <si>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</si>
  <si>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</si>
  <si>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</si>
  <si>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</si>
  <si>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</si>
  <si>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</si>
  <si>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</si>
  <si>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</si>
  <si>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</si>
  <si>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</si>
  <si>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</si>
  <si>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</si>
  <si>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</si>
  <si>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</si>
  <si>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</si>
  <si>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</si>
  <si>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</si>
  <si>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</si>
  <si>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</si>
  <si>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</si>
  <si>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</si>
  <si>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</si>
  <si>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</si>
  <si>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</si>
  <si>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</si>
  <si>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</si>
  <si>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</si>
  <si>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</si>
  <si>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</si>
  <si>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</si>
  <si>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</si>
  <si>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</si>
  <si>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</si>
  <si>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</si>
  <si>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</si>
  <si>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</si>
  <si>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</si>
  <si>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</si>
  <si>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</si>
  <si>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</si>
  <si>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</si>
  <si>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</si>
  <si>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</si>
  <si>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</si>
  <si>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</si>
  <si>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</si>
  <si>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</si>
  <si>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</si>
  <si>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</si>
  <si>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</si>
  <si>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</si>
  <si>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</si>
  <si>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</si>
  <si>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</si>
  <si>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</si>
  <si>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</si>
  <si>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</si>
  <si>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</si>
  <si>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</si>
  <si>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</si>
  <si>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</si>
  <si>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</si>
  <si>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</si>
  <si>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</si>
  <si>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</si>
  <si>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</si>
  <si>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</si>
  <si>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</si>
  <si>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</si>
  <si>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</si>
  <si>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</si>
  <si>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</si>
  <si>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</si>
  <si>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</si>
  <si>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</si>
  <si>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</si>
  <si>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</si>
  <si>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</si>
  <si>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</si>
  <si>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</si>
  <si>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</si>
  <si>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</si>
  <si>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</si>
  <si>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</si>
  <si>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</si>
  <si>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</si>
  <si>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</si>
  <si>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</si>
  <si>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</si>
  <si>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</si>
  <si>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</si>
  <si>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</si>
  <si>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</si>
  <si>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</si>
  <si>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</si>
  <si>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</si>
  <si>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</si>
  <si>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</si>
  <si>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</si>
  <si>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</si>
  <si>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</si>
  <si>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</si>
  <si>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</si>
  <si>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</si>
  <si>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</si>
  <si>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</si>
  <si>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</si>
  <si>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</si>
  <si>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</si>
  <si>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</si>
  <si>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</si>
  <si>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</si>
  <si>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</si>
  <si>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</si>
  <si>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</si>
  <si>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</si>
  <si>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</si>
  <si>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</si>
  <si>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</si>
  <si>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</si>
  <si>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</si>
  <si>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</si>
  <si>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</si>
  <si>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</si>
  <si>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</si>
  <si>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</si>
  <si>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</si>
  <si>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</si>
  <si>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</si>
  <si>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</si>
  <si>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</si>
  <si>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</si>
  <si>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</si>
  <si>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</si>
  <si>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</si>
  <si>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</si>
  <si>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</si>
  <si>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</si>
  <si>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</si>
  <si>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</si>
  <si>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</si>
  <si>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</si>
  <si>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</si>
  <si>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</si>
  <si>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</si>
  <si>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</si>
  <si>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</si>
  <si>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</si>
  <si>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</si>
  <si>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</si>
  <si>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</si>
  <si>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</si>
  <si>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</si>
  <si>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</si>
  <si>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</si>
  <si>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</si>
  <si>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</si>
  <si>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</si>
  <si>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</si>
  <si>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</si>
  <si>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</si>
  <si>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</si>
  <si>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</si>
  <si>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</si>
  <si>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</si>
  <si>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</si>
  <si>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</si>
  <si>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</si>
  <si>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</si>
  <si>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</si>
  <si>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</si>
  <si>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</si>
  <si>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</si>
  <si>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</si>
  <si>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</si>
  <si>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</si>
  <si>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</si>
  <si>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</si>
  <si>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</si>
  <si>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</si>
  <si>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</si>
  <si>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</si>
  <si>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</si>
  <si>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</si>
  <si>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</si>
  <si>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</si>
  <si>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</si>
  <si>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</si>
  <si>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</si>
  <si>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</si>
  <si>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</si>
  <si>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</si>
  <si>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</si>
  <si>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</si>
  <si>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</si>
  <si>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</si>
  <si>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</si>
  <si>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</si>
  <si>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</si>
  <si>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</si>
  <si>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</si>
  <si>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</si>
  <si>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</si>
  <si>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</si>
  <si>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</si>
  <si>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</si>
  <si>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</si>
  <si>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</si>
  <si>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</si>
  <si>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</si>
  <si>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</si>
  <si>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</si>
  <si>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</si>
  <si>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</si>
  <si>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</si>
  <si>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</si>
  <si>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</si>
  <si>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</si>
  <si>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</si>
  <si>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</si>
  <si>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</si>
  <si>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</si>
  <si>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</si>
  <si>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</si>
  <si>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</si>
  <si>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</si>
  <si>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</si>
  <si>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</si>
  <si>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</si>
  <si>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</si>
  <si>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</si>
  <si>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</si>
  <si>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</si>
  <si>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</si>
  <si>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</si>
  <si>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</si>
  <si>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</si>
  <si>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</si>
  <si>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</si>
  <si>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</si>
  <si>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</si>
  <si>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</si>
  <si>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</si>
  <si>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</si>
  <si>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</si>
  <si>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</si>
  <si>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</si>
  <si>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</si>
  <si>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</si>
  <si>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</si>
  <si>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</si>
  <si>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</si>
  <si>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</si>
  <si>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</si>
  <si>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</si>
  <si>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</si>
  <si>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</si>
  <si>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</si>
  <si>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</si>
  <si>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</si>
  <si>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</si>
  <si>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</si>
  <si>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</si>
  <si>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</si>
  <si>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</si>
  <si>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</si>
  <si>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</si>
  <si>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</si>
  <si>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</si>
  <si>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</si>
  <si>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</si>
  <si>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</si>
  <si>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</si>
  <si>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</si>
  <si>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</si>
  <si>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</si>
  <si>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</si>
  <si>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</si>
  <si>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</si>
  <si>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</si>
  <si>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</si>
  <si>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</si>
  <si>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</si>
  <si>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</si>
  <si>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</si>
  <si>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</si>
  <si>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</si>
  <si>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</si>
  <si>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</si>
  <si>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</si>
  <si>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</si>
  <si>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</si>
  <si>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</si>
  <si>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</si>
  <si>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</si>
  <si>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</si>
  <si>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</si>
  <si>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</si>
  <si>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</si>
  <si>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</si>
  <si>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</si>
  <si>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</si>
  <si>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</si>
  <si>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</si>
  <si>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</si>
  <si>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</si>
  <si>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</si>
  <si>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</si>
  <si>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</si>
  <si>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</si>
  <si>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</si>
  <si>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</si>
  <si>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</si>
  <si>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</si>
  <si>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</si>
  <si>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</si>
  <si>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</si>
  <si>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</si>
  <si>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</si>
  <si>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</si>
  <si>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</si>
  <si>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</si>
  <si>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</si>
  <si>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</si>
  <si>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</si>
  <si>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</si>
  <si>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</si>
  <si>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</si>
  <si>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</si>
  <si>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</si>
  <si>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</si>
  <si>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</si>
  <si>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</si>
  <si>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</si>
  <si>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</si>
  <si>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</si>
  <si>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</si>
  <si>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</si>
  <si>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</si>
  <si>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</si>
  <si>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</si>
  <si>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</si>
  <si>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</si>
  <si>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</si>
  <si>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</si>
  <si>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</si>
  <si>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</si>
  <si>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</si>
  <si>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</si>
  <si>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</si>
  <si>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</si>
  <si>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</si>
  <si>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</si>
  <si>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</si>
  <si>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</si>
  <si>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</si>
  <si>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</si>
  <si>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</si>
  <si>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</si>
  <si>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</si>
  <si>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</si>
  <si>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</si>
  <si>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</si>
  <si>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</si>
  <si>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</si>
  <si>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</si>
  <si>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</si>
  <si>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</si>
  <si>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</si>
  <si>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</si>
  <si>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</si>
  <si>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</si>
  <si>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</si>
  <si>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</si>
  <si>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</si>
  <si>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</si>
  <si>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</si>
  <si>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</si>
  <si>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</si>
  <si>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</si>
  <si>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</si>
  <si>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</si>
  <si>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</si>
  <si>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</si>
  <si>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</si>
  <si>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</si>
  <si>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</si>
  <si>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</si>
  <si>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</si>
  <si>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</si>
  <si>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</si>
  <si>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</si>
  <si>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</si>
  <si>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</si>
  <si>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</si>
  <si>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</si>
  <si>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</si>
  <si>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</si>
  <si>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</si>
  <si>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</si>
  <si>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</si>
  <si>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</si>
  <si>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</si>
  <si>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</si>
  <si>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</si>
  <si>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</si>
  <si>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</si>
  <si>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</si>
  <si>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</si>
  <si>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</si>
  <si>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</si>
  <si>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</si>
  <si>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</si>
  <si>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</si>
  <si>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</si>
  <si>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</si>
  <si>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</si>
  <si>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</si>
  <si>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</si>
  <si>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</si>
  <si>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</si>
  <si>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</si>
  <si>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</si>
  <si>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</si>
  <si>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</si>
  <si>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</si>
  <si>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</si>
  <si>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</si>
  <si>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</si>
  <si>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</si>
  <si>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</si>
  <si>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</si>
  <si>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</si>
  <si>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</si>
  <si>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</si>
  <si>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</si>
  <si>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</si>
  <si>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</si>
  <si>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</si>
  <si>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</si>
  <si>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</si>
  <si>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</si>
  <si>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</si>
  <si>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</si>
  <si>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</si>
  <si>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</si>
  <si>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</si>
  <si>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</si>
  <si>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</si>
  <si>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</si>
  <si>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</si>
  <si>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</si>
  <si>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</si>
  <si>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</si>
  <si>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</si>
  <si>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</si>
  <si>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</si>
  <si>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</si>
  <si>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</si>
  <si>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</si>
  <si>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</si>
  <si>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</si>
  <si>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</si>
  <si>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</si>
  <si>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</si>
  <si>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</si>
  <si>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</si>
  <si>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</si>
  <si>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</si>
  <si>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</si>
  <si>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</si>
  <si>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</si>
  <si>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</si>
  <si>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</si>
  <si>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</si>
  <si>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</si>
  <si>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</si>
  <si>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</si>
  <si>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</si>
  <si>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</si>
  <si>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</si>
  <si>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</si>
  <si>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</si>
  <si>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</si>
  <si>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</si>
  <si>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</si>
  <si>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</si>
  <si>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</si>
  <si>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</si>
  <si>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</si>
  <si>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</si>
  <si>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</si>
  <si>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</si>
  <si>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</si>
  <si>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</si>
  <si>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</si>
  <si>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</si>
  <si>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</si>
  <si>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</si>
  <si>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</si>
  <si>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</si>
  <si>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</si>
  <si>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</si>
  <si>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</si>
  <si>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</si>
  <si>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</si>
  <si>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</si>
  <si>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</si>
  <si>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</si>
  <si>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</si>
  <si>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</si>
  <si>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</si>
  <si>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</si>
  <si>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</si>
  <si>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</si>
  <si>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</si>
  <si>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</si>
  <si>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</si>
  <si>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</si>
  <si>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</si>
  <si>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</si>
  <si>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</si>
  <si>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</si>
  <si>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</si>
  <si>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</si>
  <si>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</si>
  <si>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</si>
  <si>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</si>
  <si>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</si>
  <si>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</si>
  <si>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</si>
  <si>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</si>
  <si>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</si>
  <si>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</si>
  <si>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</si>
  <si>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</si>
  <si>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</si>
  <si>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</si>
  <si>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</si>
  <si>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</si>
  <si>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</si>
  <si>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</si>
  <si>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</si>
  <si>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</si>
  <si>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</si>
  <si>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</si>
  <si>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</si>
  <si>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</si>
  <si>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</si>
  <si>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</si>
  <si>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</si>
  <si>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</si>
  <si>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</si>
  <si>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</si>
  <si>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</si>
  <si>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</si>
  <si>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</si>
  <si>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</si>
  <si>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</si>
  <si>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</si>
  <si>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</si>
  <si>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</si>
  <si>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</si>
  <si>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</si>
  <si>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</si>
  <si>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</si>
  <si>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</si>
  <si>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</si>
  <si>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</si>
  <si>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</si>
  <si>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</si>
  <si>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</si>
  <si>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</si>
  <si>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</si>
  <si>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</si>
  <si>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</si>
  <si>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</si>
  <si>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</si>
  <si>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</si>
  <si>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</si>
  <si>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</si>
  <si>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</si>
  <si>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</si>
  <si>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</si>
  <si>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</si>
  <si>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</si>
  <si>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</si>
  <si>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</si>
  <si>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</si>
  <si>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</si>
  <si>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</si>
  <si>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</si>
  <si>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</si>
  <si>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</si>
  <si>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</si>
  <si>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</si>
  <si>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</si>
  <si>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</si>
  <si>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</si>
  <si>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</si>
  <si>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</si>
  <si>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</si>
  <si>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</si>
  <si>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</si>
  <si>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</si>
  <si>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</si>
  <si>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</si>
  <si>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</si>
  <si>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</si>
  <si>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</si>
  <si>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</si>
  <si>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</si>
  <si>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</si>
  <si>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</si>
  <si>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</si>
  <si>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</si>
  <si>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</si>
  <si>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</si>
  <si>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</si>
  <si>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</si>
  <si>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</si>
  <si>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</si>
  <si>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</si>
  <si>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</si>
  <si>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</si>
  <si>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</si>
  <si>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</si>
  <si>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</si>
  <si>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</si>
  <si>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</si>
  <si>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</si>
  <si>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</si>
  <si>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</si>
  <si>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</si>
  <si>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</si>
  <si>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</si>
  <si>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</si>
  <si>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</si>
  <si>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</si>
  <si>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</si>
  <si>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</si>
  <si>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</si>
  <si>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</si>
  <si>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</si>
  <si>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</si>
  <si>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</si>
  <si>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</si>
  <si>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</si>
  <si>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</si>
  <si>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</si>
  <si>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</si>
  <si>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</si>
  <si>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</si>
  <si>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</si>
  <si>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</si>
  <si>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</si>
  <si>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</si>
  <si>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</si>
  <si>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</si>
  <si>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</si>
  <si>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</si>
  <si>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</si>
  <si>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</si>
  <si>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</si>
  <si>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</si>
  <si>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</si>
  <si>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</si>
  <si>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</si>
  <si>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</si>
  <si>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</si>
  <si>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</si>
  <si>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</si>
  <si>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</si>
  <si>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</si>
  <si>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</si>
  <si>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</si>
  <si>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</si>
  <si>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</si>
  <si>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</si>
  <si>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</si>
  <si>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</si>
  <si>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</si>
  <si>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</si>
  <si>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</si>
  <si>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</si>
  <si>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</si>
  <si>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</si>
  <si>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</si>
  <si>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</si>
  <si>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</si>
  <si>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</si>
  <si>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</si>
  <si>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</si>
  <si>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</si>
  <si>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</si>
  <si>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</si>
  <si>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</si>
  <si>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</si>
  <si>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</si>
  <si>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</si>
  <si>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</si>
  <si>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</si>
  <si>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</si>
  <si>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</si>
  <si>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</si>
  <si>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</si>
  <si>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</si>
  <si>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</si>
  <si>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</si>
  <si>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</si>
  <si>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</si>
  <si>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</si>
  <si>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</si>
  <si>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</si>
  <si>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</si>
  <si>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</si>
  <si>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</si>
  <si>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</si>
  <si>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</si>
  <si>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</si>
  <si>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</si>
  <si>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</si>
  <si>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</si>
  <si>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</si>
  <si>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</si>
  <si>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</si>
  <si>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</si>
  <si>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</si>
  <si>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</si>
  <si>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</si>
  <si>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</si>
  <si>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</si>
  <si>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</si>
  <si>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</si>
  <si>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</si>
  <si>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</si>
  <si>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</si>
  <si>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</si>
  <si>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</si>
  <si>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</si>
  <si>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</si>
  <si>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</si>
  <si>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</si>
  <si>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</si>
  <si>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</si>
  <si>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</si>
  <si>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</si>
  <si>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</si>
  <si>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</si>
  <si>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</si>
  <si>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</si>
  <si>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</si>
  <si>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</si>
  <si>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</si>
  <si>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</si>
  <si>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</si>
  <si>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</si>
  <si>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</si>
  <si>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</si>
  <si>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</si>
  <si>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</si>
  <si>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</si>
  <si>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</si>
  <si>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</si>
  <si>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</si>
  <si>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</si>
  <si>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</si>
  <si>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</si>
  <si>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</si>
  <si>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</si>
  <si>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</si>
  <si>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</si>
  <si>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</si>
  <si>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</si>
  <si>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</si>
  <si>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</si>
  <si>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</si>
  <si>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</si>
  <si>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</si>
  <si>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</si>
  <si>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</si>
  <si>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</si>
  <si>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</si>
  <si>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</si>
  <si>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</si>
  <si>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</si>
  <si>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</si>
  <si>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</si>
  <si>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</si>
  <si>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</si>
  <si>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</si>
  <si>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</si>
  <si>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</si>
  <si>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</si>
  <si>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</si>
  <si>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</si>
  <si>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</si>
  <si>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</si>
  <si>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</si>
  <si>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</si>
  <si>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</si>
  <si>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</si>
  <si>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</si>
  <si>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</si>
  <si>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</si>
  <si>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</si>
  <si>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</si>
  <si>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</si>
  <si>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</si>
  <si>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</si>
  <si>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</si>
  <si>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</si>
  <si>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</si>
  <si>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</si>
  <si>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</si>
  <si>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</si>
  <si>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</si>
  <si>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</si>
  <si>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</si>
  <si>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</si>
  <si>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</si>
  <si>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</si>
  <si>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</si>
  <si>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</si>
  <si>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</si>
  <si>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</si>
  <si>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</si>
  <si>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</si>
  <si>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</si>
  <si>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</si>
  <si>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</si>
  <si>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</si>
  <si>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</si>
  <si>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</si>
  <si>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</si>
  <si>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</si>
  <si>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</si>
  <si>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</si>
  <si>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</si>
  <si>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</si>
  <si>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</si>
  <si>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</si>
  <si>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</si>
  <si>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</si>
  <si>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</si>
  <si>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</si>
  <si>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</si>
  <si>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</si>
  <si>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</si>
  <si>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</si>
  <si>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</si>
  <si>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</si>
  <si>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</si>
  <si>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</si>
  <si>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</si>
  <si>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</si>
  <si>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</si>
  <si>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</si>
  <si>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</si>
  <si>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</si>
  <si>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</si>
  <si>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</si>
  <si>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</si>
  <si>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</si>
  <si>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</si>
  <si>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</si>
  <si>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</si>
  <si>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</si>
  <si>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</si>
  <si>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</si>
  <si>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</si>
  <si>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</si>
  <si>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</si>
  <si>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</si>
  <si>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</si>
  <si>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</si>
  <si>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</si>
  <si>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</si>
  <si>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</si>
  <si>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</si>
  <si>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</si>
  <si>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</si>
  <si>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</si>
  <si>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</si>
  <si>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</si>
  <si>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</si>
  <si>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</si>
  <si>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</si>
  <si>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</si>
  <si>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</si>
  <si>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</si>
  <si>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</si>
  <si>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</si>
  <si>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</si>
  <si>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</si>
  <si>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</si>
  <si>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</si>
  <si>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</si>
  <si>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</si>
  <si>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</si>
  <si>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Consciência Negra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</si>
</sst>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169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56" fillId="0" borderId="2" xfId="0" applyNumberFormat="1" applyFont="1" applyBorder="1" applyAlignment="1">
      <alignment vertical="center"/>
    </xf>
    <xf numFmtId="0" fontId="56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8" fontId="50" fillId="0" borderId="2" xfId="2" applyNumberFormat="1" applyFont="1" applyFill="1" applyBorder="1" applyAlignment="1">
      <alignment horizontal="center" vertical="center"/>
    </xf>
    <xf numFmtId="164" fontId="50" fillId="0" borderId="2" xfId="2" applyNumberFormat="1" applyFont="1" applyFill="1" applyBorder="1" applyAlignment="1">
      <alignment vertical="center"/>
    </xf>
    <xf numFmtId="166" fontId="50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30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1326</c:v>
                </c:pt>
                <c:pt idx="1">
                  <c:v>1846</c:v>
                </c:pt>
                <c:pt idx="2">
                  <c:v>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9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84" activePane="bottomLeft" state="frozen"/>
      <selection pane="bottomLeft" activeCell="E696" sqref="E69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x14ac:dyDescent="0.25">
      <c r="A659" s="119" t="s">
        <v>2696</v>
      </c>
      <c r="B659" s="115">
        <v>2026</v>
      </c>
      <c r="C659" s="151" t="s">
        <v>23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46314</v>
      </c>
      <c r="J659" s="187">
        <v>47044</v>
      </c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>
        <v>0</v>
      </c>
      <c r="M719" s="179"/>
      <c r="N719" s="155">
        <v>170</v>
      </c>
      <c r="O719" s="155">
        <v>27</v>
      </c>
      <c r="P719" s="155">
        <v>127</v>
      </c>
      <c r="Q719" s="155">
        <v>62</v>
      </c>
      <c r="R719" s="155">
        <f t="shared" si="14"/>
        <v>216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 x14ac:dyDescent="0.25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 x14ac:dyDescent="0.25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 x14ac:dyDescent="0.2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 x14ac:dyDescent="0.2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2982</v>
      </c>
      <c r="D731" s="151"/>
      <c r="E731" s="197" t="s">
        <v>3277</v>
      </c>
      <c r="F731" s="167" t="s">
        <v>25</v>
      </c>
      <c r="G731" s="152" t="s">
        <v>2718</v>
      </c>
      <c r="H731" s="153" t="s">
        <v>2996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2997</v>
      </c>
      <c r="B732" s="151">
        <v>2026</v>
      </c>
      <c r="C732" s="151" t="s">
        <v>2982</v>
      </c>
      <c r="D732" s="151" t="s">
        <v>2998</v>
      </c>
      <c r="E732" s="156" t="s">
        <v>2999</v>
      </c>
      <c r="F732" s="167" t="s">
        <v>89</v>
      </c>
      <c r="G732" s="152" t="s">
        <v>43</v>
      </c>
      <c r="H732" s="153" t="s">
        <v>3000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x14ac:dyDescent="0.25">
      <c r="A733" s="153" t="s">
        <v>3001</v>
      </c>
      <c r="B733" s="151">
        <v>2026</v>
      </c>
      <c r="C733" s="151" t="s">
        <v>23</v>
      </c>
      <c r="D733" s="151" t="s">
        <v>3002</v>
      </c>
      <c r="E733" s="156" t="s">
        <v>3003</v>
      </c>
      <c r="F733" s="167" t="s">
        <v>25</v>
      </c>
      <c r="G733" s="152" t="s">
        <v>2700</v>
      </c>
      <c r="H733" s="153" t="s">
        <v>3004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>
        <v>20</v>
      </c>
      <c r="P733" s="155">
        <v>0</v>
      </c>
      <c r="Q733" s="155">
        <v>0</v>
      </c>
      <c r="R733" s="155">
        <f t="shared" si="16"/>
        <v>20</v>
      </c>
      <c r="S733" s="151">
        <v>8</v>
      </c>
      <c r="T733" s="152" t="s">
        <v>2829</v>
      </c>
      <c r="U733" s="208"/>
    </row>
    <row r="734" spans="1:21" ht="15" x14ac:dyDescent="0.25">
      <c r="A734" s="153" t="s">
        <v>3005</v>
      </c>
      <c r="B734" s="151">
        <v>2026</v>
      </c>
      <c r="C734" s="151" t="s">
        <v>2792</v>
      </c>
      <c r="D734" s="151" t="s">
        <v>3006</v>
      </c>
      <c r="E734" s="156" t="s">
        <v>3007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3008</v>
      </c>
      <c r="B735" s="151">
        <v>2026</v>
      </c>
      <c r="C735" s="151" t="s">
        <v>23</v>
      </c>
      <c r="D735" s="151" t="s">
        <v>3009</v>
      </c>
      <c r="E735" s="156" t="s">
        <v>3010</v>
      </c>
      <c r="F735" s="167" t="s">
        <v>70</v>
      </c>
      <c r="G735" s="152" t="s">
        <v>80</v>
      </c>
      <c r="H735" s="153" t="s">
        <v>3011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3012</v>
      </c>
      <c r="B736" s="151">
        <v>2026</v>
      </c>
      <c r="C736" s="151" t="s">
        <v>23</v>
      </c>
      <c r="D736" s="151" t="s">
        <v>3013</v>
      </c>
      <c r="E736" s="156" t="s">
        <v>3014</v>
      </c>
      <c r="F736" s="167" t="s">
        <v>70</v>
      </c>
      <c r="G736" s="152" t="s">
        <v>2694</v>
      </c>
      <c r="H736" s="153" t="s">
        <v>3015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3016</v>
      </c>
      <c r="U736" s="208"/>
    </row>
    <row r="737" spans="1:21" ht="15" x14ac:dyDescent="0.25">
      <c r="A737" s="153" t="s">
        <v>3017</v>
      </c>
      <c r="B737" s="151">
        <v>2026</v>
      </c>
      <c r="C737" s="151" t="s">
        <v>23</v>
      </c>
      <c r="D737" s="151" t="s">
        <v>3018</v>
      </c>
      <c r="E737" s="156" t="s">
        <v>3019</v>
      </c>
      <c r="F737" s="167" t="s">
        <v>25</v>
      </c>
      <c r="G737" s="152" t="s">
        <v>2700</v>
      </c>
      <c r="H737" s="153" t="s">
        <v>3020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3021</v>
      </c>
      <c r="B738" s="115">
        <v>2026</v>
      </c>
      <c r="C738" s="151" t="s">
        <v>2982</v>
      </c>
      <c r="D738" s="151" t="s">
        <v>3022</v>
      </c>
      <c r="E738" s="156" t="s">
        <v>3023</v>
      </c>
      <c r="F738" s="167" t="s">
        <v>25</v>
      </c>
      <c r="G738" s="152" t="s">
        <v>76</v>
      </c>
      <c r="H738" s="153" t="s">
        <v>3024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3025</v>
      </c>
      <c r="U738" s="209"/>
    </row>
    <row r="739" spans="1:21" ht="15" x14ac:dyDescent="0.25">
      <c r="A739" s="153" t="s">
        <v>3026</v>
      </c>
      <c r="B739" s="151">
        <v>2026</v>
      </c>
      <c r="C739" s="151" t="s">
        <v>23</v>
      </c>
      <c r="D739" s="151" t="s">
        <v>3002</v>
      </c>
      <c r="E739" s="156" t="s">
        <v>3027</v>
      </c>
      <c r="F739" s="167" t="s">
        <v>25</v>
      </c>
      <c r="G739" s="152" t="s">
        <v>2700</v>
      </c>
      <c r="H739" s="153" t="s">
        <v>3028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3029</v>
      </c>
      <c r="B740" s="151">
        <v>2026</v>
      </c>
      <c r="C740" s="151" t="s">
        <v>2982</v>
      </c>
      <c r="D740" s="151" t="s">
        <v>2945</v>
      </c>
      <c r="E740" s="163" t="s">
        <v>3030</v>
      </c>
      <c r="F740" s="167" t="s">
        <v>25</v>
      </c>
      <c r="G740" s="152" t="s">
        <v>207</v>
      </c>
      <c r="H740" s="153" t="s">
        <v>3031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3032</v>
      </c>
      <c r="B741" s="151">
        <v>2026</v>
      </c>
      <c r="C741" s="151" t="s">
        <v>2982</v>
      </c>
      <c r="D741" s="151" t="s">
        <v>3033</v>
      </c>
      <c r="E741" s="156" t="s">
        <v>3034</v>
      </c>
      <c r="F741" s="167" t="s">
        <v>25</v>
      </c>
      <c r="G741" s="152" t="s">
        <v>2700</v>
      </c>
      <c r="H741" s="153" t="s">
        <v>3035</v>
      </c>
      <c r="I741" s="187" t="s">
        <v>3035</v>
      </c>
      <c r="J741" s="187" t="s">
        <v>3035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x14ac:dyDescent="0.25">
      <c r="A742" s="153" t="s">
        <v>3036</v>
      </c>
      <c r="B742" s="115">
        <v>2026</v>
      </c>
      <c r="C742" s="151" t="s">
        <v>2697</v>
      </c>
      <c r="D742" s="151" t="s">
        <v>3037</v>
      </c>
      <c r="E742" s="156" t="s">
        <v>3038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x14ac:dyDescent="0.25">
      <c r="A743" s="153" t="s">
        <v>3039</v>
      </c>
      <c r="B743" s="115">
        <v>2026</v>
      </c>
      <c r="C743" s="151" t="s">
        <v>2697</v>
      </c>
      <c r="D743" s="151" t="s">
        <v>3040</v>
      </c>
      <c r="E743" s="156" t="s">
        <v>3041</v>
      </c>
      <c r="F743" s="167" t="s">
        <v>25</v>
      </c>
      <c r="G743" s="152" t="s">
        <v>26</v>
      </c>
      <c r="H743" s="153" t="s">
        <v>3042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x14ac:dyDescent="0.25">
      <c r="A744" s="153" t="s">
        <v>3043</v>
      </c>
      <c r="B744" s="151">
        <v>2026</v>
      </c>
      <c r="C744" s="151" t="s">
        <v>2792</v>
      </c>
      <c r="D744" s="151" t="s">
        <v>3044</v>
      </c>
      <c r="E744" s="163" t="s">
        <v>3045</v>
      </c>
      <c r="F744" s="167" t="s">
        <v>25</v>
      </c>
      <c r="G744" s="152" t="s">
        <v>207</v>
      </c>
      <c r="H744" s="153" t="s">
        <v>3046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3047</v>
      </c>
      <c r="U744" s="208"/>
    </row>
    <row r="745" spans="1:21" ht="15" x14ac:dyDescent="0.25">
      <c r="A745" s="153" t="s">
        <v>3048</v>
      </c>
      <c r="B745" s="151">
        <v>2026</v>
      </c>
      <c r="C745" s="151" t="s">
        <v>23</v>
      </c>
      <c r="D745" s="151" t="s">
        <v>3049</v>
      </c>
      <c r="E745" s="163" t="s">
        <v>3050</v>
      </c>
      <c r="F745" s="167" t="s">
        <v>25</v>
      </c>
      <c r="G745" s="152" t="s">
        <v>207</v>
      </c>
      <c r="H745" s="153" t="s">
        <v>3051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3052</v>
      </c>
      <c r="B746" s="151">
        <v>2026</v>
      </c>
      <c r="C746" s="151" t="s">
        <v>23</v>
      </c>
      <c r="D746" s="151" t="s">
        <v>3053</v>
      </c>
      <c r="E746" s="156" t="s">
        <v>3054</v>
      </c>
      <c r="F746" s="167" t="s">
        <v>70</v>
      </c>
      <c r="G746" s="152" t="s">
        <v>80</v>
      </c>
      <c r="H746" s="153" t="s">
        <v>3055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x14ac:dyDescent="0.25">
      <c r="A747" s="153" t="s">
        <v>3056</v>
      </c>
      <c r="B747" s="151">
        <v>2026</v>
      </c>
      <c r="C747" s="151" t="s">
        <v>3057</v>
      </c>
      <c r="D747" s="151" t="s">
        <v>3058</v>
      </c>
      <c r="E747" s="163" t="s">
        <v>3059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3060</v>
      </c>
      <c r="U747" s="208"/>
    </row>
    <row r="748" spans="1:21" ht="15" x14ac:dyDescent="0.25">
      <c r="A748" s="153" t="s">
        <v>3061</v>
      </c>
      <c r="B748" s="151">
        <v>2026</v>
      </c>
      <c r="C748" s="151" t="s">
        <v>23</v>
      </c>
      <c r="D748" s="151" t="s">
        <v>3062</v>
      </c>
      <c r="E748" s="156" t="s">
        <v>3063</v>
      </c>
      <c r="F748" s="167" t="s">
        <v>89</v>
      </c>
      <c r="G748" s="152" t="s">
        <v>2718</v>
      </c>
      <c r="H748" s="153" t="s">
        <v>3064</v>
      </c>
      <c r="I748" s="187">
        <v>46314</v>
      </c>
      <c r="J748" s="187">
        <v>46318</v>
      </c>
      <c r="K748" s="151" t="s">
        <v>39</v>
      </c>
      <c r="L748" s="157">
        <v>11235.06</v>
      </c>
      <c r="M748" s="179">
        <v>4.8899999999999997</v>
      </c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3065</v>
      </c>
      <c r="U748" s="208"/>
    </row>
    <row r="749" spans="1:21" ht="15" x14ac:dyDescent="0.25">
      <c r="A749" s="153" t="s">
        <v>3066</v>
      </c>
      <c r="B749" s="151">
        <v>2026</v>
      </c>
      <c r="C749" s="151" t="s">
        <v>2982</v>
      </c>
      <c r="D749" s="151" t="s">
        <v>3062</v>
      </c>
      <c r="E749" s="156" t="s">
        <v>3067</v>
      </c>
      <c r="F749" s="167" t="s">
        <v>89</v>
      </c>
      <c r="G749" s="152" t="s">
        <v>2718</v>
      </c>
      <c r="H749" s="153" t="s">
        <v>3068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3065</v>
      </c>
      <c r="U749" s="208"/>
    </row>
    <row r="750" spans="1:21" ht="15" x14ac:dyDescent="0.25">
      <c r="A750" s="153" t="s">
        <v>3069</v>
      </c>
      <c r="B750" s="151">
        <v>2026</v>
      </c>
      <c r="C750" s="151" t="s">
        <v>2982</v>
      </c>
      <c r="D750" s="151" t="s">
        <v>3070</v>
      </c>
      <c r="E750" s="156" t="s">
        <v>3071</v>
      </c>
      <c r="F750" s="167" t="s">
        <v>70</v>
      </c>
      <c r="G750" s="152" t="s">
        <v>80</v>
      </c>
      <c r="H750" s="153" t="s">
        <v>3072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3073</v>
      </c>
      <c r="U750" s="208"/>
    </row>
    <row r="751" spans="1:21" ht="15" x14ac:dyDescent="0.25">
      <c r="A751" s="153" t="s">
        <v>3074</v>
      </c>
      <c r="B751" s="151">
        <v>2026</v>
      </c>
      <c r="C751" s="151" t="s">
        <v>23</v>
      </c>
      <c r="D751" s="151" t="s">
        <v>3075</v>
      </c>
      <c r="E751" s="156" t="s">
        <v>3076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customHeight="1" x14ac:dyDescent="0.25">
      <c r="A2006" s="211"/>
      <c r="B2006" s="219"/>
      <c r="C2006" s="220"/>
      <c r="D2006" s="220"/>
      <c r="E2006" s="221"/>
      <c r="F2006" s="222"/>
      <c r="G2006" s="223"/>
      <c r="H2006" s="224"/>
      <c r="I2006" s="225"/>
      <c r="J2006" s="225"/>
      <c r="K2006" s="226"/>
      <c r="L2006" s="227"/>
      <c r="M2006" s="228"/>
      <c r="N2006" s="211"/>
      <c r="O2006" s="211"/>
      <c r="P2006" s="211"/>
      <c r="Q2006" s="211"/>
      <c r="R2006" s="211"/>
      <c r="S2006" s="220"/>
      <c r="T2006" s="223"/>
      <c r="U2006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3077</v>
      </c>
      <c r="H1" s="165" t="s">
        <v>3078</v>
      </c>
    </row>
    <row r="2" spans="1:8" x14ac:dyDescent="0.25">
      <c r="H2" s="164" t="s">
        <v>3079</v>
      </c>
    </row>
    <row r="3" spans="1:8" x14ac:dyDescent="0.25">
      <c r="A3" t="s">
        <v>0</v>
      </c>
      <c r="B3" t="s">
        <v>19</v>
      </c>
      <c r="C3" t="s">
        <v>3080</v>
      </c>
      <c r="D3" t="s">
        <v>3081</v>
      </c>
      <c r="E3" t="s">
        <v>3082</v>
      </c>
      <c r="H3" s="164" t="s">
        <v>3083</v>
      </c>
    </row>
    <row r="4" spans="1:8" x14ac:dyDescent="0.25">
      <c r="A4">
        <v>1</v>
      </c>
      <c r="B4" t="s">
        <v>3084</v>
      </c>
      <c r="D4" t="s">
        <v>3085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3086</v>
      </c>
    </row>
    <row r="5" spans="1:8" x14ac:dyDescent="0.25">
      <c r="A5">
        <v>2</v>
      </c>
      <c r="B5" t="s">
        <v>2508</v>
      </c>
      <c r="D5" t="s">
        <v>3085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3087</v>
      </c>
    </row>
    <row r="6" spans="1:8" x14ac:dyDescent="0.25">
      <c r="A6">
        <v>3</v>
      </c>
      <c r="B6" t="s">
        <v>1031</v>
      </c>
      <c r="D6" t="s">
        <v>3085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3088</v>
      </c>
      <c r="D7" t="s">
        <v>3085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3089</v>
      </c>
    </row>
    <row r="8" spans="1:8" x14ac:dyDescent="0.25">
      <c r="A8">
        <v>5</v>
      </c>
      <c r="B8" t="s">
        <v>3090</v>
      </c>
      <c r="D8" t="s">
        <v>3085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3085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3085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3085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3085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3085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3085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3085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3085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3085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3085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3085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3085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3085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3085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3091</v>
      </c>
      <c r="D23" t="s">
        <v>3085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3085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3092</v>
      </c>
      <c r="D25" t="s">
        <v>3085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3093</v>
      </c>
      <c r="D26" t="s">
        <v>3085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3085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3085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3094</v>
      </c>
      <c r="D29" t="s">
        <v>3085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3085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3085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3085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3095</v>
      </c>
      <c r="D33" t="s">
        <v>3085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3096</v>
      </c>
      <c r="D34" t="s">
        <v>3085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3085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3085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3085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3097</v>
      </c>
      <c r="D38" t="s">
        <v>3085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3098</v>
      </c>
      <c r="D39" t="s">
        <v>3085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3085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3099</v>
      </c>
      <c r="D41" t="s">
        <v>3085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3085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3085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3100</v>
      </c>
      <c r="D44" t="s">
        <v>3085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3085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3085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3085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3085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3101</v>
      </c>
      <c r="D49" t="s">
        <v>3085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3085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3102</v>
      </c>
      <c r="D51" t="s">
        <v>3085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3085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3085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3103</v>
      </c>
      <c r="D54" t="s">
        <v>3085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3085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3085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3085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3104</v>
      </c>
      <c r="D58" t="s">
        <v>3085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3085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3085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3105</v>
      </c>
      <c r="D61" t="s">
        <v>3085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3106</v>
      </c>
      <c r="D62" t="s">
        <v>3085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3107</v>
      </c>
      <c r="D63" t="s">
        <v>3085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3108</v>
      </c>
      <c r="D64" t="s">
        <v>3085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3085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3085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3109</v>
      </c>
      <c r="D67" t="s">
        <v>3085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3110</v>
      </c>
      <c r="D68" t="s">
        <v>3085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3085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3111</v>
      </c>
      <c r="D70" t="s">
        <v>3085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3085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3085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3085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3112</v>
      </c>
      <c r="D74" t="s">
        <v>3085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3085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3085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3085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3085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3113</v>
      </c>
      <c r="D79" t="s">
        <v>3085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3114</v>
      </c>
      <c r="D80" t="s">
        <v>3085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3115</v>
      </c>
      <c r="D81" t="s">
        <v>3085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3116</v>
      </c>
      <c r="D82" t="s">
        <v>3085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3085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3117</v>
      </c>
      <c r="D84" t="s">
        <v>3085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3085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3118</v>
      </c>
      <c r="D86" t="s">
        <v>3085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3119</v>
      </c>
      <c r="D87" t="s">
        <v>3085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3120</v>
      </c>
      <c r="D88" t="s">
        <v>3085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3121</v>
      </c>
      <c r="D89" t="s">
        <v>3085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3122</v>
      </c>
      <c r="D90" t="s">
        <v>3085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3123</v>
      </c>
      <c r="D91" t="s">
        <v>3085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3124</v>
      </c>
      <c r="D92" t="s">
        <v>3085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3125</v>
      </c>
      <c r="D93" t="s">
        <v>3085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3073</v>
      </c>
      <c r="D94" t="s">
        <v>3085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3085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3126</v>
      </c>
      <c r="D96" t="s">
        <v>3085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3025</v>
      </c>
      <c r="D97" t="s">
        <v>3085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3127</v>
      </c>
      <c r="D98" t="s">
        <v>3085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3128</v>
      </c>
      <c r="D99" t="s">
        <v>3085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3129</v>
      </c>
      <c r="D100" t="s">
        <v>3085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3130</v>
      </c>
      <c r="D101" t="s">
        <v>3085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3085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3131</v>
      </c>
      <c r="D103" t="s">
        <v>3085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3132</v>
      </c>
      <c r="D104" t="s">
        <v>3085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3133</v>
      </c>
      <c r="D105" t="s">
        <v>3085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3085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3085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3134</v>
      </c>
      <c r="D108" t="s">
        <v>3085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3135</v>
      </c>
      <c r="D109" t="s">
        <v>3085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3136</v>
      </c>
      <c r="D110" t="s">
        <v>3085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3137</v>
      </c>
      <c r="D111" t="s">
        <v>3085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3138</v>
      </c>
      <c r="D112" t="s">
        <v>3085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3139</v>
      </c>
      <c r="D113" t="s">
        <v>3085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3140</v>
      </c>
      <c r="C1" s="18" t="s">
        <v>3141</v>
      </c>
      <c r="D1" s="18" t="s">
        <v>4</v>
      </c>
      <c r="E1" s="18" t="s">
        <v>3142</v>
      </c>
      <c r="F1" s="18" t="s">
        <v>19</v>
      </c>
      <c r="G1" s="18" t="s">
        <v>3143</v>
      </c>
      <c r="H1" s="18" t="s">
        <v>3144</v>
      </c>
      <c r="I1" s="18" t="s">
        <v>3145</v>
      </c>
      <c r="J1" s="18" t="s">
        <v>3146</v>
      </c>
      <c r="L1" s="107" t="s">
        <v>3147</v>
      </c>
      <c r="M1" s="22">
        <v>2026</v>
      </c>
      <c r="U1" s="79" t="s">
        <v>3148</v>
      </c>
      <c r="V1" s="78"/>
      <c r="X1" s="77" t="s">
        <v>3149</v>
      </c>
      <c r="Y1" s="26"/>
      <c r="Z1" s="26"/>
      <c r="AA1" s="26"/>
      <c r="AC1" s="99" t="s">
        <v>3150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3151</v>
      </c>
      <c r="M2" s="103" t="s">
        <v>2928</v>
      </c>
      <c r="X2" s="109" t="s">
        <v>3140</v>
      </c>
      <c r="Y2" s="109" t="s">
        <v>19</v>
      </c>
      <c r="Z2" s="109" t="s">
        <v>3152</v>
      </c>
      <c r="AA2" s="109" t="s">
        <v>3153</v>
      </c>
      <c r="AC2" s="110" t="s">
        <v>1</v>
      </c>
      <c r="AD2" s="110" t="s">
        <v>3154</v>
      </c>
      <c r="AE2" s="110" t="s">
        <v>3155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3156</v>
      </c>
      <c r="M3" s="108" t="s">
        <v>3157</v>
      </c>
      <c r="N3" s="108" t="s">
        <v>3158</v>
      </c>
      <c r="O3" s="108" t="s">
        <v>3159</v>
      </c>
      <c r="P3" s="108" t="s">
        <v>3160</v>
      </c>
      <c r="Q3" s="108" t="s">
        <v>3161</v>
      </c>
      <c r="R3" s="108" t="s">
        <v>3162</v>
      </c>
      <c r="S3" s="108" t="s">
        <v>3163</v>
      </c>
      <c r="T3" s="108" t="s">
        <v>3164</v>
      </c>
      <c r="X3" t="s">
        <v>2838</v>
      </c>
      <c r="Y3" t="s">
        <v>3098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3165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3098</v>
      </c>
      <c r="Z6">
        <v>1</v>
      </c>
      <c r="AA6">
        <v>0</v>
      </c>
      <c r="AC6" s="96">
        <v>2026</v>
      </c>
      <c r="AD6" s="17" t="s">
        <v>3166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3092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3110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3092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3110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3092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3110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3098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3098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3132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3128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3111</v>
      </c>
      <c r="Z33">
        <v>4</v>
      </c>
      <c r="AA33">
        <v>0.6</v>
      </c>
      <c r="AC33" s="98"/>
      <c r="AD33" s="111" t="s">
        <v>3167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3112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3039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3103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3120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3119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3130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3127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3129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3126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3133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3131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3119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Realizado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3036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3036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Em andamento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Em andamento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3098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3103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3117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3121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3118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3122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3104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3104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3104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3005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3005</v>
      </c>
      <c r="Y87" t="s">
        <v>3116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3005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3103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3056</v>
      </c>
      <c r="Y90" t="s">
        <v>3136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3061</v>
      </c>
      <c r="Y91" t="s">
        <v>3084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3066</v>
      </c>
      <c r="Y92" t="s">
        <v>3084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3061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3066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3069</v>
      </c>
      <c r="Y95" t="s">
        <v>3073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3074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Realizado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Realizado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Em andamento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Em andamento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3169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2" t="s">
        <v>3170</v>
      </c>
      <c r="B4" s="233"/>
      <c r="D4" s="234" t="s">
        <v>3171</v>
      </c>
      <c r="E4" s="235"/>
      <c r="G4" s="44" t="s">
        <v>3172</v>
      </c>
    </row>
    <row r="5" spans="1:7" ht="54.95" customHeight="1" thickBot="1" x14ac:dyDescent="0.75">
      <c r="A5" s="34">
        <f>COUNTIF('Ações InCompany'!B:B,2026)</f>
        <v>95</v>
      </c>
      <c r="B5" s="35" t="s">
        <v>3173</v>
      </c>
      <c r="D5" s="42">
        <f>COUNTIFS('Ações InCompany'!B:B,2026,'Ações InCompany'!C:C,"Realizado")</f>
        <v>77</v>
      </c>
      <c r="E5" s="43" t="s">
        <v>3173</v>
      </c>
      <c r="G5" s="45">
        <f>COUNTIFS('Ações InCompany'!B:B,2026,'Ações InCompany'!C:C,"A realizar")</f>
        <v>8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9" t="s">
        <v>3174</v>
      </c>
      <c r="B8" s="229"/>
      <c r="D8" s="229" t="s">
        <v>3175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7" t="s">
        <v>5</v>
      </c>
      <c r="B10" s="27" t="s">
        <v>3176</v>
      </c>
      <c r="D10" s="27" t="s">
        <v>3177</v>
      </c>
      <c r="E10" s="27" t="s">
        <v>3178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30</v>
      </c>
      <c r="D11" s="28" t="s">
        <v>3179</v>
      </c>
      <c r="E11" s="29">
        <f>SUMIFS('Ações InCompany'!O:O,'Ações InCompany'!B:B,2026,'Ações InCompany'!C:C,"Realizado")</f>
        <v>1326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3180</v>
      </c>
      <c r="E12" s="31">
        <f>SUMIFS('Ações InCompany'!P:P,'Ações InCompany'!B:B,2026,'Ações InCompany'!C:C,"Realizado")</f>
        <v>1846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3181</v>
      </c>
      <c r="E13" s="29">
        <f>SUMIFS('Ações InCompany'!Q:Q,'Ações InCompany'!B:B,2026,'Ações InCompany'!C:C,"Realizado")</f>
        <v>889</v>
      </c>
    </row>
    <row r="14" spans="1:7" ht="27.95" customHeight="1" x14ac:dyDescent="0.3">
      <c r="A14" s="32" t="s">
        <v>3182</v>
      </c>
      <c r="B14" s="33">
        <f>SUM(B11:B13)</f>
        <v>77</v>
      </c>
      <c r="D14" s="32" t="s">
        <v>3183</v>
      </c>
      <c r="E14" s="33">
        <f>SUM(E11:E13)</f>
        <v>4061</v>
      </c>
    </row>
    <row r="30" spans="1:5" ht="17.25" x14ac:dyDescent="0.3">
      <c r="A30" s="229" t="s">
        <v>3184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7" t="s">
        <v>6</v>
      </c>
      <c r="B32" s="27" t="s">
        <v>3185</v>
      </c>
      <c r="C32" s="27" t="s">
        <v>3186</v>
      </c>
      <c r="D32" s="27" t="s">
        <v>3187</v>
      </c>
      <c r="E32" s="27" t="s">
        <v>3188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1</v>
      </c>
      <c r="D33" s="36">
        <f t="shared" ref="D33:D44" si="0">B33+C33</f>
        <v>22</v>
      </c>
      <c r="E33" s="37">
        <f t="shared" ref="E33:E44" si="1">D33/$D$45</f>
        <v>0.25882352941176473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4.7058823529411764E-2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9</v>
      </c>
      <c r="C35" s="46">
        <f>COUNTIFS('Ações InCompany'!B:B,2026,'Ações InCompany'!C:C,"A realizar",'Ações InCompany'!G:G,A35)</f>
        <v>1</v>
      </c>
      <c r="D35" s="36">
        <f t="shared" si="0"/>
        <v>10</v>
      </c>
      <c r="E35" s="37">
        <f t="shared" si="1"/>
        <v>0.11764705882352941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3.5294117647058823E-2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0.11764705882352941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0.25882352941176473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0</v>
      </c>
      <c r="D39" s="63">
        <f t="shared" si="0"/>
        <v>3</v>
      </c>
      <c r="E39" s="65">
        <f t="shared" si="1"/>
        <v>3.5294117647058823E-2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2.3529411764705882E-2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8.2352941176470587E-2</v>
      </c>
    </row>
    <row r="42" spans="1:5" ht="24" customHeight="1" x14ac:dyDescent="0.25">
      <c r="A42" s="74" t="s">
        <v>3189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2.3529411764705882E-2</v>
      </c>
    </row>
    <row r="44" spans="1:5" ht="24" customHeight="1" x14ac:dyDescent="0.25">
      <c r="A44" s="66" t="s">
        <v>3190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3182</v>
      </c>
      <c r="B45" s="40">
        <f>SUM(B33:B44)</f>
        <v>77</v>
      </c>
      <c r="C45" s="40">
        <f>SUM(C33:C44)</f>
        <v>8</v>
      </c>
      <c r="D45" s="40">
        <f>SUM(D33:D44)</f>
        <v>85</v>
      </c>
      <c r="E45" s="41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3191</v>
      </c>
      <c r="B1" s="11" t="s">
        <v>3192</v>
      </c>
      <c r="C1" s="12" t="s">
        <v>3193</v>
      </c>
      <c r="D1" s="12" t="s">
        <v>3194</v>
      </c>
      <c r="E1" s="12" t="s">
        <v>3195</v>
      </c>
    </row>
    <row r="2" spans="1:5" ht="18" customHeight="1" x14ac:dyDescent="0.25">
      <c r="A2" s="11" t="s">
        <v>3196</v>
      </c>
      <c r="B2" s="11" t="s">
        <v>3197</v>
      </c>
      <c r="C2" s="11" t="s">
        <v>1737</v>
      </c>
      <c r="D2" s="11" t="s">
        <v>3198</v>
      </c>
      <c r="E2" s="11" t="s">
        <v>3199</v>
      </c>
    </row>
    <row r="3" spans="1:5" ht="18" customHeight="1" x14ac:dyDescent="0.25">
      <c r="A3" s="11" t="s">
        <v>3196</v>
      </c>
      <c r="B3" s="11" t="s">
        <v>3197</v>
      </c>
      <c r="C3" s="13" t="s">
        <v>26</v>
      </c>
      <c r="D3" s="11" t="s">
        <v>3200</v>
      </c>
      <c r="E3" s="11" t="s">
        <v>3201</v>
      </c>
    </row>
    <row r="4" spans="1:5" ht="18" customHeight="1" x14ac:dyDescent="0.25">
      <c r="A4" s="11" t="s">
        <v>3196</v>
      </c>
      <c r="B4" s="11" t="s">
        <v>3197</v>
      </c>
      <c r="C4" s="11" t="s">
        <v>76</v>
      </c>
      <c r="D4" s="11" t="s">
        <v>3198</v>
      </c>
      <c r="E4" s="11" t="s">
        <v>3202</v>
      </c>
    </row>
    <row r="5" spans="1:5" ht="18" customHeight="1" x14ac:dyDescent="0.25">
      <c r="A5" s="11" t="s">
        <v>3196</v>
      </c>
      <c r="B5" s="11" t="s">
        <v>3197</v>
      </c>
      <c r="C5" s="11" t="s">
        <v>80</v>
      </c>
      <c r="D5" s="11" t="s">
        <v>3203</v>
      </c>
      <c r="E5" s="11" t="s">
        <v>3204</v>
      </c>
    </row>
    <row r="6" spans="1:5" ht="18" customHeight="1" x14ac:dyDescent="0.25">
      <c r="A6" s="11" t="s">
        <v>3196</v>
      </c>
      <c r="B6" s="11" t="s">
        <v>3197</v>
      </c>
      <c r="C6" s="11" t="s">
        <v>2718</v>
      </c>
      <c r="D6" s="11" t="s">
        <v>3205</v>
      </c>
      <c r="E6" s="11" t="s">
        <v>3206</v>
      </c>
    </row>
    <row r="7" spans="1:5" ht="18" customHeight="1" x14ac:dyDescent="0.25">
      <c r="A7" s="11" t="s">
        <v>3196</v>
      </c>
      <c r="B7" s="11" t="s">
        <v>3207</v>
      </c>
      <c r="C7" s="11" t="s">
        <v>37</v>
      </c>
      <c r="D7" s="11" t="s">
        <v>3208</v>
      </c>
      <c r="E7" s="11" t="s">
        <v>3209</v>
      </c>
    </row>
    <row r="8" spans="1:5" ht="18" customHeight="1" x14ac:dyDescent="0.25">
      <c r="A8" s="11" t="s">
        <v>3196</v>
      </c>
      <c r="B8" s="11" t="s">
        <v>3207</v>
      </c>
      <c r="C8" s="11" t="s">
        <v>43</v>
      </c>
      <c r="D8" s="11" t="s">
        <v>3210</v>
      </c>
      <c r="E8" s="11" t="s">
        <v>3211</v>
      </c>
    </row>
    <row r="9" spans="1:5" ht="18" customHeight="1" x14ac:dyDescent="0.25">
      <c r="A9" s="11" t="s">
        <v>3196</v>
      </c>
      <c r="B9" s="11" t="s">
        <v>3212</v>
      </c>
      <c r="C9" s="11" t="s">
        <v>465</v>
      </c>
      <c r="D9" s="11" t="s">
        <v>3213</v>
      </c>
      <c r="E9" s="11" t="s">
        <v>3214</v>
      </c>
    </row>
    <row r="10" spans="1:5" ht="18" customHeight="1" x14ac:dyDescent="0.25">
      <c r="A10" s="11" t="s">
        <v>3196</v>
      </c>
      <c r="B10" s="11" t="s">
        <v>3212</v>
      </c>
      <c r="C10" s="11" t="s">
        <v>207</v>
      </c>
      <c r="D10" s="11" t="s">
        <v>25</v>
      </c>
      <c r="E10" s="11" t="s">
        <v>3215</v>
      </c>
    </row>
    <row r="11" spans="1:5" ht="18" customHeight="1" x14ac:dyDescent="0.25">
      <c r="A11" s="11" t="s">
        <v>3196</v>
      </c>
      <c r="B11" s="11" t="s">
        <v>3212</v>
      </c>
      <c r="C11" s="11" t="s">
        <v>372</v>
      </c>
      <c r="D11" s="11" t="s">
        <v>25</v>
      </c>
      <c r="E11" s="11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3217</v>
      </c>
      <c r="B1" s="5" t="s">
        <v>10</v>
      </c>
      <c r="C1" s="14" t="s">
        <v>3218</v>
      </c>
      <c r="D1" s="14" t="s">
        <v>3141</v>
      </c>
    </row>
    <row r="2" spans="1:4" ht="21" customHeight="1" x14ac:dyDescent="0.25">
      <c r="A2" s="218" t="s">
        <v>25</v>
      </c>
      <c r="B2" s="218" t="s">
        <v>39</v>
      </c>
      <c r="C2" s="11" t="s">
        <v>3219</v>
      </c>
      <c r="D2" s="11" t="s">
        <v>2982</v>
      </c>
    </row>
    <row r="3" spans="1:4" ht="21" customHeight="1" x14ac:dyDescent="0.25">
      <c r="A3" s="11" t="s">
        <v>70</v>
      </c>
      <c r="B3" s="218" t="s">
        <v>28</v>
      </c>
      <c r="C3" s="11" t="s">
        <v>3220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3057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3191</v>
      </c>
      <c r="B1" s="11" t="s">
        <v>3192</v>
      </c>
      <c r="C1" s="12" t="s">
        <v>3193</v>
      </c>
      <c r="D1" s="12" t="s">
        <v>3194</v>
      </c>
      <c r="E1" s="12" t="s">
        <v>3195</v>
      </c>
    </row>
    <row r="2" spans="1:5" ht="18" customHeight="1" x14ac:dyDescent="0.25">
      <c r="A2" s="11" t="s">
        <v>3222</v>
      </c>
      <c r="B2" s="11" t="s">
        <v>3197</v>
      </c>
      <c r="C2" s="13" t="s">
        <v>26</v>
      </c>
      <c r="D2" s="11" t="s">
        <v>3198</v>
      </c>
      <c r="E2" s="16" t="s">
        <v>3223</v>
      </c>
    </row>
    <row r="3" spans="1:5" ht="18" customHeight="1" x14ac:dyDescent="0.25">
      <c r="A3" s="11" t="s">
        <v>3222</v>
      </c>
      <c r="B3" s="11" t="s">
        <v>3197</v>
      </c>
      <c r="C3" s="11" t="s">
        <v>76</v>
      </c>
      <c r="D3" s="11" t="s">
        <v>3200</v>
      </c>
      <c r="E3" s="11" t="s">
        <v>3224</v>
      </c>
    </row>
    <row r="4" spans="1:5" ht="18" customHeight="1" x14ac:dyDescent="0.25">
      <c r="A4" s="11" t="s">
        <v>3222</v>
      </c>
      <c r="B4" s="11" t="s">
        <v>3197</v>
      </c>
      <c r="C4" s="11" t="s">
        <v>80</v>
      </c>
      <c r="D4" s="11" t="s">
        <v>3203</v>
      </c>
      <c r="E4" s="11" t="s">
        <v>3225</v>
      </c>
    </row>
    <row r="5" spans="1:5" ht="27.75" customHeight="1" x14ac:dyDescent="0.25">
      <c r="A5" s="11" t="s">
        <v>3222</v>
      </c>
      <c r="B5" s="11" t="s">
        <v>3197</v>
      </c>
      <c r="C5" s="11" t="s">
        <v>2694</v>
      </c>
      <c r="D5" s="16" t="s">
        <v>3226</v>
      </c>
      <c r="E5" s="11" t="s">
        <v>3227</v>
      </c>
    </row>
    <row r="6" spans="1:5" ht="18" customHeight="1" x14ac:dyDescent="0.25">
      <c r="A6" s="11" t="s">
        <v>3222</v>
      </c>
      <c r="B6" s="11" t="s">
        <v>3197</v>
      </c>
      <c r="C6" s="11" t="s">
        <v>2718</v>
      </c>
      <c r="D6" s="11" t="s">
        <v>3205</v>
      </c>
      <c r="E6" s="11" t="s">
        <v>3206</v>
      </c>
    </row>
    <row r="7" spans="1:5" ht="18" customHeight="1" x14ac:dyDescent="0.25">
      <c r="A7" s="11" t="s">
        <v>3222</v>
      </c>
      <c r="B7" s="11" t="s">
        <v>3207</v>
      </c>
      <c r="C7" s="11" t="s">
        <v>2700</v>
      </c>
      <c r="D7" s="11" t="s">
        <v>3228</v>
      </c>
      <c r="E7" s="11" t="s">
        <v>3229</v>
      </c>
    </row>
    <row r="8" spans="1:5" ht="18" customHeight="1" x14ac:dyDescent="0.25">
      <c r="A8" s="11" t="s">
        <v>3222</v>
      </c>
      <c r="B8" s="11" t="s">
        <v>3207</v>
      </c>
      <c r="C8" s="11" t="s">
        <v>43</v>
      </c>
      <c r="D8" s="11" t="s">
        <v>3210</v>
      </c>
      <c r="E8" s="11" t="s">
        <v>3211</v>
      </c>
    </row>
    <row r="9" spans="1:5" ht="18" customHeight="1" x14ac:dyDescent="0.25">
      <c r="A9" s="11" t="s">
        <v>3222</v>
      </c>
      <c r="B9" s="11" t="s">
        <v>3207</v>
      </c>
      <c r="C9" s="11" t="s">
        <v>2795</v>
      </c>
      <c r="D9" s="11" t="s">
        <v>3230</v>
      </c>
      <c r="E9" s="16" t="s">
        <v>3231</v>
      </c>
    </row>
    <row r="10" spans="1:5" ht="18" customHeight="1" x14ac:dyDescent="0.25">
      <c r="A10" s="11" t="s">
        <v>3222</v>
      </c>
      <c r="B10" s="11" t="s">
        <v>3232</v>
      </c>
      <c r="C10" s="11" t="s">
        <v>3189</v>
      </c>
      <c r="D10" s="11" t="s">
        <v>3233</v>
      </c>
      <c r="E10" s="16" t="s">
        <v>3234</v>
      </c>
    </row>
    <row r="11" spans="1:5" ht="18" customHeight="1" x14ac:dyDescent="0.25">
      <c r="A11" s="11" t="s">
        <v>3222</v>
      </c>
      <c r="B11" s="11" t="s">
        <v>3232</v>
      </c>
      <c r="C11" s="11" t="s">
        <v>207</v>
      </c>
      <c r="D11" s="11" t="s">
        <v>25</v>
      </c>
      <c r="E11" s="11" t="s">
        <v>3215</v>
      </c>
    </row>
    <row r="12" spans="1:5" ht="18" customHeight="1" x14ac:dyDescent="0.25">
      <c r="A12" s="11" t="s">
        <v>3222</v>
      </c>
      <c r="B12" s="11" t="s">
        <v>3232</v>
      </c>
      <c r="C12" s="11" t="s">
        <v>372</v>
      </c>
      <c r="D12" s="11" t="s">
        <v>25</v>
      </c>
      <c r="E12" s="11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3235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8" t="s">
        <v>3236</v>
      </c>
    </row>
    <row r="4" spans="1:8" ht="21.95" customHeight="1" x14ac:dyDescent="0.25">
      <c r="A4" s="237" t="s">
        <v>3237</v>
      </c>
      <c r="B4" s="238"/>
      <c r="D4" s="237" t="s">
        <v>3238</v>
      </c>
      <c r="E4" s="238"/>
      <c r="G4" s="237" t="s">
        <v>3239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1978</v>
      </c>
      <c r="E5" s="240"/>
      <c r="G5" s="239">
        <f>IFERROR(ROUND(D5/A5,0),"-")</f>
        <v>152</v>
      </c>
      <c r="H5" s="240"/>
    </row>
    <row r="6" spans="1:8" ht="9.9499999999999993" customHeight="1" x14ac:dyDescent="0.25"/>
    <row r="7" spans="1:8" ht="24.95" customHeight="1" thickBot="1" x14ac:dyDescent="0.3">
      <c r="A7" s="61" t="s">
        <v>3240</v>
      </c>
      <c r="B7" s="61" t="s">
        <v>3241</v>
      </c>
      <c r="C7" s="61" t="s">
        <v>1</v>
      </c>
      <c r="D7" s="61" t="s">
        <v>3242</v>
      </c>
      <c r="E7" s="61" t="s">
        <v>3243</v>
      </c>
      <c r="F7" s="61" t="s">
        <v>3141</v>
      </c>
      <c r="G7" s="61" t="s">
        <v>5</v>
      </c>
      <c r="H7" s="61" t="s">
        <v>3244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216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3245</v>
      </c>
      <c r="B1" s="242"/>
      <c r="C1" s="242"/>
      <c r="D1" s="242"/>
      <c r="E1" s="242"/>
      <c r="F1" s="242"/>
    </row>
    <row r="2" spans="1:7" x14ac:dyDescent="0.25">
      <c r="A2" s="243" t="s">
        <v>3246</v>
      </c>
      <c r="B2" s="243"/>
      <c r="C2" s="243"/>
      <c r="D2" s="243"/>
      <c r="E2" s="243"/>
      <c r="F2" s="243"/>
    </row>
    <row r="4" spans="1:7" x14ac:dyDescent="0.25">
      <c r="A4" s="24" t="s">
        <v>19</v>
      </c>
      <c r="B4" s="24" t="s">
        <v>3144</v>
      </c>
      <c r="C4" s="24" t="s">
        <v>3145</v>
      </c>
      <c r="D4" s="24" t="s">
        <v>3247</v>
      </c>
      <c r="E4" s="24" t="s">
        <v>3146</v>
      </c>
      <c r="F4" s="24" t="s">
        <v>3248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3183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3249</v>
      </c>
      <c r="B1" s="114" t="s">
        <v>3250</v>
      </c>
      <c r="C1" s="114" t="s">
        <v>3251</v>
      </c>
      <c r="D1" s="114" t="s">
        <v>3252</v>
      </c>
      <c r="E1" s="114" t="s">
        <v>3253</v>
      </c>
      <c r="F1" s="114" t="s">
        <v>3254</v>
      </c>
      <c r="G1" s="114" t="s">
        <v>10</v>
      </c>
      <c r="H1" s="114" t="s">
        <v>3255</v>
      </c>
      <c r="I1" s="114" t="s">
        <v>3256</v>
      </c>
      <c r="J1" s="114" t="s">
        <v>3257</v>
      </c>
      <c r="K1" s="114" t="s">
        <v>3258</v>
      </c>
      <c r="L1" s="114" t="s">
        <v>3259</v>
      </c>
      <c r="N1" s="114" t="s">
        <v>3260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3261</v>
      </c>
      <c r="L2" t="str">
        <f>IF(K2="","",IFERROR(INDEX(Tabela2[Curso],MATCH(K2,Tabela2[ID],0)),""))</f>
        <v/>
      </c>
      <c r="N2" s="114" t="s">
        <v>3140</v>
      </c>
      <c r="O2" s="114" t="s">
        <v>4</v>
      </c>
      <c r="P2" s="114" t="s">
        <v>3262</v>
      </c>
      <c r="Q2" s="114" t="s">
        <v>3263</v>
      </c>
      <c r="R2" s="114" t="s">
        <v>3264</v>
      </c>
      <c r="S2" s="114" t="s">
        <v>3265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3261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3261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3261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3261</v>
      </c>
      <c r="L10" t="str">
        <f>IF(K10="","",IFERROR(INDEX(Tabela2[Curso],MATCH(K10,Tabela2[ID],0)),""))</f>
        <v/>
      </c>
      <c r="N10" s="108" t="s">
        <v>3266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3261</v>
      </c>
      <c r="L11" t="str">
        <f>IF(K11="","",IFERROR(INDEX(Tabela2[Curso],MATCH(K11,Tabela2[ID],0)),""))</f>
        <v/>
      </c>
      <c r="N11" s="206" t="s">
        <v>3267</v>
      </c>
      <c r="O11" s="206" t="s">
        <v>3268</v>
      </c>
      <c r="P11" s="206" t="s">
        <v>3269</v>
      </c>
      <c r="Q11" s="206" t="s">
        <v>3252</v>
      </c>
      <c r="R11" s="206" t="s">
        <v>3253</v>
      </c>
      <c r="S11" s="206" t="s">
        <v>3270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3261</v>
      </c>
      <c r="L12" t="str">
        <f>IF(K12="","",IFERROR(INDEX(Tabela2[Curso],MATCH(K12,Tabela2[ID],0)),""))</f>
        <v/>
      </c>
      <c r="N12" t="s">
        <v>3271</v>
      </c>
      <c r="O12" t="s">
        <v>2754</v>
      </c>
      <c r="P12" t="s">
        <v>3272</v>
      </c>
      <c r="Q12">
        <v>0</v>
      </c>
      <c r="R12">
        <v>0</v>
      </c>
      <c r="S12" t="s">
        <v>3273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3261</v>
      </c>
      <c r="L13" t="str">
        <f>IF(K13="","",IFERROR(INDEX(Tabela2[Curso],MATCH(K13,Tabela2[ID],0)),""))</f>
        <v/>
      </c>
      <c r="N13" t="s">
        <v>3274</v>
      </c>
      <c r="O13" t="s">
        <v>2686</v>
      </c>
      <c r="P13" t="s">
        <v>3275</v>
      </c>
      <c r="Q13">
        <v>0</v>
      </c>
      <c r="R13">
        <v>0</v>
      </c>
      <c r="S13" t="s">
        <v>3276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91ce1707-6d34-452b-b217-9734c03e6729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2026-10-29T20:54:18Z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