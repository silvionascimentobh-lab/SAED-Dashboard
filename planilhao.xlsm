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26" documentId="8_{454372C2-A99E-4E47-A759-72B38925853E}" xr6:coauthVersionLast="47" xr6:coauthVersionMax="47" xr10:uidLastSave="{FEC6AE26-E662-439B-BC16-D1FF45931758}"/>
  <bookViews>
    <workbookView minimized="1" xWindow="2430" yWindow="4185" windowWidth="21600" windowHeight="11295" firstSheet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a="1"/>
  <c r="E105" i="23" l="1"/>
  <c r="A5" i="23" a="1"/>
  <c r="A2" i="20"/>
  <c r="D56" i="23" l="1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<sst xmlns="http://schemas.openxmlformats.org/spreadsheetml/2006/main" count="6297" uniqueCount="2425">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</sst>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521" activePane="bottomLeft" state="frozen"/>
      <selection pane="bottomLeft" activeCell="D538" sqref="D53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9" activePane="bottomLeft" state="frozen"/>
      <selection pane="bottomLeft" activeCell="AC72" sqref="AC7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17.45</v>
      </c>
      <c r="I134">
        <v>5.2349999999999994</v>
      </c>
      <c r="J134">
        <v>22.684999999999999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2345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4" t="s">
        <v>2346</v>
      </c>
      <c r="B4" s="325"/>
      <c r="D4" s="326" t="s">
        <v>2347</v>
      </c>
      <c r="E4" s="327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28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1" t="s">
        <v>2350</v>
      </c>
      <c r="B8" s="321"/>
      <c r="D8" s="321" t="s">
        <v>2351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1" t="s">
        <v>2360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2411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3" t="s">
        <v>2412</v>
      </c>
    </row>
    <row r="4" spans="1:8" ht="21.95" customHeight="1" x14ac:dyDescent="0.25">
      <c r="A4" s="329" t="s">
        <v>2413</v>
      </c>
      <c r="B4" s="330"/>
      <c r="D4" s="329" t="s">
        <v>2414</v>
      </c>
      <c r="E4" s="330"/>
      <c r="G4" s="329" t="s">
        <v>2415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2421</v>
      </c>
      <c r="B1" s="334"/>
      <c r="C1" s="334"/>
      <c r="D1" s="334"/>
      <c r="E1" s="334"/>
      <c r="F1" s="334"/>
    </row>
    <row r="2" spans="1:7" x14ac:dyDescent="0.25">
      <c r="A2" s="335" t="s">
        <v>2422</v>
      </c>
      <c r="B2" s="335"/>
      <c r="C2" s="335"/>
      <c r="D2" s="335"/>
      <c r="E2" s="335"/>
      <c r="F2" s="335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25.45</v>
      </c>
      <c r="C21" s="100">
        <f>IF($A21="","",SUMIFS('GECC 2026'!I$2:I$200,'GECC 2026'!F$2:F$200,$A21))</f>
        <v>7.6349999999999998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33.085000000000001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25.45</v>
      </c>
      <c r="C24" s="100">
        <f>IF($A24="","",SUMIFS('GECC 2026'!I$2:I$200,'GECC 2026'!F$2:F$200,$A24))</f>
        <v>7.6349999999999998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33.085000000000001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1061.9000000000001</v>
      </c>
      <c r="C105" s="197">
        <f>SUM(C5:C100)</f>
        <v>330.55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2026-07-29T16:33:54Z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