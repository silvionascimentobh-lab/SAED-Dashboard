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83" documentId="13_ncr:1_{6A2CC3E2-FAFB-4D8F-B284-5E8FB5045DFE}" xr6:coauthVersionLast="47" xr6:coauthVersionMax="47" xr10:uidLastSave="{6316A341-F664-497B-BB16-35ED483F14EB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47" i="3" l="1"/>
  <c r="E109" i="28" a="1"/>
  <c r="E108" i="28" a="1"/>
  <c r="A735" i="3"/>
  <c r="A736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s="1" a="1"/>
  <c r="A2" i="20" s="1" a="1"/>
  <c r="E105" i="23" l="1"/>
  <c r="A5" i="23" a="1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<sst xmlns="http://schemas.openxmlformats.org/spreadsheetml/2006/main" count="7374" uniqueCount="3242">
  <si>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</si>
  <si>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</si>
  <si>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</si>
  <si>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</si>
  <si>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</si>
  <si>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</si>
  <si>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</si>
  <si>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</si>
  <si>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</si>
  <si>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</si>
  <si>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</si>
  <si>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</si>
  <si>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</si>
  <si>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</si>
  <si>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</si>
  <si>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</si>
  <si>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</si>
  <si>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</si>
  <si>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</si>
  <si>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</si>
  <si>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</si>
  <si>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</si>
  <si>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</si>
  <si>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</si>
  <si>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</si>
  <si>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</si>
  <si>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</si>
  <si>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</si>
  <si>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</si>
  <si>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</si>
  <si>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</si>
  <si>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</si>
  <si>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</si>
  <si>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</si>
  <si>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</si>
  <si>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</si>
  <si>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</si>
  <si>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</si>
  <si>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</si>
  <si>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</si>
  <si>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</si>
  <si>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</si>
  <si>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</si>
  <si>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</si>
  <si>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</si>
  <si>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</si>
  <si>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</si>
  <si>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</si>
  <si>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</si>
  <si>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</si>
  <si>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</si>
  <si>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</si>
  <si>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</si>
  <si>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</si>
  <si>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</si>
  <si>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</si>
  <si>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</si>
  <si>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</si>
  <si>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</si>
  <si>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</si>
  <si>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</si>
  <si>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</si>
  <si>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</si>
  <si>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</si>
  <si>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</si>
  <si>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</si>
  <si>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</si>
  <si>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</si>
  <si>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</si>
  <si>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</si>
  <si>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</si>
  <si>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</si>
  <si>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</si>
  <si>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</si>
  <si>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</si>
  <si>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</si>
  <si>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</si>
  <si>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</si>
  <si>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</si>
  <si>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</si>
  <si>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</si>
  <si>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</si>
  <si>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</si>
  <si>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</si>
  <si>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</si>
  <si>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</si>
  <si>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</si>
  <si>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</si>
  <si>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</si>
  <si>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</si>
  <si>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</si>
  <si>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</si>
  <si>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</si>
  <si>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</si>
  <si>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</si>
  <si>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</si>
  <si>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</si>
  <si>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</si>
  <si>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</si>
  <si>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</si>
  <si>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</si>
  <si>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</si>
  <si>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</si>
  <si>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</si>
  <si>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</si>
  <si>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</si>
  <si>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</si>
  <si>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</si>
  <si>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</si>
  <si>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</si>
  <si>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</si>
  <si>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</si>
  <si>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</si>
  <si>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</si>
  <si>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</si>
  <si>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</si>
  <si>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</si>
  <si>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</si>
  <si>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</si>
  <si>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</si>
  <si>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</si>
  <si>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</si>
  <si>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</si>
  <si>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</si>
  <si>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</si>
  <si>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</si>
  <si>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</si>
  <si>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</si>
  <si>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</si>
  <si>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</si>
  <si>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</si>
  <si>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</si>
  <si>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</si>
  <si>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</si>
  <si>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</si>
  <si>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</si>
  <si>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</si>
  <si>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</si>
  <si>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</si>
  <si>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</si>
  <si>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</si>
  <si>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</si>
  <si>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</si>
  <si>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</si>
  <si>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</si>
  <si>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</si>
  <si>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</si>
  <si>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</si>
  <si>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</si>
  <si>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</si>
  <si>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</si>
  <si>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</si>
  <si>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</si>
  <si>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</si>
  <si>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</si>
  <si>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</si>
  <si>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</si>
  <si>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</si>
  <si>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</si>
  <si>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</si>
  <si>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</si>
  <si>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</si>
  <si>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</si>
  <si>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</si>
  <si>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</si>
  <si>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</si>
  <si>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</si>
  <si>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</si>
  <si>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</si>
  <si>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</si>
  <si>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</si>
  <si>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</si>
  <si>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</si>
  <si>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</si>
  <si>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</si>
  <si>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</si>
  <si>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</si>
  <si>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</si>
  <si>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</si>
  <si>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</si>
  <si>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</si>
  <si>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</si>
  <si>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</si>
  <si>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</si>
  <si>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</si>
  <si>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</si>
  <si>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</si>
  <si>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</si>
  <si>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</si>
  <si>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</si>
  <si>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</si>
  <si>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</si>
  <si>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</si>
  <si>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</si>
  <si>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</si>
  <si>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</si>
  <si>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</si>
  <si>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</si>
  <si>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</si>
  <si>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</si>
  <si>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</si>
  <si>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</si>
  <si>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</si>
  <si>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</si>
  <si>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</si>
  <si>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</si>
  <si>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</si>
  <si>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</si>
  <si>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</si>
  <si>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</si>
  <si>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</si>
  <si>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</si>
  <si>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</si>
  <si>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</si>
  <si>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</si>
  <si>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</si>
  <si>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</si>
  <si>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</si>
  <si>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</si>
  <si>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</si>
  <si>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</si>
  <si>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</si>
  <si>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</si>
  <si>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</si>
  <si>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</si>
  <si>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</si>
  <si>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</si>
  <si>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</si>
  <si>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</si>
  <si>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</si>
  <si>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</si>
  <si>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</si>
  <si>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</si>
  <si>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</si>
  <si>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</si>
  <si>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</si>
  <si>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</si>
  <si>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</si>
  <si>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</si>
  <si>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</si>
  <si>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</si>
  <si>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</si>
  <si>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</si>
  <si>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</si>
  <si>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</si>
  <si>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</si>
  <si>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</si>
  <si>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</si>
  <si>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</si>
  <si>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</si>
  <si>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</si>
  <si>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</si>
  <si>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</si>
  <si>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</si>
  <si>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</si>
  <si>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</si>
  <si>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</si>
  <si>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</si>
  <si>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</si>
  <si>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</si>
  <si>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</si>
  <si>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</si>
  <si>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</si>
  <si>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</si>
  <si>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</si>
  <si>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</si>
  <si>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</si>
  <si>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</si>
  <si>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</si>
  <si>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</si>
  <si>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</si>
  <si>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</si>
  <si>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</si>
  <si>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</si>
  <si>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</si>
  <si>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</si>
  <si>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</si>
  <si>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</si>
  <si>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</si>
  <si>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</si>
  <si>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</si>
  <si>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</si>
  <si>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</si>
  <si>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</si>
  <si>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</si>
  <si>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</si>
  <si>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</si>
  <si>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</si>
  <si>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</si>
  <si>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</si>
  <si>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</si>
  <si>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</si>
  <si>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</si>
  <si>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</si>
  <si>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</si>
  <si>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</si>
  <si>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</si>
  <si>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</si>
  <si>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</si>
  <si>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</si>
  <si>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</si>
  <si>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</si>
  <si>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</si>
  <si>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</si>
  <si>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</si>
  <si>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</si>
  <si>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</si>
  <si>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</si>
  <si>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</si>
  <si>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</si>
  <si>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</si>
  <si>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</si>
  <si>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</si>
  <si>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</si>
  <si>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</si>
  <si>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</si>
  <si>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</si>
  <si>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</si>
  <si>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</si>
  <si>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</si>
  <si>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</si>
  <si>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</si>
  <si>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</si>
  <si>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</si>
  <si>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</si>
  <si>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</si>
  <si>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</si>
  <si>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</si>
  <si>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</si>
  <si>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</si>
  <si>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</si>
  <si>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</si>
  <si>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</si>
  <si>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</si>
  <si>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</si>
  <si>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</si>
  <si>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</si>
  <si>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</si>
  <si>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</si>
  <si>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</si>
  <si>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</si>
  <si>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</si>
  <si>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</si>
  <si>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</si>
  <si>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</si>
  <si>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</si>
  <si>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</si>
  <si>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</si>
  <si>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</si>
  <si>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</si>
  <si>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</si>
  <si>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</si>
  <si>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</si>
  <si>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</si>
  <si>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</si>
  <si>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</si>
  <si>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</si>
  <si>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</si>
  <si>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</si>
  <si>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</si>
  <si>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</si>
  <si>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</si>
  <si>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</si>
  <si>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</si>
  <si>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</si>
  <si>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</si>
  <si>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</si>
  <si>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</si>
  <si>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</si>
  <si>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</si>
  <si>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</si>
  <si>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</si>
  <si>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</si>
  <si>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</si>
  <si>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</si>
  <si>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</si>
  <si>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</si>
  <si>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</si>
  <si>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</si>
  <si>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</si>
  <si>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</si>
  <si>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</si>
  <si>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</si>
  <si>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</si>
  <si>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</si>
  <si>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</si>
  <si>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</si>
  <si>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</si>
  <si>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</si>
  <si>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</si>
  <si>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</si>
  <si>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</si>
  <si>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</si>
  <si>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</si>
  <si>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</si>
  <si>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</si>
  <si>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</si>
  <si>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</si>
  <si>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</si>
  <si>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</si>
  <si>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</si>
  <si>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</si>
  <si>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</si>
  <si>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</si>
  <si>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</si>
  <si>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</si>
  <si>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</si>
  <si>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</si>
  <si>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</si>
  <si>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</si>
  <si>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</si>
  <si>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</si>
  <si>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</si>
  <si>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</si>
  <si>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</si>
  <si>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</si>
  <si>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</si>
  <si>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</si>
  <si>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</si>
  <si>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</si>
  <si>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</si>
  <si>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</si>
  <si>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</si>
  <si>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</si>
  <si>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</si>
  <si>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</si>
  <si>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</si>
  <si>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</si>
  <si>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</si>
  <si>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</si>
  <si>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</si>
  <si>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</si>
  <si>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</si>
  <si>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</si>
  <si>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</si>
  <si>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</si>
  <si>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</si>
  <si>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</si>
  <si>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</si>
  <si>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</si>
  <si>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</si>
  <si>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</si>
  <si>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</si>
  <si>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</si>
  <si>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</si>
  <si>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</si>
  <si>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</si>
  <si>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</si>
  <si>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</si>
  <si>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</si>
  <si>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</si>
  <si>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</si>
  <si>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</si>
  <si>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</si>
  <si>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</si>
  <si>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</si>
  <si>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</si>
  <si>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</si>
  <si>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</si>
  <si>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</si>
  <si>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</si>
  <si>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</si>
  <si>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</si>
  <si>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</si>
  <si>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</si>
  <si>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</si>
  <si>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</si>
  <si>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</si>
  <si>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</si>
  <si>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</si>
  <si>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</si>
  <si>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</si>
  <si>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</si>
  <si>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</si>
  <si>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</si>
  <si>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</si>
  <si>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</si>
  <si>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</si>
  <si>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</si>
  <si>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</si>
  <si>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</si>
  <si>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</si>
  <si>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</si>
  <si>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</si>
  <si>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</si>
  <si>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</si>
  <si>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</si>
  <si>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</si>
  <si>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</si>
  <si>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</si>
  <si>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</si>
  <si>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</si>
  <si>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</si>
  <si>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</si>
  <si>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</si>
  <si>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</si>
  <si>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</si>
  <si>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</si>
  <si>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</si>
  <si>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</si>
  <si>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</si>
  <si>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</si>
  <si>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</si>
  <si>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</si>
  <si>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</si>
  <si>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</si>
  <si>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</si>
  <si>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</si>
  <si>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</si>
  <si>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</si>
  <si>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</si>
  <si>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</si>
  <si>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</si>
  <si>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</si>
  <si>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</si>
  <si>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</si>
  <si>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</si>
  <si>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</si>
  <si>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</si>
  <si>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</si>
  <si>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</si>
  <si>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</si>
  <si>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</si>
  <si>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</si>
  <si>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</si>
  <si>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</si>
  <si>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</si>
  <si>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</si>
  <si>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</si>
  <si>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</si>
  <si>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</si>
  <si>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</si>
  <si>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</si>
  <si>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</si>
  <si>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</si>
  <si>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</si>
  <si>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</si>
  <si>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</si>
  <si>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</si>
  <si>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</si>
  <si>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</si>
  <si>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</si>
  <si>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</si>
  <si>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</si>
  <si>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</si>
  <si>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</si>
  <si>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</si>
  <si>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</si>
  <si>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</si>
  <si>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</si>
  <si>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</si>
  <si>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</si>
  <si>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</si>
  <si>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</si>
  <si>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</si>
  <si>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</si>
  <si>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</si>
  <si>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</si>
  <si>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</si>
  <si>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</si>
  <si>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</si>
  <si>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</si>
  <si>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</si>
  <si>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</si>
  <si>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</si>
  <si>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</si>
  <si>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</si>
  <si>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</si>
  <si>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</si>
  <si>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</si>
  <si>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</si>
  <si>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</si>
  <si>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</si>
  <si>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</si>
  <si>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</si>
  <si>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</si>
  <si>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</si>
  <si>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</si>
  <si>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</si>
  <si>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</si>
  <si>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</si>
  <si>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</si>
  <si>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</si>
  <si>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</si>
  <si>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</si>
  <si>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</si>
  <si>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</si>
  <si>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</si>
  <si>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</si>
  <si>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</si>
  <si>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</si>
  <si>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</si>
  <si>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</si>
  <si>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</si>
  <si>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</si>
  <si>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</si>
  <si>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</si>
  <si>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</si>
  <si>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</si>
  <si>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</si>
  <si>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</si>
  <si>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</si>
  <si>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</si>
  <si>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</si>
  <si>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</si>
  <si>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</si>
  <si>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</si>
  <si>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</si>
  <si>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</si>
  <si>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</si>
  <si>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</si>
  <si>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</si>
  <si>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</si>
  <si>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</si>
  <si>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</si>
  <si>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</si>
  <si>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</si>
  <si>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</si>
  <si>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</si>
  <si>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</si>
  <si>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</si>
  <si>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</si>
  <si>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</si>
  <si>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</si>
  <si>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</si>
  <si>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</si>
  <si>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</si>
  <si>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</si>
  <si>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</si>
  <si>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</si>
  <si>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</si>
  <si>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</si>
  <si>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</si>
  <si>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</si>
  <si>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</si>
  <si>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</si>
  <si>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</si>
  <si>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</si>
  <si>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</si>
  <si>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</si>
  <si>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</si>
  <si>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</si>
  <si>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</si>
  <si>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</si>
  <si>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</si>
  <si>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</si>
  <si>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</si>
  <si>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</si>
  <si>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</si>
  <si>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</si>
  <si>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</si>
  <si>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</si>
  <si>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</si>
  <si>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</si>
  <si>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</si>
  <si>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</si>
  <si>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</si>
  <si>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</si>
  <si>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</si>
  <si>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</si>
  <si>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</si>
  <si>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</si>
  <si>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</si>
  <si>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</si>
  <si>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</si>
  <si>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</si>
  <si>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</si>
  <si>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</si>
  <si>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</si>
  <si>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</si>
  <si>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</si>
  <si>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</si>
  <si>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</si>
  <si>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</si>
  <si>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</si>
  <si>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</si>
  <si>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</si>
  <si>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</si>
  <si>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</si>
  <si>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</si>
  <si>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</si>
  <si>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</si>
  <si>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</si>
  <si>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</si>
  <si>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</si>
  <si>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</si>
  <si>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</si>
  <si>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</si>
  <si>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</si>
  <si>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</si>
  <si>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</si>
  <si>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</si>
  <si>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</si>
  <si>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</si>
  <si>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</si>
  <si>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</si>
  <si>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</si>
  <si>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</si>
  <si>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</si>
  <si>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</si>
  <si>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</si>
  <si>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</si>
  <si>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</si>
  <si>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</si>
  <si>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</si>
  <si>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</si>
  <si>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</si>
  <si>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</si>
  <si>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</si>
  <si>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</si>
  <si>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</si>
  <si>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</si>
  <si>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</si>
  <si>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</si>
  <si>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</si>
  <si>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</si>
  <si>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</si>
  <si>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</si>
  <si>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</si>
  <si>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</si>
  <si>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</si>
  <si>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</si>
  <si>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</si>
  <si>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</si>
  <si>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</si>
  <si>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</si>
  <si>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</si>
  <si>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</si>
  <si>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</si>
  <si>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</si>
  <si>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</si>
  <si>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</si>
  <si>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</si>
  <si>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</si>
  <si>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</si>
  <si>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</si>
  <si>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</si>
  <si>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</si>
  <si>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</si>
  <si>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</si>
  <si>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</si>
  <si>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</si>
  <si>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</si>
  <si>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</si>
  <si>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</si>
  <si>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</si>
  <si>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</si>
  <si>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</si>
  <si>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</si>
  <si>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</si>
  <si>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</si>
  <si>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</si>
  <si>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</si>
  <si>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</si>
  <si>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</si>
  <si>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</si>
  <si>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</si>
  <si>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</si>
  <si>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</si>
  <si>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</si>
  <si>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</si>
  <si>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</si>
  <si>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</si>
  <si>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</si>
  <si>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</si>
  <si>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</si>
  <si>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</si>
  <si>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</si>
  <si>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</si>
  <si>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</si>
  <si>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</si>
  <si>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</si>
  <si>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</si>
  <si>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</si>
  <si>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</si>
  <si>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</si>
  <si>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</si>
  <si>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</si>
  <si>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</si>
  <si>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</si>
  <si>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</si>
  <si>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</si>
  <si>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</si>
  <si>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</si>
  <si>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</si>
  <si>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</si>
  <si>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</si>
  <si>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</si>
  <si>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</si>
  <si>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</si>
  <si>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</si>
  <si>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</si>
  <si>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</si>
  <si>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</si>
  <si>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</si>
  <si>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</si>
  <si>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</si>
  <si>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</si>
  <si>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</si>
  <si>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</si>
  <si>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</si>
  <si>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</si>
  <si>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</si>
  <si>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</si>
  <si>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</si>
  <si>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</si>
  <si>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</si>
  <si>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</si>
  <si>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</si>
  <si>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</si>
  <si>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</si>
  <si>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</si>
  <si>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</si>
  <si>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</si>
  <si>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</si>
  <si>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</si>
  <si>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</si>
  <si>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</si>
  <si>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</si>
  <si>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</si>
  <si>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</si>
  <si>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</si>
  <si>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</si>
  <si>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</si>
  <si>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</si>
  <si>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</si>
  <si>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</si>
  <si>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</si>
  <si>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</si>
  <si>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</si>
  <si>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</si>
  <si>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</si>
  <si>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</si>
  <si>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</si>
  <si>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</si>
  <si>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</si>
  <si>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</si>
  <si>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</si>
  <si>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</si>
  <si>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</si>
  <si>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</si>
  <si>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</si>
  <si>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</si>
  <si>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</si>
  <si>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</si>
  <si>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</si>
  <si>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</si>
  <si>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</si>
  <si>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</si>
  <si>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</si>
  <si>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</si>
  <si>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</si>
  <si>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</si>
  <si>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</si>
  <si>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</si>
  <si>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</si>
  <si>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</si>
  <si>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</si>
  <si>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</si>
  <si>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</si>
  <si>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</si>
  <si>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</si>
  <si>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</si>
  <si>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</si>
  <si>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</si>
  <si>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</si>
  <si>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</si>
  <si>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</si>
  <si>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</si>
  <si>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</si>
  <si>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</si>
  <si>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</si>
  <si>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</si>
  <si>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</si>
  <si>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</si>
  <si>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</si>
  <si>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</si>
  <si>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</si>
  <si>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</si>
  <si>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</si>
  <si>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</si>
  <si>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</si>
  <si>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</si>
  <si>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</si>
  <si>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</si>
  <si>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</si>
  <si>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</si>
  <si>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</si>
  <si>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</si>
  <si>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</si>
  <si>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</si>
  <si>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</si>
  <si>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</si>
  <si>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</si>
  <si>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</si>
  <si>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</si>
  <si>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</si>
  <si>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</si>
  <si>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</si>
  <si>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</si>
  <si>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</si>
  <si>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</si>
  <si>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</si>
  <si>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</si>
  <si>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</si>
  <si>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</si>
  <si>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</si>
  <si>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</si>
  <si>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</si>
  <si>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</si>
  <si>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</si>
  <si>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</si>
  <si>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</si>
  <si>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</si>
  <si>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</si>
  <si>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</si>
  <si>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</si>
  <si>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</si>
  <si>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</si>
  <si>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</si>
  <si>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</si>
  <si>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</si>
  <si>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</si>
  <si>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</si>
  <si>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</si>
  <si>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</si>
  <si>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</si>
  <si>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</si>
  <si>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</si>
  <si>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</si>
  <si>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</si>
  <si>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</si>
  <si>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</si>
  <si>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</si>
  <si>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</si>
  <si>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</si>
  <si>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</si>
  <si>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</si>
  <si>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</si>
  <si>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</si>
  <si>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</si>
  <si>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</si>
  <si>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</si>
  <si>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</si>
  <si>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</si>
  <si>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</si>
  <si>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</si>
  <si>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</si>
  <si>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</si>
  <si>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</si>
  <si>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</si>
  <si>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</si>
  <si>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</si>
  <si>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</si>
  <si>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</si>
  <si>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</si>
  <si>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</si>
  <si>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</si>
  <si>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</si>
  <si>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</si>
  <si>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</si>
  <si>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</si>
  <si>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</si>
  <si>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</si>
  <si>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</si>
  <si>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</si>
  <si>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</si>
  <si>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</si>
  <si>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</si>
  <si>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</si>
  <si>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</si>
  <si>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</si>
  <si>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</si>
  <si>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</si>
  <si>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</si>
  <si>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</si>
  <si>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</si>
  <si>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</si>
  <si>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</si>
  <si>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</si>
  <si>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</si>
  <si>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</si>
  <si>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</si>
  <si>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</si>
  <si>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</si>
  <si>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</si>
  <si>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</si>
  <si>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</si>
  <si>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</si>
  <si>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</si>
  <si>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</si>
  <si>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</si>
  <si>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</si>
  <si>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</si>
  <si>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</si>
  <si>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</si>
  <si>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</si>
  <si>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</si>
  <si>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</si>
  <si>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</si>
  <si>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</si>
  <si>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</si>
  <si>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</si>
  <si>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</si>
  <si>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</si>
  <si>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</si>
  <si>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</si>
  <si>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</si>
  <si>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</si>
  <si>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</si>
  <si>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</si>
  <si>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</si>
  <si>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</si>
  <si>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</si>
  <si>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</si>
  <si>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</si>
  <si>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</si>
  <si>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</si>
  <si>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</si>
  <si>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</si>
  <si>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</si>
  <si>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</si>
  <si>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</si>
  <si>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</si>
  <si>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</si>
  <si>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</si>
  <si>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</si>
  <si>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</si>
  <si>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</si>
  <si>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</si>
  <si>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</si>
  <si>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</si>
  <si>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</si>
  <si>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</si>
  <si>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</si>
  <si>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</si>
  <si>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</si>
  <si>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</si>
  <si>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</si>
  <si>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</si>
  <si>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</si>
  <si>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</si>
  <si>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</si>
  <si>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</si>
  <si>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</si>
  <si>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</si>
  <si>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</si>
  <si>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</si>
  <si>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</si>
  <si>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</si>
  <si>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</si>
  <si>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</si>
  <si>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</si>
  <si>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</si>
  <si>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</si>
  <si>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</si>
  <si>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</si>
  <si>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</si>
  <si>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</si>
  <si>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</si>
  <si>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</si>
  <si>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</si>
  <si>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</si>
  <si>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</si>
  <si>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</si>
  <si>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</si>
  <si>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</si>
  <si>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</si>
  <si>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</si>
  <si>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</si>
  <si>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</si>
  <si>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</si>
  <si>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</si>
  <si>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</si>
  <si>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</si>
  <si>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</si>
  <si>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</si>
  <si>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</si>
  <si>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</si>
  <si>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</si>
  <si>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</si>
  <si>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</si>
  <si>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</si>
  <si>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</si>
  <si>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</si>
  <si>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</si>
  <si>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</si>
  <si>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</si>
  <si>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</si>
  <si>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</si>
  <si>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</si>
  <si>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</si>
  <si>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</si>
  <si>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</si>
  <si>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</si>
  <si>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</si>
  <si>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</si>
  <si>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</si>
  <si>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</si>
  <si>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</si>
  <si>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</si>
  <si>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</si>
  <si>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</si>
  <si>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</si>
  <si>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</si>
  <si>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</si>
  <si>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</si>
  <si>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</si>
  <si>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</si>
  <si>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</si>
  <si>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</si>
  <si>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</si>
  <si>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</si>
  <si>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</si>
  <si>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</si>
  <si>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</si>
  <si>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</si>
  <si>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</si>
  <si>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</si>
  <si>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</si>
  <si>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</si>
  <si>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</si>
  <si>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</si>
  <si>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</si>
  <si>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</si>
  <si>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</si>
  <si>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</si>
  <si>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</si>
  <si>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</si>
  <si>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</si>
  <si>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</si>
  <si>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</si>
  <si>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</si>
  <si>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</si>
  <si>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</si>
  <si>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</si>
  <si>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</si>
  <si>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</si>
  <si>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</si>
  <si>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</si>
  <si>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</si>
  <si>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</si>
  <si>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</si>
  <si>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</si>
  <si>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</si>
  <si>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</si>
  <si>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</si>
  <si>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</si>
  <si>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</si>
  <si>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</si>
  <si>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</si>
  <si>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</si>
  <si>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</si>
  <si>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</si>
  <si>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</si>
  <si>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</si>
  <si>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</si>
  <si>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</si>
  <si>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</si>
  <si>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</si>
  <si>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</si>
  <si>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</si>
  <si>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</si>
  <si>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</si>
  <si>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</si>
  <si>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</si>
  <si>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</si>
  <si>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</si>
  <si>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</si>
  <si>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</si>
  <si>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</si>
  <si>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</si>
  <si>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</si>
  <si>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</si>
  <si>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</si>
  <si>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</si>
  <si>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</si>
  <si>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</si>
  <si>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</si>
  <si>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</si>
  <si>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</si>
  <si>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</si>
  <si>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</si>
  <si>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</si>
  <si>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</si>
  <si>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</si>
  <si>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</si>
  <si>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</si>
  <si>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</si>
  <si>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</si>
  <si>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</si>
  <si>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</si>
  <si>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</si>
  <si>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</si>
  <si>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</si>
  <si>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</si>
  <si>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</si>
  <si>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</si>
  <si>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</si>
  <si>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</si>
  <si>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</si>
  <si>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</si>
  <si>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</si>
  <si>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</si>
  <si>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</si>
  <si>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</si>
  <si>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</si>
  <si>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</si>
  <si>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</si>
  <si>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</si>
  <si>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</si>
  <si>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</si>
  <si>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</si>
  <si>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</si>
  <si>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</si>
  <si>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</si>
  <si>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</si>
  <si>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</si>
  <si>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</si>
  <si>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</si>
  <si>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</si>
  <si>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</si>
  <si>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</si>
  <si>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</si>
  <si>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</si>
  <si>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</si>
  <si>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</si>
  <si>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</si>
  <si>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</si>
  <si>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</si>
  <si>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</si>
  <si>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</si>
  <si>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</si>
  <si>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</si>
  <si>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</si>
  <si>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</si>
  <si>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</si>
  <si>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</si>
  <si>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</si>
  <si>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</si>
  <si>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</si>
  <si>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</si>
  <si>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</si>
  <si>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</si>
  <si>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</si>
  <si>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</si>
  <si>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</si>
  <si>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</si>
  <si>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</si>
  <si>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</si>
  <si>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</si>
  <si>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</si>
  <si>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</si>
  <si>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</si>
  <si>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</si>
  <si>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</si>
  <si>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</si>
  <si>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</si>
  <si>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</si>
  <si>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</si>
  <si>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</si>
  <si>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</si>
  <si>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</si>
  <si>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</si>
  <si>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</si>
  <si>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</si>
  <si>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</si>
  <si>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</si>
  <si>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</si>
  <si>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</si>
  <si>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</si>
  <si>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</si>
  <si>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</si>
  <si>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</si>
  <si>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</si>
  <si>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</si>
  <si>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</si>
  <si>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</si>
  <si>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</si>
  <si>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</si>
  <si>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</si>
  <si>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</si>
  <si>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</si>
  <si>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</si>
  <si>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</si>
  <si>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</si>
  <si>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</si>
  <si>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</si>
  <si>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</si>
  <si>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</si>
  <si>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</si>
  <si>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</si>
  <si>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</si>
  <si>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</si>
  <si>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</si>
  <si>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</si>
  <si>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</si>
  <si>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</si>
  <si>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</si>
  <si>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</si>
  <si>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</si>
  <si>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</si>
  <si>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</si>
  <si>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</si>
  <si>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</si>
  <si>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</si>
  <si>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</si>
  <si>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</si>
  <si>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</si>
  <si>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</si>
  <si>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</si>
  <si>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</si>
  <si>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</si>
  <si>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</si>
  <si>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</si>
  <si>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</si>
  <si>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</si>
  <si>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</si>
  <si>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</si>
  <si>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</si>
  <si>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</si>
  <si>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</si>
  <si>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</si>
  <si>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</si>
  <si>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</si>
  <si>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</si>
  <si>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</si>
  <si>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</si>
  <si>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</si>
  <si>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</si>
  <si>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</si>
  <si>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</si>
  <si>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</si>
  <si>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</si>
  <si>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</si>
  <si>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</si>
  <si>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</si>
  <si>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</si>
  <si>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</si>
  <si>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</si>
  <si>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</si>
  <si>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</si>
  <si>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</si>
  <si>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</si>
  <si>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</si>
  <si>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</si>
  <si>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</si>
  <si>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</si>
  <si>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</si>
  <si>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</si>
  <si>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</si>
  <si>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</si>
  <si>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</si>
  <si>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</si>
  <si>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</si>
  <si>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</si>
  <si>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</si>
  <si>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</si>
  <si>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</si>
  <si>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</si>
  <si>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</si>
  <si>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</si>
  <si>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</si>
  <si>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</si>
  <si>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</si>
  <si>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</si>
  <si>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</si>
  <si>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</si>
  <si>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</si>
  <si>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</si>
  <si>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</si>
  <si>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</si>
  <si>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</si>
  <si>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</si>
  <si>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</si>
  <si>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</si>
  <si>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</si>
  <si>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</si>
  <si>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</si>
  <si>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</si>
  <si>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</si>
  <si>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</si>
  <si>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</si>
  <si>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</si>
  <si>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</si>
  <si>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</si>
  <si>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</si>
  <si>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</si>
  <si>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</si>
  <si>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</si>
  <si>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</si>
  <si>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</si>
  <si>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</si>
  <si>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</si>
  <si>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</si>
  <si>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</si>
  <si>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</si>
  <si>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</si>
  <si>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</si>
  <si>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</si>
  <si>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</si>
  <si>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</si>
  <si>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</si>
  <si>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</si>
  <si>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</si>
  <si>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</si>
  <si>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</si>
  <si>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</si>
  <si>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</si>
  <si>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</si>
  <si>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</si>
  <si>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</si>
  <si>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</si>
  <si>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</si>
  <si>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</si>
  <si>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</si>
  <si>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</si>
  <si>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</si>
  <si>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</si>
  <si>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</si>
  <si>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</si>
  <si>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</si>
  <si>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</si>
  <si>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</si>
  <si>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</si>
  <si>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</si>
  <si>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</si>
  <si>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</si>
  <si>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</si>
  <si>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</si>
  <si>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</si>
  <si>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</si>
  <si>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</si>
  <si>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</si>
  <si>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</si>
  <si>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</si>
  <si>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</si>
  <si>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</si>
  <si>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</si>
  <si>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</si>
  <si>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</si>
  <si>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</si>
  <si>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</si>
  <si>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</si>
  <si>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</si>
  <si>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</si>
  <si>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</si>
  <si>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</si>
  <si>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</si>
  <si>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</si>
  <si>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</si>
  <si>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</si>
  <si>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</si>
  <si>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</si>
  <si>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</si>
  <si>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</si>
  <si>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</si>
  <si>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</si>
  <si>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</si>
  <si>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</si>
  <si>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</si>
  <si>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</si>
  <si>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</si>
  <si>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</si>
  <si>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</si>
  <si>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</si>
  <si>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</si>
  <si>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</si>
  <si>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</si>
  <si>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</si>
  <si>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</si>
  <si>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</si>
  <si>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</si>
  <si>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</si>
  <si>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</si>
  <si>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</si>
  <si>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</si>
  <si>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</si>
  <si>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</si>
  <si>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</si>
  <si>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</si>
  <si>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</si>
  <si>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</si>
  <si>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</si>
  <si>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</si>
  <si>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</si>
  <si>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</si>
  <si>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</si>
  <si>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</si>
  <si>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</si>
  <si>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</si>
  <si>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</si>
  <si>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</si>
  <si>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</si>
  <si>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</si>
  <si>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</si>
  <si>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</si>
  <si>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</si>
  <si>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</si>
  <si>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</si>
  <si>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</si>
  <si>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</si>
  <si>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</si>
  <si>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</si>
  <si>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</si>
  <si>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</si>
  <si>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</si>
  <si>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</si>
  <si>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</si>
  <si>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</si>
  <si>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</si>
  <si>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</si>
  <si>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</si>
  <si>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</si>
  <si>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</si>
  <si>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</si>
  <si>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</si>
  <si>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</si>
  <si>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</si>
  <si>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</si>
  <si>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</si>
  <si>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</si>
  <si>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</si>
  <si>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</si>
  <si>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</si>
  <si>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</si>
  <si>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</si>
  <si>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</si>
  <si>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</si>
  <si>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</si>
  <si>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</si>
  <si>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</si>
  <si>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</si>
  <si>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</si>
  <si>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</si>
  <si>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</si>
  <si>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</si>
  <si>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</si>
  <si>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</si>
  <si>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</si>
  <si>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</si>
  <si>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</si>
  <si>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</si>
  <si>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</si>
  <si>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</si>
  <si>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</si>
  <si>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</si>
  <si>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</si>
  <si>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</si>
  <si>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</si>
  <si>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</si>
  <si>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</si>
  <si>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</si>
  <si>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</si>
  <si>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</si>
  <si>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</si>
  <si>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</si>
  <si>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</si>
  <si>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</si>
  <si>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</si>
  <si>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</si>
  <si>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</si>
  <si>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</si>
  <si>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</si>
  <si>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</si>
  <si>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</si>
  <si>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</si>
  <si>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</si>
  <si>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</si>
  <si>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</si>
  <si>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</si>
  <si>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</si>
  <si>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</si>
  <si>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</si>
  <si>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</si>
  <si>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</si>
  <si>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</si>
  <si>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</si>
  <si>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</si>
  <si>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</si>
  <si>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</si>
  <si>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</si>
  <si>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</si>
  <si>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</si>
  <si>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</si>
  <si>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</si>
  <si>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</si>
  <si>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</si>
  <si>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</si>
  <si>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</si>
  <si>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</si>
  <si>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</si>
  <si>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</si>
  <si>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</si>
  <si>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</si>
  <si>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</si>
  <si>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</si>
  <si>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</si>
  <si>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</si>
  <si>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</si>
  <si>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</si>
  <si>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</si>
  <si>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</si>
  <si>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</si>
  <si>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</si>
  <si>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</si>
  <si>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</si>
  <si>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</si>
  <si>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</si>
  <si>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</si>
  <si>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</si>
  <si>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</si>
  <si>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</si>
  <si>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</si>
  <si>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</si>
  <si>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</si>
  <si>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</si>
  <si>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</si>
  <si>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</si>
  <si>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</si>
  <si>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</si>
  <si>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</si>
  <si>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</si>
  <si>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</si>
  <si>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</si>
  <si>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</si>
  <si>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</si>
  <si>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</si>
  <si>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</si>
  <si>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</si>
  <si>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</si>
  <si>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</si>
  <si>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</si>
  <si>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</si>
  <si>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</si>
  <si>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</si>
  <si>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</si>
  <si>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</si>
  <si>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</si>
  <si>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</si>
  <si>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</si>
  <si>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</si>
  <si>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</si>
  <si>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</si>
  <si>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</si>
  <si>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</si>
  <si>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</si>
  <si>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</si>
  <si>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</si>
  <si>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</si>
  <si>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</si>
  <si>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</si>
  <si>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</si>
  <si>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</si>
  <si>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</si>
  <si>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</si>
  <si>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</si>
  <si>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</si>
  <si>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</si>
  <si>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</si>
  <si>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</si>
  <si>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</si>
  <si>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</si>
  <si>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</si>
  <si>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</si>
  <si>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</si>
  <si>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</si>
  <si>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</si>
  <si>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</si>
  <si>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</si>
  <si>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</si>
  <si>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</si>
  <si>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</si>
  <si>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</si>
  <si>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</si>
  <si>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</si>
  <si>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</si>
  <si>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</si>
  <si>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</si>
  <si>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</si>
  <si>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</si>
  <si>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</si>
  <si>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</si>
  <si>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</si>
  <si>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</si>
  <si>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</si>
  <si>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</si>
  <si>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</si>
  <si>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</si>
  <si>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</si>
  <si>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</si>
  <si>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</si>
  <si>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</si>
  <si>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</si>
  <si>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</si>
  <si>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</si>
  <si>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</si>
  <si>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</si>
  <si>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</si>
  <si>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</si>
  <si>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</si>
  <si>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</si>
  <si>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</si>
  <si>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</si>
  <si>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</si>
  <si>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</si>
  <si>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</si>
  <si>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</si>
  <si>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</si>
  <si>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</si>
  <si>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</si>
  <si>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</si>
  <si>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</si>
  <si>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</si>
  <si>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</si>
  <si>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</si>
  <si>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</si>
  <si>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</si>
  <si>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</si>
  <si>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</si>
  <si>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</si>
  <si>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</si>
  <si>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</si>
  <si>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</si>
  <si>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</si>
  <si>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</si>
  <si>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</si>
  <si>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</si>
  <si>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</si>
  <si>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</si>
  <si>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</si>
  <si>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</si>
  <si>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</si>
  <si>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</si>
  <si>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</si>
  <si>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</si>
  <si>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</si>
  <si>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</si>
  <si>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</si>
  <si>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</si>
  <si>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</si>
  <si>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</si>
  <si>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</si>
  <si>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</si>
  <si>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</si>
  <si>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</si>
  <si>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</si>
  <si>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</si>
  <si>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</si>
  <si>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</si>
  <si>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</si>
  <si>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</si>
  <si>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</si>
  <si>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</si>
  <si>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</si>
  <si>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</si>
  <si>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</si>
  <si>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</si>
  <si>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</si>
  <si>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</si>
  <si>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</si>
  <si>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</si>
  <si>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</si>
  <si>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</si>
  <si>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</si>
  <si>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</si>
  <si>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</si>
  <si>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</si>
  <si>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</si>
  <si>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</si>
  <si>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</si>
  <si>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</si>
  <si>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</si>
  <si>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</si>
  <si>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</si>
  <si>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</si>
  <si>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</si>
  <si>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</si>
  <si>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</si>
  <si>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</si>
  <si>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</si>
  <si>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</si>
  <si>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</si>
  <si>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</si>
  <si>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</si>
  <si>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</si>
  <si>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</si>
  <si>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</si>
  <si>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</si>
  <si>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</si>
  <si>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</si>
  <si>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</si>
  <si>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</si>
  <si>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</si>
  <si>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</si>
  <si>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</si>
  <si>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</si>
  <si>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</si>
  <si>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</si>
  <si>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</si>
  <si>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</si>
  <si>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</si>
  <si>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</si>
  <si>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</si>
  <si>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</si>
  <si>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</si>
  <si>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</si>
  <si>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</si>
  <si>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</si>
  <si>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</si>
  <si>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</si>
  <si>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</si>
  <si>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</si>
  <si>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</si>
  <si>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</si>
  <si>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</si>
  <si>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</si>
  <si>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</si>
  <si>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</si>
  <si>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</si>
  <si>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</si>
  <si>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</si>
  <si>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</si>
  <si>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</si>
  <si>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</si>
  <si>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</si>
  <si>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</si>
  <si>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</si>
  <si>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</si>
  <si>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</si>
  <si>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</si>
  <si>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</si>
  <si>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</si>
  <si>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</si>
  <si>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</si>
  <si>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</si>
  <si>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</si>
  <si>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</si>
  <si>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</si>
  <si>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</si>
  <si>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</si>
  <si>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</si>
  <si>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</si>
  <si>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</si>
  <si>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</si>
  <si>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</si>
  <si>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</si>
  <si>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</si>
  <si>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</si>
  <si>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</si>
  <si>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</si>
  <si>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</si>
  <si>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</si>
  <si>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</si>
  <si>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</si>
  <si>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</si>
  <si>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</si>
  <si>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</si>
  <si>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</si>
  <si>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</si>
  <si>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</si>
  <si>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</si>
  <si>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</si>
  <si>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</si>
  <si>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</si>
  <si>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</si>
  <si>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</si>
  <si>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</si>
  <si>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</si>
  <si>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</si>
  <si>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</si>
  <si>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</si>
  <si>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</si>
  <si>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</si>
  <si>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</si>
  <si>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</si>
  <si>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</si>
  <si>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</si>
  <si>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</si>
  <si>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</si>
  <si>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</si>
  <si>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</si>
  <si>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</si>
  <si>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</si>
  <si>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</si>
  <si>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</si>
  <si>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</si>
  <si>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</si>
  <si>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</si>
  <si>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</si>
  <si>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</si>
  <si>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</si>
  <si>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</si>
  <si>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</si>
  <si>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</si>
  <si>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</si>
  <si>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</si>
  <si>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</si>
  <si>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</si>
  <si>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</si>
  <si>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</si>
  <si>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</si>
  <si>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</si>
  <si>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</si>
  <si>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</si>
  <si>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</si>
  <si>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</si>
  <si>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</si>
  <si>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</si>
  <si>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</si>
  <si>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</si>
  <si>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</si>
  <si>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</si>
  <si>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</si>
  <si>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</si>
  <si>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</si>
  <si>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</si>
  <si>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</si>
  <si>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</si>
  <si>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</si>
  <si>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</si>
  <si>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</si>
  <si>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</si>
  <si>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</si>
  <si>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</si>
  <si>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</si>
  <si>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</si>
  <si>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</si>
  <si>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</si>
  <si>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</si>
  <si>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</si>
  <si>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</si>
  <si>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</si>
  <si>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</si>
  <si>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</si>
  <si>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</si>
  <si>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</si>
  <si>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</si>
  <si>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</si>
  <si>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</si>
  <si>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</si>
  <si>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</si>
  <si>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</si>
  <si>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</si>
  <si>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</si>
  <si>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</si>
  <si>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</si>
  <si>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</si>
  <si>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</si>
  <si>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</si>
  <si>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</si>
  <si>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</si>
  <si>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</si>
  <si>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</si>
  <si>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</si>
  <si>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</si>
  <si>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</si>
  <si>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</si>
  <si>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</si>
  <si>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</si>
  <si>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</si>
  <si>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</si>
  <si>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</si>
  <si>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</si>
  <si>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</si>
  <si>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</si>
  <si>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</si>
  <si>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</si>
  <si>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</si>
  <si>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</si>
  <si>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</si>
  <si>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</si>
  <si>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</si>
  <si>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</si>
  <si>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</si>
  <si>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</si>
  <si>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</si>
  <si>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</si>
  <si>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</si>
  <si>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</si>
  <si>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</si>
  <si>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</si>
  <si>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</si>
  <si>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</si>
  <si>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</si>
  <si>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</si>
  <si>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</si>
  <si>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</si>
  <si>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</si>
  <si>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</si>
  <si>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</si>
  <si>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</si>
  <si>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</si>
  <si>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</si>
  <si>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</si>
  <si>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</si>
  <si>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</si>
  <si>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</si>
  <si>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</si>
  <si>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</si>
  <si>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</si>
  <si>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</si>
  <si>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</si>
  <si>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</si>
  <si>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</si>
  <si>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</si>
  <si>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</si>
  <si>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</si>
  <si>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</si>
  <si>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</si>
  <si>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</si>
  <si>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</si>
  <si>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</si>
  <si>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</si>
  <si>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</si>
  <si>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</si>
  <si>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</si>
  <si>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</si>
  <si>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</si>
  <si>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</si>
  <si>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</si>
  <si>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</si>
  <si>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</si>
  <si>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</si>
  <si>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</si>
  <si>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</si>
  <si>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</si>
  <si>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</si>
  <si>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</si>
  <si>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</si>
  <si>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</si>
  <si>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</si>
  <si>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</si>
  <si>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</si>
  <si>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</si>
  <si>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</si>
  <si>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</si>
  <si>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</si>
  <si>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</si>
  <si>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</si>
  <si>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</si>
  <si>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</si>
  <si>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</si>
  <si>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</si>
  <si>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</si>
  <si>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</si>
  <si>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</si>
  <si>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</si>
  <si>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</si>
  <si>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</si>
  <si>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</si>
  <si>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</si>
  <si>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</si>
  <si>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</si>
  <si>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</si>
  <si>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</si>
  <si>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</si>
  <si>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</si>
  <si>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</si>
  <si>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</si>
  <si>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</si>
  <si>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</si>
  <si>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</si>
  <si>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</si>
  <si>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</si>
  <si>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</si>
  <si>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</si>
  <si>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</si>
  <si>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</si>
  <si>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</si>
  <si>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</si>
  <si>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</si>
  <si>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</si>
  <si>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</si>
  <si>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</si>
  <si>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</si>
  <si>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</si>
  <si>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</si>
  <si>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</si>
  <si>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</si>
  <si>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</si>
  <si>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</si>
  <si>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</si>
  <si>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</si>
  <si>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</si>
  <si>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</si>
  <si>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</si>
  <si>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</si>
  <si>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</si>
  <si>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</si>
  <si>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</si>
  <si>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</si>
  <si>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</si>
  <si>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</si>
  <si>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</si>
  <si>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</si>
  <si>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</si>
  <si>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</si>
  <si>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</si>
  <si>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</si>
  <si>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</si>
  <si>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</si>
  <si>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</si>
  <si>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</si>
  <si>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</si>
  <si>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</si>
  <si>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</si>
  <si>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</si>
  <si>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</si>
  <si>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</si>
  <si>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</si>
  <si>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</si>
  <si>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</si>
  <si>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</si>
  <si>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</si>
  <si>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</si>
  <si>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</si>
  <si>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</si>
  <si>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</si>
  <si>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</si>
  <si>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</si>
  <si>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</si>
  <si>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</si>
  <si>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</si>
  <si>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</si>
  <si>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</si>
  <si>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</si>
  <si>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</si>
  <si>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</si>
  <si>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</si>
  <si>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</si>
  <si>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</si>
  <si>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</si>
  <si>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</si>
  <si>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</si>
  <si>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</si>
  <si>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</si>
  <si>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</si>
  <si>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</si>
  <si>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</si>
  <si>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</si>
  <si>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</si>
  <si>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</si>
  <si>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</si>
  <si>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</si>
  <si>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</si>
  <si>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</si>
  <si>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</si>
  <si>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</si>
  <si>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</si>
  <si>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</si>
  <si>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</si>
  <si>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</si>
  <si>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</si>
  <si>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</si>
  <si>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</si>
  <si>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</si>
  <si>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</si>
  <si>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</si>
  <si>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</si>
  <si>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</si>
  <si>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</si>
  <si>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</si>
  <si>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</si>
  <si>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</si>
  <si>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</si>
  <si>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</si>
  <si>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</si>
  <si>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</si>
  <si>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</si>
  <si>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</si>
  <si>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</si>
  <si>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</si>
  <si>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</si>
  <si>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</si>
  <si>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</si>
  <si>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</si>
  <si>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</si>
  <si>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</si>
  <si>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</si>
  <si>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</si>
  <si>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</si>
  <si>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</si>
  <si>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</si>
  <si>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</si>
  <si>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</si>
  <si>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</si>
  <si>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</si>
  <si>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</si>
  <si>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</si>
  <si>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</si>
  <si>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</si>
  <si>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</si>
  <si>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</si>
  <si>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</si>
  <si>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</si>
  <si>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</si>
  <si>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</si>
  <si>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</si>
  <si>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</si>
  <si>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</si>
  <si>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</si>
  <si>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</si>
  <si>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</si>
  <si>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</si>
  <si>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</si>
  <si>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</si>
  <si>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</si>
  <si>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</si>
  <si>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</si>
  <si>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</si>
  <si>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</si>
  <si>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</si>
  <si>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</si>
  <si>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</si>
  <si>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</si>
  <si>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</si>
  <si>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</si>
  <si>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</si>
  <si>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</si>
  <si>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</si>
  <si>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</si>
  <si>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</si>
  <si>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</si>
  <si>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</si>
  <si>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</si>
  <si>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</si>
  <si>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</si>
  <si>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</si>
  <si>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</si>
  <si>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</si>
  <si>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</si>
  <si>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</si>
  <si>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</si>
  <si>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</si>
  <si>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</si>
  <si>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</si>
  <si>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</si>
  <si>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</si>
  <si>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</si>
  <si>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</si>
  <si>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</si>
  <si>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</si>
  <si>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</si>
  <si>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</si>
  <si>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</si>
  <si>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</si>
  <si>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</si>
  <si>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</si>
  <si>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</si>
  <si>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</si>
  <si>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</si>
  <si>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</si>
  <si>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</si>
  <si>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</si>
  <si>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</si>
  <si>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</si>
  <si>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</si>
  <si>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</si>
  <si>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</si>
  <si>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</si>
  <si>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</si>
  <si>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</si>
  <si>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</si>
  <si>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</si>
  <si>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</si>
  <si>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</si>
  <si>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</si>
  <si>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</si>
  <si>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</si>
  <si>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</si>
  <si>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</si>
  <si>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</si>
  <si>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</si>
  <si>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</si>
  <si>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</si>
  <si>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</si>
  <si>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</si>
  <si>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</si>
  <si>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</si>
  <si>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</si>
  <si>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</si>
  <si>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</si>
  <si>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</si>
  <si>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</si>
  <si>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</si>
  <si>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</si>
  <si>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</si>
  <si>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</si>
  <si>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</si>
  <si>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</si>
  <si>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</si>
  <si>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</si>
  <si>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</si>
  <si>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</si>
  <si>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</si>
  <si>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</si>
  <si>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</si>
  <si>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</si>
  <si>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</si>
  <si>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</si>
  <si>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</si>
  <si>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</si>
  <si>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</si>
  <si>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</si>
  <si>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</si>
  <si>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</si>
  <si>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</si>
  <si>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</si>
  <si>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</si>
  <si>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</si>
  <si>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</si>
  <si>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</si>
  <si>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</si>
  <si>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</si>
  <si>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</si>
  <si>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</si>
  <si>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</si>
  <si>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</si>
  <si>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</si>
  <si>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</si>
  <si>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</si>
  <si>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</si>
  <si>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</si>
  <si>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</si>
  <si>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</si>
  <si>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</si>
  <si>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</si>
  <si>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</si>
  <si>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</si>
  <si>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</si>
  <si>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</si>
  <si>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</si>
  <si>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</si>
  <si>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</si>
  <si>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</si>
  <si>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</si>
  <si>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</si>
  <si>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</si>
  <si>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</si>
  <si>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</si>
  <si>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</si>
  <si>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</si>
  <si>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</si>
  <si>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</si>
  <si>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</si>
  <si>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</si>
  <si>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</si>
  <si>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</si>
  <si>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</si>
  <si>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</si>
  <si>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</si>
  <si>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</si>
  <si>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</si>
  <si>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</si>
  <si>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</si>
  <si>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</si>
  <si>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</si>
  <si>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</si>
  <si>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</si>
  <si>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</si>
  <si>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</si>
  <si>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</si>
  <si>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</si>
  <si>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</si>
  <si>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</si>
  <si>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</si>
  <si>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</si>
  <si>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</si>
  <si>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</si>
  <si>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</si>
  <si>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</si>
  <si>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</si>
  <si>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</si>
  <si>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</si>
  <si>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</si>
  <si>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</si>
  <si>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</si>
  <si>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</si>
  <si>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</si>
  <si>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</si>
  <si>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</si>
  <si>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</si>
  <si>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</si>
  <si>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</si>
  <si>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</si>
  <si>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</si>
  <si>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</si>
  <si>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</si>
  <si>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</si>
  <si>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</si>
  <si>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</si>
  <si>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</si>
  <si>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</si>
  <si>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</si>
  <si>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</si>
  <si>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</si>
  <si>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</si>
  <si>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</si>
  <si>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</si>
  <si>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</si>
  <si>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</si>
  <si>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</si>
  <si>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</si>
  <si>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</si>
  <si>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</si>
  <si>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</si>
  <si>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</si>
  <si>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</si>
  <si>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</si>
  <si>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</si>
  <si>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</si>
  <si>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</si>
  <si>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</si>
  <si>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</si>
  <si>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</si>
  <si>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</si>
  <si>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</si>
  <si>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</si>
  <si>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</si>
  <si>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</si>
  <si>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</si>
  <si>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</si>
  <si>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</si>
  <si>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</si>
  <si>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</si>
  <si>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</si>
  <si>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</si>
  <si>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</si>
  <si>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</si>
  <si>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</si>
  <si>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</si>
  <si>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</si>
  <si>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</si>
  <si>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</si>
  <si>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</si>
  <si>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</si>
  <si>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</si>
  <si>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</si>
  <si>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</si>
  <si>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</si>
  <si>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</si>
  <si>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</si>
  <si>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</si>
  <si>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</si>
  <si>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</si>
  <si>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</si>
  <si>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</si>
  <si>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</si>
  <si>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</si>
  <si>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</si>
  <si>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</si>
  <si>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</si>
  <si>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</si>
  <si>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</si>
  <si>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</si>
  <si>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</si>
  <si>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</si>
  <si>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</si>
  <si>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</si>
  <si>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</si>
  <si>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</si>
  <si>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</si>
  <si>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</si>
  <si>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</si>
  <si>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</si>
  <si>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</si>
  <si>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</si>
  <si>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</si>
  <si>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</si>
  <si>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</si>
  <si>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</si>
  <si>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</si>
  <si>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</si>
  <si>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</si>
  <si>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</si>
  <si>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</si>
  <si>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</si>
  <si>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</si>
  <si>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</si>
  <si>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</si>
  <si>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</si>
  <si>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</si>
  <si>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</si>
  <si>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</si>
  <si>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</si>
  <si>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</si>
  <si>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</si>
  <si>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</si>
  <si>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</si>
  <si>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</si>
  <si>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</si>
  <si>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</si>
  <si>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</si>
  <si>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</si>
  <si>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</si>
  <si>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</si>
  <si>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</si>
  <si>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</si>
  <si>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</si>
  <si>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</si>
  <si>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</si>
  <si>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</si>
  <si>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</si>
  <si>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</si>
  <si>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</si>
  <si>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</si>
  <si>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</si>
  <si>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</si>
  <si>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</si>
  <si>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</si>
  <si>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</si>
  <si>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</si>
  <si>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</si>
  <si>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</si>
  <si>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</si>
  <si>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</si>
  <si>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</si>
  <si>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</si>
  <si>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</si>
  <si>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</si>
  <si>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</si>
  <si>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</si>
  <si>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</si>
  <si>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</si>
  <si>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</si>
  <si>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</si>
  <si>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</si>
  <si>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</si>
  <si>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</si>
  <si>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</si>
  <si>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</si>
  <si>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</si>
  <si>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</si>
  <si>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</si>
  <si>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</si>
  <si>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</si>
  <si>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</si>
  <si>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</si>
  <si>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</si>
  <si>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</si>
  <si>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</si>
  <si>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</si>
  <si>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</si>
  <si>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</si>
  <si>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</si>
  <si>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</si>
  <si>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</si>
  <si>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</si>
  <si>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</si>
  <si>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</si>
  <si>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</si>
  <si>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</si>
  <si>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</si>
  <si>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</si>
  <si>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</si>
  <si>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</si>
  <si>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</si>
  <si>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</si>
  <si>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</si>
  <si>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</si>
  <si>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</si>
  <si>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</si>
  <si>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</si>
  <si>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</si>
  <si>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</si>
  <si>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</si>
  <si>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</si>
  <si>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</si>
  <si>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</si>
  <si>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</si>
  <si>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</si>
  <si>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</si>
  <si>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</si>
  <si>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</si>
  <si>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</si>
  <si>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</si>
  <si>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</si>
  <si>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</si>
  <si>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</si>
  <si>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</si>
  <si>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</si>
  <si>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</si>
  <si>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</si>
  <si>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</si>
  <si>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</si>
  <si>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</si>
  <si>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</si>
  <si>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</si>
  <si>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</si>
  <si>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</si>
  <si>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</si>
  <si>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</si>
  <si>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</si>
  <si>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</si>
  <si>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</si>
  <si>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</si>
  <si>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</si>
  <si>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</si>
  <si>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</si>
  <si>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</si>
  <si>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</si>
  <si>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</si>
  <si>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</si>
  <si>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</si>
  <si>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</si>
  <si>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</si>
  <si>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</si>
  <si>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</si>
  <si>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</si>
  <si>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</si>
  <si>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</si>
  <si>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</si>
  <si>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</si>
  <si>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</si>
  <si>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</si>
  <si>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</si>
  <si>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</si>
  <si>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</si>
  <si>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</si>
  <si>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</si>
  <si>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</si>
  <si>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</si>
  <si>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</si>
  <si>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</si>
  <si>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</si>
  <si>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</si>
  <si>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</si>
  <si>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</si>
  <si>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</si>
  <si>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</si>
  <si>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</si>
  <si>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</si>
  <si>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</si>
  <si>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</si>
  <si>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</si>
  <si>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</si>
  <si>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</si>
  <si>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</si>
  <si>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</si>
  <si>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</si>
  <si>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</si>
  <si>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</si>
  <si>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</si>
  <si>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</si>
  <si>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</si>
  <si>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</si>
  <si>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</si>
  <si>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</si>
  <si>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</si>
  <si>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</si>
  <si>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</si>
  <si>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</si>
  <si>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</si>
  <si>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</si>
  <si>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</si>
  <si>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</si>
  <si>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</si>
  <si>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</si>
  <si>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</si>
  <si>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</si>
  <si>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</si>
  <si>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</si>
  <si>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</si>
  <si>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</si>
  <si>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</si>
  <si>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</si>
  <si>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</si>
  <si>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</si>
  <si>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</si>
  <si>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</si>
  <si>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</si>
  <si>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</si>
  <si>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</si>
  <si>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</si>
  <si>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</si>
  <si>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</si>
  <si>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</si>
  <si>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</si>
  <si>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</si>
  <si>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</si>
  <si>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</si>
  <si>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</si>
  <si>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</si>
  <si>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</si>
  <si>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</si>
  <si>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</si>
  <si>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</si>
  <si>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</si>
  <si>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</si>
  <si>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</si>
  <si>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</si>
  <si>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</si>
  <si>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</si>
  <si>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</si>
  <si>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</si>
  <si>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</si>
  <si>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</si>
  <si>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</si>
  <si>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</si>
  <si>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</si>
  <si>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</si>
  <si>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</si>
  <si>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</si>
  <si>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</si>
  <si>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</si>
  <si>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</si>
  <si>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</si>
  <si>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</si>
  <si>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</si>
  <si>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</si>
  <si>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</si>
  <si>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</si>
  <si>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</si>
  <si>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</si>
  <si>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</si>
  <si>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</si>
  <si>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</si>
  <si>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</si>
  <si>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</si>
  <si>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</si>
  <si>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</si>
  <si>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</si>
  <si>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</si>
  <si>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</si>
  <si>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</si>
  <si>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</si>
  <si>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</si>
  <si>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</si>
  <si>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</si>
  <si>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</si>
  <si>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</si>
  <si>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</si>
  <si>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</si>
  <si>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</si>
  <si>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</si>
  <si>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</si>
  <si>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</si>
  <si>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</si>
  <si>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</si>
  <si>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</si>
  <si>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</si>
  <si>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</si>
  <si>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</si>
  <si>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</si>
  <si>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</si>
  <si>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</si>
  <si>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</si>
  <si>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</si>
  <si>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</si>
  <si>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</si>
  <si>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</si>
  <si>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</si>
  <si>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</si>
  <si>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</si>
  <si>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</si>
  <si>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</si>
  <si>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</si>
  <si>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</si>
  <si>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</si>
  <si>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</si>
  <si>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</si>
  <si>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</si>
  <si>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</si>
  <si>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</si>
  <si>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</si>
  <si>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</si>
  <si>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</si>
  <si>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</si>
  <si>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</si>
  <si>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</si>
  <si>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</si>
  <si>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</si>
  <si>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</si>
  <si>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</si>
  <si>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</si>
  <si>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</si>
  <si>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</si>
  <si>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</si>
  <si>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</si>
  <si>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</si>
  <si>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</si>
  <si>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</si>
  <si>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</si>
  <si>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</si>
  <si>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</si>
  <si>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</si>
  <si>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</si>
  <si>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</si>
  <si>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</si>
  <si>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</si>
  <si>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</si>
  <si>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</si>
  <si>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</si>
  <si>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</si>
  <si>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</si>
  <si>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</si>
  <si>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</si>
  <si>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</si>
  <si>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</si>
  <si>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</si>
  <si>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</si>
  <si>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</si>
  <si>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</si>
  <si>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</si>
  <si>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</si>
  <si>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</si>
  <si>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</si>
  <si>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</si>
  <si>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</si>
  <si>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</si>
  <si>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</si>
  <si>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</si>
  <si>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</si>
  <si>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</si>
  <si>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</si>
  <si>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</si>
  <si>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</si>
  <si>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</si>
  <si>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</si>
  <si>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</si>
  <si>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</si>
  <si>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</si>
  <si>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</si>
  <si>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</si>
  <si>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</si>
  <si>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</si>
  <si>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</si>
  <si>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</si>
  <si>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</si>
  <si>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</si>
  <si>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</si>
  <si>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</si>
  <si>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</si>
  <si>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</si>
  <si>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</si>
  <si>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</si>
  <si>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</si>
  <si>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</si>
  <si>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</si>
  <si>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</si>
  <si>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</si>
  <si>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</si>
  <si>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</si>
  <si>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</si>
  <si>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</si>
  <si>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Adiado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</si>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</sst>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G1" zoomScaleNormal="100" workbookViewId="0">
      <pane ySplit="1" topLeftCell="A705" activePane="bottomLeft" state="frozen"/>
      <selection pane="bottomLeft" activeCell="A714" sqref="A714:XFD714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2026-092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2846</v>
      </c>
      <c r="D694" s="154" t="s">
        <v>2847</v>
      </c>
      <c r="E694" s="159" t="s">
        <v>2848</v>
      </c>
      <c r="F694" s="120" t="s">
        <v>69</v>
      </c>
      <c r="G694" s="121" t="s">
        <v>79</v>
      </c>
      <c r="H694" s="156" t="s">
        <v>2849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2850</v>
      </c>
      <c r="B695" s="137">
        <v>2026</v>
      </c>
      <c r="C695" s="154" t="s">
        <v>2710</v>
      </c>
      <c r="D695" s="154" t="s">
        <v>2851</v>
      </c>
      <c r="E695" s="159" t="s">
        <v>2852</v>
      </c>
      <c r="F695" s="170" t="s">
        <v>69</v>
      </c>
      <c r="G695" s="155" t="s">
        <v>79</v>
      </c>
      <c r="H695" s="156" t="s">
        <v>2853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2854</v>
      </c>
      <c r="B696" s="137">
        <v>2026</v>
      </c>
      <c r="C696" s="118" t="s">
        <v>22</v>
      </c>
      <c r="D696" s="118" t="s">
        <v>2855</v>
      </c>
      <c r="E696" s="119" t="s">
        <v>2856</v>
      </c>
      <c r="F696" s="120" t="s">
        <v>69</v>
      </c>
      <c r="G696" s="121" t="s">
        <v>79</v>
      </c>
      <c r="H696" s="122" t="s">
        <v>2857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2858</v>
      </c>
      <c r="B697" s="137">
        <v>2026</v>
      </c>
      <c r="C697" s="118" t="s">
        <v>22</v>
      </c>
      <c r="D697" s="154" t="s">
        <v>2859</v>
      </c>
      <c r="E697" s="159" t="s">
        <v>2860</v>
      </c>
      <c r="F697" s="120" t="s">
        <v>24</v>
      </c>
      <c r="G697" s="132" t="s">
        <v>2699</v>
      </c>
      <c r="H697" s="156" t="s">
        <v>2861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2862</v>
      </c>
      <c r="B698" s="137">
        <v>2026</v>
      </c>
      <c r="C698" s="154" t="s">
        <v>2789</v>
      </c>
      <c r="D698" s="154" t="s">
        <v>2863</v>
      </c>
      <c r="E698" s="159" t="s">
        <v>2864</v>
      </c>
      <c r="F698" s="170" t="s">
        <v>24</v>
      </c>
      <c r="G698" s="155" t="s">
        <v>75</v>
      </c>
      <c r="H698" s="156" t="s">
        <v>2865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2866</v>
      </c>
    </row>
    <row r="699" spans="1:20" ht="15">
      <c r="A699" s="122" t="s">
        <v>2867</v>
      </c>
      <c r="B699" s="137">
        <v>2026</v>
      </c>
      <c r="C699" s="118" t="s">
        <v>22</v>
      </c>
      <c r="D699" s="118" t="s">
        <v>2868</v>
      </c>
      <c r="E699" s="119" t="s">
        <v>2869</v>
      </c>
      <c r="F699" s="120" t="s">
        <v>24</v>
      </c>
      <c r="G699" s="121" t="s">
        <v>206</v>
      </c>
      <c r="H699" s="122" t="s">
        <v>2870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2871</v>
      </c>
    </row>
    <row r="700" spans="1:20" ht="15">
      <c r="A700" s="156" t="s">
        <v>2872</v>
      </c>
      <c r="B700" s="137">
        <v>2026</v>
      </c>
      <c r="C700" s="154" t="s">
        <v>22</v>
      </c>
      <c r="D700" s="154" t="s">
        <v>2873</v>
      </c>
      <c r="E700" s="159" t="s">
        <v>2874</v>
      </c>
      <c r="F700" s="170" t="s">
        <v>88</v>
      </c>
      <c r="G700" s="155" t="s">
        <v>2717</v>
      </c>
      <c r="H700" s="156" t="s">
        <v>2875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2876</v>
      </c>
      <c r="B701" s="137">
        <v>2026</v>
      </c>
      <c r="C701" s="154" t="s">
        <v>22</v>
      </c>
      <c r="D701" s="154" t="s">
        <v>2877</v>
      </c>
      <c r="E701" s="159" t="s">
        <v>2878</v>
      </c>
      <c r="F701" s="170" t="s">
        <v>24</v>
      </c>
      <c r="G701" s="155" t="s">
        <v>75</v>
      </c>
      <c r="H701" s="156" t="s">
        <v>2879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2880</v>
      </c>
      <c r="B702" s="137">
        <v>2026</v>
      </c>
      <c r="C702" s="154" t="s">
        <v>22</v>
      </c>
      <c r="D702" s="154" t="s">
        <v>2881</v>
      </c>
      <c r="E702" s="159" t="s">
        <v>2882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2883</v>
      </c>
    </row>
    <row r="703" spans="1:20" ht="15">
      <c r="A703" s="156" t="s">
        <v>2884</v>
      </c>
      <c r="B703" s="137">
        <v>2026</v>
      </c>
      <c r="C703" s="154" t="s">
        <v>22</v>
      </c>
      <c r="D703" s="154" t="s">
        <v>2885</v>
      </c>
      <c r="E703" s="159" t="s">
        <v>2886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2887</v>
      </c>
    </row>
    <row r="704" spans="1:20" ht="15">
      <c r="A704" s="156" t="s">
        <v>2888</v>
      </c>
      <c r="B704" s="137">
        <v>2026</v>
      </c>
      <c r="C704" s="154" t="s">
        <v>22</v>
      </c>
      <c r="D704" s="154" t="s">
        <v>2889</v>
      </c>
      <c r="E704" s="159" t="s">
        <v>2890</v>
      </c>
      <c r="F704" s="170" t="s">
        <v>69</v>
      </c>
      <c r="G704" s="155" t="s">
        <v>79</v>
      </c>
      <c r="H704" s="156" t="s">
        <v>2891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2892</v>
      </c>
      <c r="B705" s="137">
        <v>2026</v>
      </c>
      <c r="C705" s="154" t="s">
        <v>22</v>
      </c>
      <c r="D705" s="154" t="s">
        <v>2893</v>
      </c>
      <c r="E705" s="159" t="s">
        <v>2894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2895</v>
      </c>
    </row>
    <row r="706" spans="1:21" ht="15">
      <c r="A706" s="156" t="s">
        <v>2896</v>
      </c>
      <c r="B706" s="137">
        <v>2026</v>
      </c>
      <c r="C706" s="154" t="s">
        <v>22</v>
      </c>
      <c r="D706" s="154" t="s">
        <v>2897</v>
      </c>
      <c r="E706" s="159" t="s">
        <v>2898</v>
      </c>
      <c r="F706" s="170" t="s">
        <v>69</v>
      </c>
      <c r="G706" s="155" t="s">
        <v>79</v>
      </c>
      <c r="H706" s="156" t="s">
        <v>2899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2900</v>
      </c>
      <c r="B707" s="137">
        <v>2026</v>
      </c>
      <c r="C707" s="154" t="s">
        <v>22</v>
      </c>
      <c r="D707" s="154" t="s">
        <v>2901</v>
      </c>
      <c r="E707" s="159" t="s">
        <v>2902</v>
      </c>
      <c r="F707" s="170" t="s">
        <v>69</v>
      </c>
      <c r="G707" s="155" t="s">
        <v>79</v>
      </c>
      <c r="H707" s="156" t="s">
        <v>2903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2904</v>
      </c>
      <c r="B708" s="137">
        <v>2026</v>
      </c>
      <c r="C708" s="154" t="s">
        <v>22</v>
      </c>
      <c r="D708" s="154" t="s">
        <v>2905</v>
      </c>
      <c r="E708" s="159" t="s">
        <v>2906</v>
      </c>
      <c r="F708" s="170" t="s">
        <v>69</v>
      </c>
      <c r="G708" s="155" t="s">
        <v>79</v>
      </c>
      <c r="H708" s="156" t="s">
        <v>2899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2907</v>
      </c>
    </row>
    <row r="709" spans="1:21" ht="15">
      <c r="A709" s="156" t="s">
        <v>2908</v>
      </c>
      <c r="B709" s="137">
        <v>2026</v>
      </c>
      <c r="C709" s="154" t="s">
        <v>2710</v>
      </c>
      <c r="D709" s="154" t="s">
        <v>2909</v>
      </c>
      <c r="E709" s="159" t="s">
        <v>2910</v>
      </c>
      <c r="F709" s="170" t="s">
        <v>24</v>
      </c>
      <c r="G709" s="155" t="s">
        <v>75</v>
      </c>
      <c r="H709" s="156" t="s">
        <v>2911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2912</v>
      </c>
      <c r="U709" s="105"/>
    </row>
    <row r="710" spans="1:21" ht="15">
      <c r="A710" s="156" t="s">
        <v>2913</v>
      </c>
      <c r="B710" s="137">
        <v>2026</v>
      </c>
      <c r="C710" s="154" t="s">
        <v>22</v>
      </c>
      <c r="D710" s="154" t="s">
        <v>2914</v>
      </c>
      <c r="E710" s="159" t="s">
        <v>2915</v>
      </c>
      <c r="F710" s="170" t="s">
        <v>69</v>
      </c>
      <c r="G710" s="155" t="s">
        <v>79</v>
      </c>
      <c r="H710" s="156" t="s">
        <v>2916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2917</v>
      </c>
      <c r="B711" s="137">
        <v>2026</v>
      </c>
      <c r="C711" s="154" t="s">
        <v>22</v>
      </c>
      <c r="D711" s="154" t="s">
        <v>2918</v>
      </c>
      <c r="E711" s="159" t="s">
        <v>2919</v>
      </c>
      <c r="F711" s="170" t="s">
        <v>24</v>
      </c>
      <c r="G711" s="155" t="s">
        <v>206</v>
      </c>
      <c r="H711" s="156" t="s">
        <v>2899</v>
      </c>
      <c r="I711" s="156" t="s">
        <v>2899</v>
      </c>
      <c r="J711" s="156" t="s">
        <v>2899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2920</v>
      </c>
    </row>
    <row r="712" spans="1:21" ht="15">
      <c r="A712" s="122" t="s">
        <v>2921</v>
      </c>
      <c r="B712" s="137">
        <v>2026</v>
      </c>
      <c r="C712" s="118" t="s">
        <v>22</v>
      </c>
      <c r="D712" s="122" t="s">
        <v>2922</v>
      </c>
      <c r="E712" s="119" t="s">
        <v>2923</v>
      </c>
      <c r="F712" s="120" t="s">
        <v>69</v>
      </c>
      <c r="G712" s="121" t="s">
        <v>79</v>
      </c>
      <c r="H712" s="122" t="s">
        <v>2924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2925</v>
      </c>
      <c r="B713" s="137">
        <v>2026</v>
      </c>
      <c r="C713" s="118" t="s">
        <v>22</v>
      </c>
      <c r="D713" s="122" t="s">
        <v>2922</v>
      </c>
      <c r="E713" s="119" t="s">
        <v>2926</v>
      </c>
      <c r="F713" s="120" t="s">
        <v>69</v>
      </c>
      <c r="G713" s="121" t="s">
        <v>79</v>
      </c>
      <c r="H713" s="122" t="s">
        <v>2927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2928</v>
      </c>
      <c r="B714" s="137">
        <v>2026</v>
      </c>
      <c r="C714" s="154" t="s">
        <v>22</v>
      </c>
      <c r="D714" s="154" t="s">
        <v>2929</v>
      </c>
      <c r="E714" s="159" t="s">
        <v>2930</v>
      </c>
      <c r="F714" s="170" t="s">
        <v>88</v>
      </c>
      <c r="G714" s="155" t="s">
        <v>2717</v>
      </c>
      <c r="H714" s="156" t="s">
        <v>2931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2932</v>
      </c>
    </row>
    <row r="715" spans="1:21" ht="30">
      <c r="A715" s="156" t="s">
        <v>2933</v>
      </c>
      <c r="B715" s="137">
        <v>2026</v>
      </c>
      <c r="C715" s="154" t="s">
        <v>22</v>
      </c>
      <c r="D715" s="154" t="s">
        <v>2929</v>
      </c>
      <c r="E715" s="159" t="s">
        <v>2934</v>
      </c>
      <c r="F715" s="170" t="s">
        <v>88</v>
      </c>
      <c r="G715" s="155" t="s">
        <v>2717</v>
      </c>
      <c r="H715" s="156" t="s">
        <v>2935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2932</v>
      </c>
    </row>
    <row r="716" spans="1:21" ht="15">
      <c r="A716" s="156" t="s">
        <v>2936</v>
      </c>
      <c r="B716" s="137">
        <v>2026</v>
      </c>
      <c r="C716" s="154" t="s">
        <v>2710</v>
      </c>
      <c r="D716" s="154" t="s">
        <v>2929</v>
      </c>
      <c r="E716" s="159" t="s">
        <v>2937</v>
      </c>
      <c r="F716" s="170" t="s">
        <v>88</v>
      </c>
      <c r="G716" s="155" t="s">
        <v>2717</v>
      </c>
      <c r="H716" s="156" t="s">
        <v>2938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2939</v>
      </c>
      <c r="B717" s="137">
        <v>2026</v>
      </c>
      <c r="C717" s="154" t="s">
        <v>2710</v>
      </c>
      <c r="D717" s="154" t="s">
        <v>2929</v>
      </c>
      <c r="E717" s="159" t="s">
        <v>2940</v>
      </c>
      <c r="F717" s="170" t="s">
        <v>88</v>
      </c>
      <c r="G717" s="155" t="s">
        <v>2717</v>
      </c>
      <c r="H717" s="156" t="s">
        <v>2941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2942</v>
      </c>
      <c r="B718" s="137">
        <v>2026</v>
      </c>
      <c r="C718" s="154" t="s">
        <v>2710</v>
      </c>
      <c r="D718" s="154" t="s">
        <v>2929</v>
      </c>
      <c r="E718" s="159" t="s">
        <v>2943</v>
      </c>
      <c r="F718" s="170" t="s">
        <v>88</v>
      </c>
      <c r="G718" s="155" t="s">
        <v>2717</v>
      </c>
      <c r="H718" s="156" t="s">
        <v>2944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2945</v>
      </c>
      <c r="B719" s="137">
        <v>2026</v>
      </c>
      <c r="C719" s="154" t="s">
        <v>2710</v>
      </c>
      <c r="D719" s="154" t="s">
        <v>2929</v>
      </c>
      <c r="E719" s="159" t="s">
        <v>2946</v>
      </c>
      <c r="F719" s="170" t="s">
        <v>88</v>
      </c>
      <c r="G719" s="155" t="s">
        <v>2717</v>
      </c>
      <c r="H719" s="156" t="s">
        <v>2947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2948</v>
      </c>
      <c r="B720" s="137">
        <v>2026</v>
      </c>
      <c r="C720" s="118" t="s">
        <v>22</v>
      </c>
      <c r="D720" s="118" t="s">
        <v>2949</v>
      </c>
      <c r="E720" s="119" t="s">
        <v>2950</v>
      </c>
      <c r="F720" s="120" t="s">
        <v>24</v>
      </c>
      <c r="G720" s="121" t="s">
        <v>206</v>
      </c>
      <c r="H720" s="122" t="s">
        <v>2951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2952</v>
      </c>
    </row>
    <row r="721" spans="1:20" ht="45">
      <c r="A721" s="122" t="s">
        <v>2953</v>
      </c>
      <c r="B721" s="137">
        <v>2026</v>
      </c>
      <c r="C721" s="137" t="s">
        <v>22</v>
      </c>
      <c r="D721" s="137" t="s">
        <v>2929</v>
      </c>
      <c r="E721" s="138" t="s">
        <v>2954</v>
      </c>
      <c r="F721" s="144" t="s">
        <v>88</v>
      </c>
      <c r="G721" s="150" t="s">
        <v>2717</v>
      </c>
      <c r="H721" s="140" t="s">
        <v>2955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2956</v>
      </c>
    </row>
    <row r="722" spans="1:20" ht="45">
      <c r="A722" s="122" t="s">
        <v>2957</v>
      </c>
      <c r="B722" s="118">
        <v>2026</v>
      </c>
      <c r="C722" s="118" t="s">
        <v>22</v>
      </c>
      <c r="D722" s="118" t="s">
        <v>2929</v>
      </c>
      <c r="E722" s="119" t="s">
        <v>2958</v>
      </c>
      <c r="F722" s="120" t="s">
        <v>88</v>
      </c>
      <c r="G722" s="146" t="s">
        <v>2717</v>
      </c>
      <c r="H722" s="122" t="s">
        <v>2959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2960</v>
      </c>
    </row>
    <row r="723" spans="1:20" ht="15">
      <c r="A723" s="122" t="s">
        <v>2961</v>
      </c>
      <c r="B723" s="137">
        <v>2026</v>
      </c>
      <c r="C723" s="154" t="s">
        <v>22</v>
      </c>
      <c r="D723" s="154" t="s">
        <v>2962</v>
      </c>
      <c r="E723" s="159" t="s">
        <v>2963</v>
      </c>
      <c r="F723" s="170" t="s">
        <v>88</v>
      </c>
      <c r="G723" s="155" t="s">
        <v>2717</v>
      </c>
      <c r="H723" s="156" t="s">
        <v>2964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2965</v>
      </c>
      <c r="B724" s="172">
        <v>2026</v>
      </c>
      <c r="C724" s="154" t="s">
        <v>22</v>
      </c>
      <c r="D724" s="154" t="s">
        <v>2966</v>
      </c>
      <c r="E724" s="159" t="s">
        <v>2967</v>
      </c>
      <c r="F724" s="170" t="s">
        <v>88</v>
      </c>
      <c r="G724" s="155" t="s">
        <v>2717</v>
      </c>
      <c r="H724" s="156" t="s">
        <v>2968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2969</v>
      </c>
      <c r="B725" s="154">
        <v>2026</v>
      </c>
      <c r="C725" s="154" t="s">
        <v>22</v>
      </c>
      <c r="D725" s="154" t="s">
        <v>2962</v>
      </c>
      <c r="E725" s="159" t="s">
        <v>2970</v>
      </c>
      <c r="F725" s="170" t="s">
        <v>88</v>
      </c>
      <c r="G725" s="155" t="s">
        <v>2717</v>
      </c>
      <c r="H725" s="156" t="s">
        <v>2971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2972</v>
      </c>
      <c r="B726" s="154">
        <v>2026</v>
      </c>
      <c r="C726" s="154" t="s">
        <v>2710</v>
      </c>
      <c r="D726" s="154" t="s">
        <v>2962</v>
      </c>
      <c r="E726" s="159" t="s">
        <v>2973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2962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2962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2962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2962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2962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2694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4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2027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2710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3040</v>
      </c>
    </row>
    <row r="747" spans="1:20" ht="1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5">IF(B747="","",SUM(O747:Q747))</f>
        <v>80</v>
      </c>
      <c r="S747" s="154">
        <v>2</v>
      </c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12:J720 I704:J704 I744:J2001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3045</v>
      </c>
      <c r="H1" s="168" t="s">
        <v>3046</v>
      </c>
    </row>
    <row r="2" spans="1:8">
      <c r="H2" s="167" t="s">
        <v>3047</v>
      </c>
    </row>
    <row r="3" spans="1:8">
      <c r="A3" t="s">
        <v>0</v>
      </c>
      <c r="B3" t="s">
        <v>19</v>
      </c>
      <c r="C3" t="s">
        <v>3048</v>
      </c>
      <c r="D3" t="s">
        <v>3049</v>
      </c>
      <c r="E3" t="s">
        <v>3050</v>
      </c>
      <c r="H3" s="167" t="s">
        <v>3051</v>
      </c>
    </row>
    <row r="4" spans="1:8">
      <c r="A4">
        <v>1</v>
      </c>
      <c r="B4" t="s">
        <v>3052</v>
      </c>
      <c r="D4" t="s">
        <v>3053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3054</v>
      </c>
    </row>
    <row r="5" spans="1:8">
      <c r="A5">
        <v>2</v>
      </c>
      <c r="B5" t="s">
        <v>2507</v>
      </c>
      <c r="D5" t="s">
        <v>3053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3055</v>
      </c>
    </row>
    <row r="6" spans="1:8">
      <c r="A6">
        <v>3</v>
      </c>
      <c r="B6" t="s">
        <v>1030</v>
      </c>
      <c r="D6" t="s">
        <v>3053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3056</v>
      </c>
      <c r="D7" t="s">
        <v>3053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3057</v>
      </c>
    </row>
    <row r="8" spans="1:8">
      <c r="A8">
        <v>5</v>
      </c>
      <c r="B8" t="s">
        <v>3058</v>
      </c>
      <c r="D8" t="s">
        <v>3053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3053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3053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3053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3053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3053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3053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3053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3053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3053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3053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3053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3053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3053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3053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3059</v>
      </c>
      <c r="D23" t="s">
        <v>3053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3053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3060</v>
      </c>
      <c r="D25" t="s">
        <v>3053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3061</v>
      </c>
      <c r="D26" t="s">
        <v>3053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3053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3053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3062</v>
      </c>
      <c r="D29" t="s">
        <v>3053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3053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3053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3053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3063</v>
      </c>
      <c r="D33" t="s">
        <v>3053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3064</v>
      </c>
      <c r="D34" t="s">
        <v>3053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3053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3053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3053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3065</v>
      </c>
      <c r="D38" t="s">
        <v>3053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3066</v>
      </c>
      <c r="D39" t="s">
        <v>3053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3053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3067</v>
      </c>
      <c r="D41" t="s">
        <v>3053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3053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3053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3068</v>
      </c>
      <c r="D44" t="s">
        <v>3053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3053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3053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3053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3053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3069</v>
      </c>
      <c r="D49" t="s">
        <v>3053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3053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3070</v>
      </c>
      <c r="D51" t="s">
        <v>3053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3053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3053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3071</v>
      </c>
      <c r="D54" t="s">
        <v>3053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3053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3053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3053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3072</v>
      </c>
      <c r="D58" t="s">
        <v>3053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3053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3053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3073</v>
      </c>
      <c r="D61" t="s">
        <v>3053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3074</v>
      </c>
      <c r="D62" t="s">
        <v>3053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3075</v>
      </c>
      <c r="D63" t="s">
        <v>3053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3076</v>
      </c>
      <c r="D64" t="s">
        <v>3053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3053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3053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3077</v>
      </c>
      <c r="D67" t="s">
        <v>3053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3078</v>
      </c>
      <c r="D68" t="s">
        <v>3053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3053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3079</v>
      </c>
      <c r="D70" t="s">
        <v>3053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3053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3053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3053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3080</v>
      </c>
      <c r="D74" t="s">
        <v>3053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3053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3053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3053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3053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3081</v>
      </c>
      <c r="D79" t="s">
        <v>3053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3082</v>
      </c>
      <c r="D80" t="s">
        <v>3053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3083</v>
      </c>
      <c r="D81" t="s">
        <v>3053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3084</v>
      </c>
      <c r="D82" t="s">
        <v>3053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3053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3085</v>
      </c>
      <c r="D84" t="s">
        <v>3053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3053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3086</v>
      </c>
      <c r="D86" t="s">
        <v>3053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3087</v>
      </c>
      <c r="D87" t="s">
        <v>3053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3088</v>
      </c>
      <c r="D88" t="s">
        <v>3053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3089</v>
      </c>
      <c r="D89" t="s">
        <v>3053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3090</v>
      </c>
      <c r="D90" t="s">
        <v>3053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3091</v>
      </c>
      <c r="D91" t="s">
        <v>3053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3092</v>
      </c>
      <c r="D92" t="s">
        <v>3053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3093</v>
      </c>
      <c r="D93" t="s">
        <v>3053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3094</v>
      </c>
      <c r="D94" t="s">
        <v>3053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2920</v>
      </c>
      <c r="D95" t="s">
        <v>3053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3095</v>
      </c>
      <c r="D96" t="s">
        <v>3053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2912</v>
      </c>
      <c r="D97" t="s">
        <v>3053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3096</v>
      </c>
      <c r="D98" t="s">
        <v>3053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3097</v>
      </c>
      <c r="D99" t="s">
        <v>3053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3098</v>
      </c>
      <c r="D100" t="s">
        <v>3053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3099</v>
      </c>
      <c r="D101" t="s">
        <v>3053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3053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3100</v>
      </c>
      <c r="D103" t="s">
        <v>3053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3101</v>
      </c>
      <c r="D104" t="s">
        <v>3053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3102</v>
      </c>
      <c r="D105" t="s">
        <v>3053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2866</v>
      </c>
      <c r="D106" t="s">
        <v>3053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2871</v>
      </c>
      <c r="D107" t="s">
        <v>3053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3103</v>
      </c>
      <c r="D108" t="s">
        <v>3053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3104</v>
      </c>
      <c r="D109" t="s">
        <v>3053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3105</v>
      </c>
      <c r="C1" s="18" t="s">
        <v>3106</v>
      </c>
      <c r="D1" s="18" t="s">
        <v>4</v>
      </c>
      <c r="E1" s="18" t="s">
        <v>3107</v>
      </c>
      <c r="F1" s="18" t="s">
        <v>19</v>
      </c>
      <c r="G1" s="18" t="s">
        <v>3108</v>
      </c>
      <c r="H1" s="18" t="s">
        <v>3109</v>
      </c>
      <c r="I1" s="18" t="s">
        <v>3110</v>
      </c>
      <c r="J1" s="18" t="s">
        <v>3111</v>
      </c>
      <c r="L1" s="110" t="s">
        <v>3112</v>
      </c>
      <c r="M1" s="22">
        <v>2026</v>
      </c>
      <c r="U1" s="79" t="s">
        <v>3113</v>
      </c>
      <c r="V1" s="78"/>
      <c r="X1" s="77" t="s">
        <v>3114</v>
      </c>
      <c r="Y1" s="26"/>
      <c r="Z1" s="26"/>
      <c r="AA1" s="26"/>
      <c r="AC1" s="99" t="s">
        <v>3115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3116</v>
      </c>
      <c r="M2" s="106" t="s">
        <v>2928</v>
      </c>
      <c r="X2" s="112" t="s">
        <v>3105</v>
      </c>
      <c r="Y2" s="112" t="s">
        <v>19</v>
      </c>
      <c r="Z2" s="112" t="s">
        <v>3117</v>
      </c>
      <c r="AA2" s="112" t="s">
        <v>3118</v>
      </c>
      <c r="AC2" s="113" t="s">
        <v>1</v>
      </c>
      <c r="AD2" s="113" t="s">
        <v>3119</v>
      </c>
      <c r="AE2" s="113" t="s">
        <v>3120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3121</v>
      </c>
      <c r="M3" s="111" t="s">
        <v>3122</v>
      </c>
      <c r="N3" s="111" t="s">
        <v>3123</v>
      </c>
      <c r="O3" s="111" t="s">
        <v>3124</v>
      </c>
      <c r="P3" s="111" t="s">
        <v>3125</v>
      </c>
      <c r="Q3" s="111" t="s">
        <v>3126</v>
      </c>
      <c r="R3" s="111" t="s">
        <v>3127</v>
      </c>
      <c r="S3" s="111" t="s">
        <v>3128</v>
      </c>
      <c r="T3" s="111" t="s">
        <v>3129</v>
      </c>
      <c r="X3" t="s">
        <v>2835</v>
      </c>
      <c r="Y3" t="s">
        <v>3066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2831</v>
      </c>
      <c r="Z5">
        <v>1</v>
      </c>
      <c r="AA5">
        <v>0.6</v>
      </c>
      <c r="AC5" s="96">
        <v>2026</v>
      </c>
      <c r="AD5" s="17" t="s">
        <v>3130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3066</v>
      </c>
      <c r="Z6">
        <v>1</v>
      </c>
      <c r="AA6">
        <v>0</v>
      </c>
      <c r="AC6" s="96">
        <v>2026</v>
      </c>
      <c r="AD6" s="17" t="s">
        <v>3131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7" t="s">
        <v>3060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7" t="s">
        <v>3078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2957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2957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2957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2957</v>
      </c>
      <c r="Y16" s="17" t="s">
        <v>3060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2957</v>
      </c>
      <c r="Y17" s="17" t="s">
        <v>3078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2953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2953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2953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2953</v>
      </c>
      <c r="Y21" s="17" t="s">
        <v>3060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2953</v>
      </c>
      <c r="Y22" s="17" t="s">
        <v>3078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3101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3097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3079</v>
      </c>
      <c r="Z33">
        <v>4</v>
      </c>
      <c r="AA33">
        <v>0.6</v>
      </c>
      <c r="AC33" s="98"/>
      <c r="AD33" s="114" t="s">
        <v>3132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3071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2904</v>
      </c>
      <c r="Y43" s="17" t="s">
        <v>3088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2904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3133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3094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3093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3084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2961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2961</v>
      </c>
      <c r="Y68" t="s">
        <v>3082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3071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2913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2900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2900</v>
      </c>
      <c r="Y77" t="s">
        <v>3085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3089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3090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3072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2953</v>
      </c>
      <c r="Y84" t="s">
        <v>3072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2957</v>
      </c>
      <c r="Y85" t="s">
        <v>3072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3134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3134</v>
      </c>
      <c r="Y87" t="s">
        <v>3084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3134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3135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3136</v>
      </c>
      <c r="B4" s="215"/>
      <c r="D4" s="216" t="s">
        <v>3137</v>
      </c>
      <c r="E4" s="217"/>
      <c r="G4" s="44" t="s">
        <v>3138</v>
      </c>
    </row>
    <row r="5" spans="1:7" ht="54.95" customHeight="1" thickBot="1">
      <c r="A5" s="34">
        <f>COUNTIF('Ações InCompany'!B:B,2026)</f>
        <v>90</v>
      </c>
      <c r="B5" s="35" t="s">
        <v>3139</v>
      </c>
      <c r="D5" s="42">
        <f>COUNTIFS('Ações InCompany'!B:B,2026,'Ações InCompany'!C:C,"Realizado")</f>
        <v>59</v>
      </c>
      <c r="E5" s="43" t="s">
        <v>3139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3140</v>
      </c>
      <c r="B8" s="212"/>
      <c r="D8" s="212" t="s">
        <v>3141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3142</v>
      </c>
      <c r="D10" s="27" t="s">
        <v>3143</v>
      </c>
      <c r="E10" s="27" t="s">
        <v>3144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3145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3146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3147</v>
      </c>
      <c r="E13" s="29">
        <f>SUMIFS('Ações InCompany'!Q:Q,'Ações InCompany'!B:B,2026,'Ações InCompany'!C:C,"Realizado")</f>
        <v>706</v>
      </c>
    </row>
    <row r="14" spans="1:7" ht="27.95" customHeight="1">
      <c r="A14" s="32" t="s">
        <v>3148</v>
      </c>
      <c r="B14" s="33">
        <f>SUM(B11:B13)</f>
        <v>59</v>
      </c>
      <c r="D14" s="32" t="s">
        <v>3149</v>
      </c>
      <c r="E14" s="33">
        <f>SUM(E11:E13)</f>
        <v>3219</v>
      </c>
    </row>
    <row r="30" spans="1:5" ht="17.25">
      <c r="A30" s="212" t="s">
        <v>3150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3151</v>
      </c>
      <c r="C32" s="27" t="s">
        <v>3152</v>
      </c>
      <c r="D32" s="27" t="s">
        <v>3153</v>
      </c>
      <c r="E32" s="27" t="s">
        <v>3154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21</v>
      </c>
      <c r="E33" s="37">
        <f t="shared" ref="E33:E44" si="1">D33/$D$45</f>
        <v>0.25609756097560976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0.10975609756097561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0.12195121951219512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8.5365853658536592E-2</v>
      </c>
    </row>
    <row r="42" spans="1:5" ht="24" customHeight="1">
      <c r="A42" s="74" t="s">
        <v>3155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3156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3148</v>
      </c>
      <c r="B45" s="40">
        <f>SUM(B33:B44)</f>
        <v>59</v>
      </c>
      <c r="C45" s="40">
        <f>SUM(C33:C44)</f>
        <v>23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3162</v>
      </c>
      <c r="B2" s="11" t="s">
        <v>3163</v>
      </c>
      <c r="C2" s="11" t="s">
        <v>1736</v>
      </c>
      <c r="D2" s="11" t="s">
        <v>3164</v>
      </c>
      <c r="E2" s="11" t="s">
        <v>3165</v>
      </c>
    </row>
    <row r="3" spans="1:5" ht="18" customHeight="1">
      <c r="A3" s="11" t="s">
        <v>3162</v>
      </c>
      <c r="B3" s="11" t="s">
        <v>3163</v>
      </c>
      <c r="C3" s="13" t="s">
        <v>25</v>
      </c>
      <c r="D3" s="11" t="s">
        <v>3166</v>
      </c>
      <c r="E3" s="11" t="s">
        <v>3167</v>
      </c>
    </row>
    <row r="4" spans="1:5" ht="18" customHeight="1">
      <c r="A4" s="11" t="s">
        <v>3162</v>
      </c>
      <c r="B4" s="11" t="s">
        <v>3163</v>
      </c>
      <c r="C4" s="11" t="s">
        <v>75</v>
      </c>
      <c r="D4" s="11" t="s">
        <v>3164</v>
      </c>
      <c r="E4" s="11" t="s">
        <v>3168</v>
      </c>
    </row>
    <row r="5" spans="1:5" ht="18" customHeight="1">
      <c r="A5" s="11" t="s">
        <v>3162</v>
      </c>
      <c r="B5" s="11" t="s">
        <v>3163</v>
      </c>
      <c r="C5" s="11" t="s">
        <v>79</v>
      </c>
      <c r="D5" s="11" t="s">
        <v>3169</v>
      </c>
      <c r="E5" s="11" t="s">
        <v>3170</v>
      </c>
    </row>
    <row r="6" spans="1:5" ht="18" customHeight="1">
      <c r="A6" s="11" t="s">
        <v>3162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3162</v>
      </c>
      <c r="B7" s="11" t="s">
        <v>3173</v>
      </c>
      <c r="C7" s="11" t="s">
        <v>36</v>
      </c>
      <c r="D7" s="11" t="s">
        <v>3174</v>
      </c>
      <c r="E7" s="11" t="s">
        <v>3175</v>
      </c>
    </row>
    <row r="8" spans="1:5" ht="18" customHeight="1">
      <c r="A8" s="11" t="s">
        <v>3162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3162</v>
      </c>
      <c r="B9" s="11" t="s">
        <v>3178</v>
      </c>
      <c r="C9" s="11" t="s">
        <v>464</v>
      </c>
      <c r="D9" s="11" t="s">
        <v>3179</v>
      </c>
      <c r="E9" s="11" t="s">
        <v>3180</v>
      </c>
    </row>
    <row r="10" spans="1:5" ht="18" customHeight="1">
      <c r="A10" s="11" t="s">
        <v>3162</v>
      </c>
      <c r="B10" s="11" t="s">
        <v>3178</v>
      </c>
      <c r="C10" s="11" t="s">
        <v>206</v>
      </c>
      <c r="D10" s="11" t="s">
        <v>24</v>
      </c>
      <c r="E10" s="11" t="s">
        <v>3181</v>
      </c>
    </row>
    <row r="11" spans="1:5" ht="18" customHeight="1">
      <c r="A11" s="11" t="s">
        <v>3162</v>
      </c>
      <c r="B11" s="11" t="s">
        <v>3178</v>
      </c>
      <c r="C11" s="11" t="s">
        <v>371</v>
      </c>
      <c r="D11" s="11" t="s">
        <v>24</v>
      </c>
      <c r="E11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3183</v>
      </c>
      <c r="B1" s="5" t="s">
        <v>10</v>
      </c>
      <c r="C1" s="14" t="s">
        <v>3184</v>
      </c>
      <c r="D1" s="14" t="s">
        <v>3106</v>
      </c>
    </row>
    <row r="2" spans="1:4" ht="21" customHeight="1">
      <c r="A2" s="102" t="s">
        <v>24</v>
      </c>
      <c r="B2" s="102" t="s">
        <v>38</v>
      </c>
      <c r="C2" s="11" t="s">
        <v>3185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3186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2846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3157</v>
      </c>
      <c r="B1" s="11" t="s">
        <v>3158</v>
      </c>
      <c r="C1" s="12" t="s">
        <v>3159</v>
      </c>
      <c r="D1" s="12" t="s">
        <v>3160</v>
      </c>
      <c r="E1" s="12" t="s">
        <v>3161</v>
      </c>
    </row>
    <row r="2" spans="1:5" ht="18" customHeight="1">
      <c r="A2" s="11" t="s">
        <v>3187</v>
      </c>
      <c r="B2" s="11" t="s">
        <v>3163</v>
      </c>
      <c r="C2" s="13" t="s">
        <v>25</v>
      </c>
      <c r="D2" s="11" t="s">
        <v>3164</v>
      </c>
      <c r="E2" s="16" t="s">
        <v>3188</v>
      </c>
    </row>
    <row r="3" spans="1:5" ht="18" customHeight="1">
      <c r="A3" s="11" t="s">
        <v>3187</v>
      </c>
      <c r="B3" s="11" t="s">
        <v>3163</v>
      </c>
      <c r="C3" s="11" t="s">
        <v>75</v>
      </c>
      <c r="D3" s="11" t="s">
        <v>3166</v>
      </c>
      <c r="E3" s="11" t="s">
        <v>3189</v>
      </c>
    </row>
    <row r="4" spans="1:5" ht="18" customHeight="1">
      <c r="A4" s="11" t="s">
        <v>3187</v>
      </c>
      <c r="B4" s="11" t="s">
        <v>3163</v>
      </c>
      <c r="C4" s="11" t="s">
        <v>79</v>
      </c>
      <c r="D4" s="11" t="s">
        <v>3169</v>
      </c>
      <c r="E4" s="11" t="s">
        <v>3190</v>
      </c>
    </row>
    <row r="5" spans="1:5" ht="27.75" customHeight="1">
      <c r="A5" s="11" t="s">
        <v>3187</v>
      </c>
      <c r="B5" s="11" t="s">
        <v>3163</v>
      </c>
      <c r="C5" s="11" t="s">
        <v>2694</v>
      </c>
      <c r="D5" s="16" t="s">
        <v>3191</v>
      </c>
      <c r="E5" s="11" t="s">
        <v>3192</v>
      </c>
    </row>
    <row r="6" spans="1:5" ht="18" customHeight="1">
      <c r="A6" s="11" t="s">
        <v>3187</v>
      </c>
      <c r="B6" s="11" t="s">
        <v>3163</v>
      </c>
      <c r="C6" s="11" t="s">
        <v>2717</v>
      </c>
      <c r="D6" s="11" t="s">
        <v>3171</v>
      </c>
      <c r="E6" s="11" t="s">
        <v>3172</v>
      </c>
    </row>
    <row r="7" spans="1:5" ht="18" customHeight="1">
      <c r="A7" s="11" t="s">
        <v>3187</v>
      </c>
      <c r="B7" s="11" t="s">
        <v>3173</v>
      </c>
      <c r="C7" s="11" t="s">
        <v>2699</v>
      </c>
      <c r="D7" s="11" t="s">
        <v>3193</v>
      </c>
      <c r="E7" s="11" t="s">
        <v>3194</v>
      </c>
    </row>
    <row r="8" spans="1:5" ht="18" customHeight="1">
      <c r="A8" s="11" t="s">
        <v>3187</v>
      </c>
      <c r="B8" s="11" t="s">
        <v>3173</v>
      </c>
      <c r="C8" s="11" t="s">
        <v>42</v>
      </c>
      <c r="D8" s="11" t="s">
        <v>3176</v>
      </c>
      <c r="E8" s="11" t="s">
        <v>3177</v>
      </c>
    </row>
    <row r="9" spans="1:5" ht="18" customHeight="1">
      <c r="A9" s="11" t="s">
        <v>3187</v>
      </c>
      <c r="B9" s="11" t="s">
        <v>3173</v>
      </c>
      <c r="C9" s="11" t="s">
        <v>2792</v>
      </c>
      <c r="D9" s="11" t="s">
        <v>3195</v>
      </c>
      <c r="E9" s="16" t="s">
        <v>3196</v>
      </c>
    </row>
    <row r="10" spans="1:5" ht="18" customHeight="1">
      <c r="A10" s="11" t="s">
        <v>3187</v>
      </c>
      <c r="B10" s="11" t="s">
        <v>3197</v>
      </c>
      <c r="C10" s="11" t="s">
        <v>3155</v>
      </c>
      <c r="D10" s="11" t="s">
        <v>3198</v>
      </c>
      <c r="E10" s="16" t="s">
        <v>3199</v>
      </c>
    </row>
    <row r="11" spans="1:5" ht="18" customHeight="1">
      <c r="A11" s="11" t="s">
        <v>3187</v>
      </c>
      <c r="B11" s="11" t="s">
        <v>3197</v>
      </c>
      <c r="C11" s="11" t="s">
        <v>206</v>
      </c>
      <c r="D11" s="11" t="s">
        <v>24</v>
      </c>
      <c r="E11" s="11" t="s">
        <v>3181</v>
      </c>
    </row>
    <row r="12" spans="1:5" ht="18" customHeight="1">
      <c r="A12" s="11" t="s">
        <v>3187</v>
      </c>
      <c r="B12" s="11" t="s">
        <v>3197</v>
      </c>
      <c r="C12" s="11" t="s">
        <v>371</v>
      </c>
      <c r="D12" s="11" t="s">
        <v>24</v>
      </c>
      <c r="E12" s="11" t="s">
        <v>3182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3200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3201</v>
      </c>
    </row>
    <row r="4" spans="1:8" ht="21.95" customHeight="1">
      <c r="A4" s="219" t="s">
        <v>3202</v>
      </c>
      <c r="B4" s="220"/>
      <c r="D4" s="219" t="s">
        <v>3203</v>
      </c>
      <c r="E4" s="220"/>
      <c r="G4" s="219" t="s">
        <v>3204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3205</v>
      </c>
      <c r="B7" s="61" t="s">
        <v>3206</v>
      </c>
      <c r="C7" s="61" t="s">
        <v>1</v>
      </c>
      <c r="D7" s="61" t="s">
        <v>3207</v>
      </c>
      <c r="E7" s="61" t="s">
        <v>3208</v>
      </c>
      <c r="F7" s="61" t="s">
        <v>3106</v>
      </c>
      <c r="G7" s="61" t="s">
        <v>5</v>
      </c>
      <c r="H7" s="61" t="s">
        <v>3209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>Adiado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3210</v>
      </c>
      <c r="B1" s="225"/>
      <c r="C1" s="225"/>
      <c r="D1" s="225"/>
      <c r="E1" s="225"/>
      <c r="F1" s="225"/>
    </row>
    <row r="2" spans="1:7">
      <c r="A2" s="226" t="s">
        <v>3211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3109</v>
      </c>
      <c r="C4" s="24" t="s">
        <v>3110</v>
      </c>
      <c r="D4" s="24" t="s">
        <v>3212</v>
      </c>
      <c r="E4" s="24" t="s">
        <v>3111</v>
      </c>
      <c r="F4" s="24" t="s">
        <v>3213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3149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3214</v>
      </c>
      <c r="B1" s="117" t="s">
        <v>3215</v>
      </c>
      <c r="C1" s="117" t="s">
        <v>3216</v>
      </c>
      <c r="D1" s="117" t="s">
        <v>3217</v>
      </c>
      <c r="E1" s="117" t="s">
        <v>3218</v>
      </c>
      <c r="F1" s="117" t="s">
        <v>3219</v>
      </c>
      <c r="G1" s="117" t="s">
        <v>10</v>
      </c>
      <c r="H1" s="117" t="s">
        <v>3220</v>
      </c>
      <c r="I1" s="117" t="s">
        <v>3221</v>
      </c>
      <c r="J1" s="117" t="s">
        <v>3222</v>
      </c>
      <c r="K1" s="117" t="s">
        <v>3223</v>
      </c>
      <c r="L1" s="117" t="s">
        <v>3224</v>
      </c>
      <c r="N1" s="117" t="s">
        <v>3225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3226</v>
      </c>
      <c r="L2" t="str">
        <f>IF(K2="","",IFERROR(INDEX(Tabela2[Curso],MATCH(K2,Tabela2[ID],0)),""))</f>
        <v/>
      </c>
      <c r="N2" s="117" t="s">
        <v>3105</v>
      </c>
      <c r="O2" s="117" t="s">
        <v>4</v>
      </c>
      <c r="P2" s="117" t="s">
        <v>3227</v>
      </c>
      <c r="Q2" s="117" t="s">
        <v>3228</v>
      </c>
      <c r="R2" s="117" t="s">
        <v>3229</v>
      </c>
      <c r="S2" s="117" t="s">
        <v>3230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3226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3226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3226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3226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3226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3226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3226</v>
      </c>
      <c r="L10" t="str">
        <f>IF(K10="","",IFERROR(INDEX(Tabela2[Curso],MATCH(K10,Tabela2[ID],0)),""))</f>
        <v/>
      </c>
      <c r="N10" s="111" t="s">
        <v>3231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3226</v>
      </c>
      <c r="L11" t="str">
        <f>IF(K11="","",IFERROR(INDEX(Tabela2[Curso],MATCH(K11,Tabela2[ID],0)),""))</f>
        <v/>
      </c>
      <c r="N11" s="210" t="s">
        <v>3232</v>
      </c>
      <c r="O11" s="210" t="s">
        <v>3233</v>
      </c>
      <c r="P11" s="210" t="s">
        <v>3234</v>
      </c>
      <c r="Q11" s="210" t="s">
        <v>3217</v>
      </c>
      <c r="R11" s="210" t="s">
        <v>3218</v>
      </c>
      <c r="S11" s="210" t="s">
        <v>3235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3226</v>
      </c>
      <c r="L12" t="str">
        <f>IF(K12="","",IFERROR(INDEX(Tabela2[Curso],MATCH(K12,Tabela2[ID],0)),""))</f>
        <v/>
      </c>
      <c r="N12" t="s">
        <v>3236</v>
      </c>
      <c r="O12" t="s">
        <v>2753</v>
      </c>
      <c r="P12" t="s">
        <v>3237</v>
      </c>
      <c r="Q12">
        <v>0</v>
      </c>
      <c r="R12">
        <v>0</v>
      </c>
      <c r="S12" t="s">
        <v>3238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3226</v>
      </c>
      <c r="L13" t="str">
        <f>IF(K13="","",IFERROR(INDEX(Tabela2[Curso],MATCH(K13,Tabela2[ID],0)),""))</f>
        <v/>
      </c>
      <c r="N13" t="s">
        <v>3239</v>
      </c>
      <c r="O13" t="s">
        <v>2686</v>
      </c>
      <c r="P13" t="s">
        <v>3240</v>
      </c>
      <c r="Q13">
        <v>0</v>
      </c>
      <c r="R13">
        <v>0</v>
      </c>
      <c r="S13" t="s">
        <v>3241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3226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3226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3226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3226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3226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3226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3226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3226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3226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3226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3226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3226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3226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3226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3226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3226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3226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3226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3226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3226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3226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3226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3226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3226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3226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3226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3226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3226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3226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3226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3226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3226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3226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3226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3226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3226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3226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3226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3226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3226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3226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3226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3226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3226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3226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3226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3226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3226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3226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3226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3226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2026-09-14T17:32:00Z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