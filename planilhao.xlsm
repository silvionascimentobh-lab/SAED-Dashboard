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34" documentId="13_ncr:1_{6A2CC3E2-FAFB-4D8F-B284-5E8FB5045DFE}" xr6:coauthVersionLast="47" xr6:coauthVersionMax="47" xr10:uidLastSave="{A4312C62-8F83-4B28-86FF-5F98062CB702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E64" i="23" l="1"/>
  <c r="F22" i="23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C64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64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D64" i="23"/>
  <c r="C40" i="23"/>
  <c r="E33" i="23"/>
  <c r="E59" i="23"/>
  <c r="F14" i="23"/>
  <c r="F21" i="23"/>
  <c r="E44" i="23"/>
  <c r="E41" i="23"/>
  <c r="D37" i="23"/>
  <c r="D14" i="23"/>
  <c r="B16" i="23"/>
  <c r="F64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<sst xmlns="http://schemas.openxmlformats.org/spreadsheetml/2006/main" count="7410" uniqueCount="3261">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</sst>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2">
      <filters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57" activePane="bottomLeft" state="frozen"/>
      <selection pane="bottomLeft" activeCell="A663" sqref="A66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hidden="1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hidden="1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hidden="1" x14ac:dyDescent="0.25">
      <c r="A717" s="156" t="s">
        <v>2940</v>
      </c>
      <c r="B717" s="137">
        <v>2026</v>
      </c>
      <c r="C717" s="154" t="s">
        <v>2710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hidden="1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2974</v>
      </c>
      <c r="B726" s="154">
        <v>2026</v>
      </c>
      <c r="C726" s="154" t="s">
        <v>2710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hidden="1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hidden="1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hidden="1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3050</v>
      </c>
      <c r="B748" s="154">
        <v>2026</v>
      </c>
      <c r="C748" s="154" t="s">
        <v>2696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3054</v>
      </c>
      <c r="B749" s="154">
        <v>2026</v>
      </c>
      <c r="C749" s="154" t="s">
        <v>3205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Em andamento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Adiado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Em andamento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Em andamento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Adiado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Adiado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63</v>
      </c>
      <c r="E5" s="43" t="s">
        <v>3156</v>
      </c>
      <c r="G5" s="45">
        <f>COUNTIFS('Ações InCompany'!B:B,2026,'Ações InCompany'!C:C,"A realizar")</f>
        <v>20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3164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3165</v>
      </c>
      <c r="B14" s="33">
        <f>SUM(B11:B13)</f>
        <v>63</v>
      </c>
      <c r="D14" s="32" t="s">
        <v>3166</v>
      </c>
      <c r="E14" s="33">
        <f>SUM(E11:E13)</f>
        <v>3302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0.25301204819277107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63</v>
      </c>
      <c r="C45" s="40">
        <f>SUM(C33:C44)</f>
        <v>20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2026-09-30T18:24:06Z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